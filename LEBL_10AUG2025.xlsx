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L_10AUG2025" sheetId="1" r:id="rId4"/>
    <sheet state="visible" name="LLEGADAS" sheetId="2" r:id="rId5"/>
    <sheet state="visible" name="Paises ECAC" sheetId="3" r:id="rId6"/>
    <sheet state="visible" name="cat" sheetId="4" r:id="rId7"/>
  </sheets>
  <definedNames>
    <definedName name="B78X">#REF!</definedName>
  </definedNames>
  <calcPr/>
  <extLst>
    <ext uri="GoogleSheetsCustomDataVersion2">
      <go:sheetsCustomData xmlns:go="http://customooxmlschemas.google.com/" r:id="rId8" roundtripDataChecksum="RD4iYgoDUFT89aTYIIemL3iRukla2qGe5w5ecvWoHsE="/>
    </ext>
  </extLst>
</workbook>
</file>

<file path=xl/sharedStrings.xml><?xml version="1.0" encoding="utf-8"?>
<sst xmlns="http://schemas.openxmlformats.org/spreadsheetml/2006/main" count="6338" uniqueCount="2018">
  <si>
    <t>ARCID</t>
  </si>
  <si>
    <t>ATYP</t>
  </si>
  <si>
    <t>ADEP</t>
  </si>
  <si>
    <t>ADES</t>
  </si>
  <si>
    <t>RM</t>
  </si>
  <si>
    <t>ARF</t>
  </si>
  <si>
    <t>ETD</t>
  </si>
  <si>
    <t>TT</t>
  </si>
  <si>
    <t>ETA</t>
  </si>
  <si>
    <t>Aircraft category</t>
  </si>
  <si>
    <t>Seats</t>
  </si>
  <si>
    <t>Flight_time(ETA-ETD)</t>
  </si>
  <si>
    <t>Arrivalf_time</t>
  </si>
  <si>
    <t>Average Speed(km/h)</t>
  </si>
  <si>
    <t>Category</t>
  </si>
  <si>
    <t>Flight_Distance (km)</t>
  </si>
  <si>
    <t>Flight Airline</t>
  </si>
  <si>
    <t>ECAC</t>
  </si>
  <si>
    <t>RYR404A</t>
  </si>
  <si>
    <t>B738</t>
  </si>
  <si>
    <t>LPPR</t>
  </si>
  <si>
    <t>LEBL</t>
  </si>
  <si>
    <t>EIDCJ</t>
  </si>
  <si>
    <t>A</t>
  </si>
  <si>
    <t>AEE713</t>
  </si>
  <si>
    <t>A20N</t>
  </si>
  <si>
    <t>LGAV</t>
  </si>
  <si>
    <t>SXNEB</t>
  </si>
  <si>
    <t>B</t>
  </si>
  <si>
    <t>VLG7575</t>
  </si>
  <si>
    <t>A320</t>
  </si>
  <si>
    <t>GBYD</t>
  </si>
  <si>
    <t>ECLVV</t>
  </si>
  <si>
    <t>C</t>
  </si>
  <si>
    <t>VLG2479</t>
  </si>
  <si>
    <t>A321</t>
  </si>
  <si>
    <t>GCRR</t>
  </si>
  <si>
    <t>ECMQL</t>
  </si>
  <si>
    <t>D</t>
  </si>
  <si>
    <t>RYR56YL</t>
  </si>
  <si>
    <t>B38M</t>
  </si>
  <si>
    <t>EIDW</t>
  </si>
  <si>
    <t>EIIHE</t>
  </si>
  <si>
    <t>E</t>
  </si>
  <si>
    <t>ANE3053</t>
  </si>
  <si>
    <t>CRJX</t>
  </si>
  <si>
    <t>LEGE</t>
  </si>
  <si>
    <t>ECMLN</t>
  </si>
  <si>
    <t>F</t>
  </si>
  <si>
    <t>VLG7887</t>
  </si>
  <si>
    <t>GOBD</t>
  </si>
  <si>
    <t>ECMAI</t>
  </si>
  <si>
    <t>TVP7318</t>
  </si>
  <si>
    <t>LKPR</t>
  </si>
  <si>
    <t>OKSWF</t>
  </si>
  <si>
    <t>Slots</t>
  </si>
  <si>
    <t>IBE2602</t>
  </si>
  <si>
    <t>A332</t>
  </si>
  <si>
    <t>SAEZ</t>
  </si>
  <si>
    <t>ECNEN</t>
  </si>
  <si>
    <t>AAR</t>
  </si>
  <si>
    <t>1.5 min</t>
  </si>
  <si>
    <t>VLG101P</t>
  </si>
  <si>
    <t>LFML</t>
  </si>
  <si>
    <t>ECNDA</t>
  </si>
  <si>
    <t>PAAR</t>
  </si>
  <si>
    <t>3 min</t>
  </si>
  <si>
    <t>TVP7319</t>
  </si>
  <si>
    <t>EPWA</t>
  </si>
  <si>
    <t>VLG72JR</t>
  </si>
  <si>
    <t>GMTT</t>
  </si>
  <si>
    <t>ECMBE</t>
  </si>
  <si>
    <t>Hfile</t>
  </si>
  <si>
    <t>VLG303P</t>
  </si>
  <si>
    <t>LFPO</t>
  </si>
  <si>
    <t>ECKLT</t>
  </si>
  <si>
    <t>Hstart</t>
  </si>
  <si>
    <t>IBE2606</t>
  </si>
  <si>
    <t>SCEL</t>
  </si>
  <si>
    <t>ECNNH</t>
  </si>
  <si>
    <t>Hend</t>
  </si>
  <si>
    <t>VLG2008</t>
  </si>
  <si>
    <t>LICB</t>
  </si>
  <si>
    <t>ECMBS</t>
  </si>
  <si>
    <t>VLG6DZ</t>
  </si>
  <si>
    <t>LGIR</t>
  </si>
  <si>
    <t>ECKHN</t>
  </si>
  <si>
    <t>VLG9YD</t>
  </si>
  <si>
    <t>EKCH</t>
  </si>
  <si>
    <t>ECNCS</t>
  </si>
  <si>
    <t>VLG7480</t>
  </si>
  <si>
    <t>DAOO</t>
  </si>
  <si>
    <t>ECODN</t>
  </si>
  <si>
    <t>RYR26UP</t>
  </si>
  <si>
    <t>EGNX</t>
  </si>
  <si>
    <t>9HQFK</t>
  </si>
  <si>
    <t>VLG94PH</t>
  </si>
  <si>
    <t>LIMC</t>
  </si>
  <si>
    <t>ECOJG</t>
  </si>
  <si>
    <t>RYR38AV</t>
  </si>
  <si>
    <t>LIPZ</t>
  </si>
  <si>
    <t>EIDLD</t>
  </si>
  <si>
    <t>VLG8113</t>
  </si>
  <si>
    <t>ECOFX</t>
  </si>
  <si>
    <t>RYR73JP</t>
  </si>
  <si>
    <t>LIMF</t>
  </si>
  <si>
    <t>TAP1041</t>
  </si>
  <si>
    <t>LPPT</t>
  </si>
  <si>
    <t>CSTJE</t>
  </si>
  <si>
    <t>RYR4WX</t>
  </si>
  <si>
    <t>LFOB</t>
  </si>
  <si>
    <t>EIEBF</t>
  </si>
  <si>
    <t>VLG5VH</t>
  </si>
  <si>
    <t>LMML</t>
  </si>
  <si>
    <t>ECKRH</t>
  </si>
  <si>
    <t>AFR32SN</t>
  </si>
  <si>
    <t>LFPG</t>
  </si>
  <si>
    <t>FGTAZ</t>
  </si>
  <si>
    <t>RYR9CG</t>
  </si>
  <si>
    <t>EICK</t>
  </si>
  <si>
    <t>EIIJM</t>
  </si>
  <si>
    <t>SIA388</t>
  </si>
  <si>
    <t>A359</t>
  </si>
  <si>
    <t>WSSS</t>
  </si>
  <si>
    <t>9VSMK</t>
  </si>
  <si>
    <t>VLG5BG</t>
  </si>
  <si>
    <t>GCLP</t>
  </si>
  <si>
    <t>ECLAB</t>
  </si>
  <si>
    <t>RYR32FE</t>
  </si>
  <si>
    <t>LIME</t>
  </si>
  <si>
    <t>9HQAL</t>
  </si>
  <si>
    <t>AAL66</t>
  </si>
  <si>
    <t>B772</t>
  </si>
  <si>
    <t>KJFK</t>
  </si>
  <si>
    <t>N795AN</t>
  </si>
  <si>
    <t>EJU41GZ</t>
  </si>
  <si>
    <t>A319</t>
  </si>
  <si>
    <t>LSGG</t>
  </si>
  <si>
    <t>OELVG</t>
  </si>
  <si>
    <t>ITY075</t>
  </si>
  <si>
    <t>LIRF</t>
  </si>
  <si>
    <t>EIDTA</t>
  </si>
  <si>
    <t>RYR2A</t>
  </si>
  <si>
    <t>LEMH</t>
  </si>
  <si>
    <t>EIDCN</t>
  </si>
  <si>
    <t>RYR28RR</t>
  </si>
  <si>
    <t>9HQEK</t>
  </si>
  <si>
    <t>RYR56MC</t>
  </si>
  <si>
    <t>EPGD</t>
  </si>
  <si>
    <t>EIDPI</t>
  </si>
  <si>
    <t>TVF32ER</t>
  </si>
  <si>
    <t>FHXSG</t>
  </si>
  <si>
    <t>VLG911N</t>
  </si>
  <si>
    <t>LIPE</t>
  </si>
  <si>
    <t>ECMER</t>
  </si>
  <si>
    <t>VLG2GP</t>
  </si>
  <si>
    <t>LEPA</t>
  </si>
  <si>
    <t>SWR7YT</t>
  </si>
  <si>
    <t>LSZH</t>
  </si>
  <si>
    <t>HBIOH</t>
  </si>
  <si>
    <t>VLG4SW</t>
  </si>
  <si>
    <t>ECNLV</t>
  </si>
  <si>
    <t>RYR282G</t>
  </si>
  <si>
    <t>ELLX</t>
  </si>
  <si>
    <t>9HQEW</t>
  </si>
  <si>
    <t>RYR82RX</t>
  </si>
  <si>
    <t>GCXO</t>
  </si>
  <si>
    <t>EIENF</t>
  </si>
  <si>
    <t>KLM73T</t>
  </si>
  <si>
    <t>EHAM</t>
  </si>
  <si>
    <t>PHBXL</t>
  </si>
  <si>
    <t>VLG23TK</t>
  </si>
  <si>
    <t>ECMLD</t>
  </si>
  <si>
    <t>ETD1HA</t>
  </si>
  <si>
    <t>B78X</t>
  </si>
  <si>
    <t>OMAA</t>
  </si>
  <si>
    <t>A6BMI</t>
  </si>
  <si>
    <t>VLG46YB</t>
  </si>
  <si>
    <t>LDDU</t>
  </si>
  <si>
    <t>VLG3YR</t>
  </si>
  <si>
    <t>ECOGE</t>
  </si>
  <si>
    <t>QTR68R</t>
  </si>
  <si>
    <t>B789</t>
  </si>
  <si>
    <t>OTHH</t>
  </si>
  <si>
    <t>A7BHF</t>
  </si>
  <si>
    <t>VLG68LT</t>
  </si>
  <si>
    <t>ECNUP</t>
  </si>
  <si>
    <t>VLG3LK</t>
  </si>
  <si>
    <t>ECMQB</t>
  </si>
  <si>
    <t>VLG4VF</t>
  </si>
  <si>
    <t>ECMGZ</t>
  </si>
  <si>
    <t>VLG2QW</t>
  </si>
  <si>
    <t>LEMG</t>
  </si>
  <si>
    <t>ECNLY</t>
  </si>
  <si>
    <t>DAL250</t>
  </si>
  <si>
    <t>A339</t>
  </si>
  <si>
    <t>KBOS</t>
  </si>
  <si>
    <t>N401DZ</t>
  </si>
  <si>
    <t>VLG44WK</t>
  </si>
  <si>
    <t>EBBR</t>
  </si>
  <si>
    <t>ECNLX</t>
  </si>
  <si>
    <t>VLG6UW</t>
  </si>
  <si>
    <t>ECMAH</t>
  </si>
  <si>
    <t>VLG1YW</t>
  </si>
  <si>
    <t>VLG51FM</t>
  </si>
  <si>
    <t>LEXJ</t>
  </si>
  <si>
    <t>ECMEL</t>
  </si>
  <si>
    <t>RYR77ZB</t>
  </si>
  <si>
    <t>EIEFG</t>
  </si>
  <si>
    <t>VLG38HJ</t>
  </si>
  <si>
    <t>LFLL</t>
  </si>
  <si>
    <t>VLG593U</t>
  </si>
  <si>
    <t>A21N</t>
  </si>
  <si>
    <t>ECNYF</t>
  </si>
  <si>
    <t>CCA577</t>
  </si>
  <si>
    <t>ZSPD</t>
  </si>
  <si>
    <t>B1085</t>
  </si>
  <si>
    <t>VLG73QE</t>
  </si>
  <si>
    <t>LEBB</t>
  </si>
  <si>
    <t>ECMMU</t>
  </si>
  <si>
    <t>VLG7830</t>
  </si>
  <si>
    <t>EGKK</t>
  </si>
  <si>
    <t>ECMES</t>
  </si>
  <si>
    <t>VLG1MA</t>
  </si>
  <si>
    <t>LIMJ</t>
  </si>
  <si>
    <t>ECNCU</t>
  </si>
  <si>
    <t>DLH03K</t>
  </si>
  <si>
    <t>EDDF</t>
  </si>
  <si>
    <t>DAIEQ</t>
  </si>
  <si>
    <t>EJU85AR</t>
  </si>
  <si>
    <t>OELSF</t>
  </si>
  <si>
    <t>EJU37TW</t>
  </si>
  <si>
    <t>OELQU</t>
  </si>
  <si>
    <t>IBE04RC</t>
  </si>
  <si>
    <t>LEMD</t>
  </si>
  <si>
    <t>ECNAY</t>
  </si>
  <si>
    <t>EJU14CG</t>
  </si>
  <si>
    <t>LFSB</t>
  </si>
  <si>
    <t>OELKC</t>
  </si>
  <si>
    <t>VLG1265</t>
  </si>
  <si>
    <t>ESSA</t>
  </si>
  <si>
    <t>ECMKN</t>
  </si>
  <si>
    <t>VLG64ZA</t>
  </si>
  <si>
    <t>ECMXP</t>
  </si>
  <si>
    <t>VLG1PT</t>
  </si>
  <si>
    <t>LEIB</t>
  </si>
  <si>
    <t>ECMJR</t>
  </si>
  <si>
    <t>VLG53PC</t>
  </si>
  <si>
    <t>LDSP</t>
  </si>
  <si>
    <t>ECMFN</t>
  </si>
  <si>
    <t>VLG8CB</t>
  </si>
  <si>
    <t>LEGR</t>
  </si>
  <si>
    <t>ECOFU</t>
  </si>
  <si>
    <t>VLG6LC</t>
  </si>
  <si>
    <t>ECMHS</t>
  </si>
  <si>
    <t>VLG7EY</t>
  </si>
  <si>
    <t>ECMOO</t>
  </si>
  <si>
    <t>VLG8SJ</t>
  </si>
  <si>
    <t>LEAS</t>
  </si>
  <si>
    <t>ECLOP</t>
  </si>
  <si>
    <t>RYR14DQ</t>
  </si>
  <si>
    <t>EIIJL</t>
  </si>
  <si>
    <t>VLG76GZ</t>
  </si>
  <si>
    <t>ECMGY</t>
  </si>
  <si>
    <t>VLG11TT</t>
  </si>
  <si>
    <t>ECKDX</t>
  </si>
  <si>
    <t>VLG4PL</t>
  </si>
  <si>
    <t>EDDS</t>
  </si>
  <si>
    <t>VLG2472</t>
  </si>
  <si>
    <t>ECMMH</t>
  </si>
  <si>
    <t>VLG8VX</t>
  </si>
  <si>
    <t>LIRN</t>
  </si>
  <si>
    <t>ECMPV</t>
  </si>
  <si>
    <t>VLG84ZE</t>
  </si>
  <si>
    <t>EGLL</t>
  </si>
  <si>
    <t>ECODM</t>
  </si>
  <si>
    <t>VLG1XG</t>
  </si>
  <si>
    <t>ECLUN</t>
  </si>
  <si>
    <t>VLG2974</t>
  </si>
  <si>
    <t>LFRS</t>
  </si>
  <si>
    <t>ECMHB</t>
  </si>
  <si>
    <t>VLG4CG</t>
  </si>
  <si>
    <t>LEAL</t>
  </si>
  <si>
    <t>ECMVD</t>
  </si>
  <si>
    <t>VLG6ZP</t>
  </si>
  <si>
    <t>ECMCU</t>
  </si>
  <si>
    <t>VLG9VG</t>
  </si>
  <si>
    <t>EDDM</t>
  </si>
  <si>
    <t>ECNYE</t>
  </si>
  <si>
    <t>WMT262</t>
  </si>
  <si>
    <t>LROP</t>
  </si>
  <si>
    <t>9HWAY</t>
  </si>
  <si>
    <t>RYR2SY</t>
  </si>
  <si>
    <t>ACA822</t>
  </si>
  <si>
    <t>B77W</t>
  </si>
  <si>
    <t>CYUL</t>
  </si>
  <si>
    <t>CFIUL</t>
  </si>
  <si>
    <t>VLG65MT</t>
  </si>
  <si>
    <t>LECO</t>
  </si>
  <si>
    <t>ECMHA</t>
  </si>
  <si>
    <t>VLG5YL</t>
  </si>
  <si>
    <t>GCFV</t>
  </si>
  <si>
    <t>ECKDH</t>
  </si>
  <si>
    <t>VLG91MM</t>
  </si>
  <si>
    <t>EDDH</t>
  </si>
  <si>
    <t>ECMLM</t>
  </si>
  <si>
    <t>CCA845</t>
  </si>
  <si>
    <t>ZBAA</t>
  </si>
  <si>
    <t>B307C</t>
  </si>
  <si>
    <t>VLG56ND</t>
  </si>
  <si>
    <t>LESO</t>
  </si>
  <si>
    <t>ECMIQ</t>
  </si>
  <si>
    <t>AEA14ZJ</t>
  </si>
  <si>
    <t>ECLQX</t>
  </si>
  <si>
    <t>VLG47KA</t>
  </si>
  <si>
    <t>ECMFK</t>
  </si>
  <si>
    <t>VLG3722</t>
  </si>
  <si>
    <t>VLG45PN</t>
  </si>
  <si>
    <t>ECLVO</t>
  </si>
  <si>
    <t>VLG26NX</t>
  </si>
  <si>
    <t>ECMEA</t>
  </si>
  <si>
    <t>VLG6HA</t>
  </si>
  <si>
    <t>LEZL</t>
  </si>
  <si>
    <t>ECOKH</t>
  </si>
  <si>
    <t>BAW47C</t>
  </si>
  <si>
    <t>GEUUO</t>
  </si>
  <si>
    <t>VLG6XL</t>
  </si>
  <si>
    <t>ECOGC</t>
  </si>
  <si>
    <t>VLG3BV</t>
  </si>
  <si>
    <t>LEST</t>
  </si>
  <si>
    <t>ECMAN</t>
  </si>
  <si>
    <t>FIA511</t>
  </si>
  <si>
    <t>LUKK</t>
  </si>
  <si>
    <t>ER00008</t>
  </si>
  <si>
    <t>EJU73YK</t>
  </si>
  <si>
    <t>EGGD</t>
  </si>
  <si>
    <t>OELQQ</t>
  </si>
  <si>
    <t>RYR47WZ</t>
  </si>
  <si>
    <t>EYVI</t>
  </si>
  <si>
    <t>SPRZK</t>
  </si>
  <si>
    <t>LHX93U</t>
  </si>
  <si>
    <t>DAIJN</t>
  </si>
  <si>
    <t>THY1852</t>
  </si>
  <si>
    <t>LTFM</t>
  </si>
  <si>
    <t>TCJVJ</t>
  </si>
  <si>
    <t>RYR4VD</t>
  </si>
  <si>
    <t>9HQEU</t>
  </si>
  <si>
    <t>DLH98Y</t>
  </si>
  <si>
    <t>DAISP</t>
  </si>
  <si>
    <t>TRA5B</t>
  </si>
  <si>
    <t>PHHSI</t>
  </si>
  <si>
    <t>CPA321</t>
  </si>
  <si>
    <t>VHHH</t>
  </si>
  <si>
    <t>BLRC</t>
  </si>
  <si>
    <t>VLG7QA</t>
  </si>
  <si>
    <t>GMMI</t>
  </si>
  <si>
    <t>ECKDG</t>
  </si>
  <si>
    <t>RYR1VJ</t>
  </si>
  <si>
    <t>9HQAD</t>
  </si>
  <si>
    <t>RYR130V</t>
  </si>
  <si>
    <t>9HQEH</t>
  </si>
  <si>
    <t>VLG73LA</t>
  </si>
  <si>
    <t>ECNFK</t>
  </si>
  <si>
    <t>EWG4214</t>
  </si>
  <si>
    <t>9HEUN</t>
  </si>
  <si>
    <t>DAL128</t>
  </si>
  <si>
    <t>B764</t>
  </si>
  <si>
    <t>N841MH</t>
  </si>
  <si>
    <t>VLG6001</t>
  </si>
  <si>
    <t>LIRQ</t>
  </si>
  <si>
    <t>ECMKV</t>
  </si>
  <si>
    <t>NSZ3DA</t>
  </si>
  <si>
    <t>SERRF</t>
  </si>
  <si>
    <t>RYR17MW</t>
  </si>
  <si>
    <t>LHBP</t>
  </si>
  <si>
    <t>SPRSI</t>
  </si>
  <si>
    <t>WMT2NV</t>
  </si>
  <si>
    <t>LOWW</t>
  </si>
  <si>
    <t>9HWAO</t>
  </si>
  <si>
    <t>NSZ5526</t>
  </si>
  <si>
    <t>ENBR</t>
  </si>
  <si>
    <t>SERPE</t>
  </si>
  <si>
    <t>RYR6882</t>
  </si>
  <si>
    <t>UAL992</t>
  </si>
  <si>
    <t>KIAD</t>
  </si>
  <si>
    <t>N24974</t>
  </si>
  <si>
    <t>RYR53EB</t>
  </si>
  <si>
    <t>IBE04TP</t>
  </si>
  <si>
    <t>ECJZM</t>
  </si>
  <si>
    <t>RYR519Z</t>
  </si>
  <si>
    <t>EVRA</t>
  </si>
  <si>
    <t>SPRKS</t>
  </si>
  <si>
    <t>VLG1423</t>
  </si>
  <si>
    <t>ECJYX</t>
  </si>
  <si>
    <t>WZZ9AR</t>
  </si>
  <si>
    <t>9HWDT</t>
  </si>
  <si>
    <t>RYR11SX</t>
  </si>
  <si>
    <t>EPKK</t>
  </si>
  <si>
    <t>SPRZI</t>
  </si>
  <si>
    <t>KLM1497</t>
  </si>
  <si>
    <t>E190</t>
  </si>
  <si>
    <t>DACJJ</t>
  </si>
  <si>
    <t>EJU98TL</t>
  </si>
  <si>
    <t>VLG15SY</t>
  </si>
  <si>
    <t>ECOJH</t>
  </si>
  <si>
    <t>UAL120</t>
  </si>
  <si>
    <t>KEWR</t>
  </si>
  <si>
    <t>N795UA</t>
  </si>
  <si>
    <t>VLG21PG</t>
  </si>
  <si>
    <t>UAE81W</t>
  </si>
  <si>
    <t>B77L</t>
  </si>
  <si>
    <t>OMDB</t>
  </si>
  <si>
    <t>A6EWJ</t>
  </si>
  <si>
    <t>AAL742</t>
  </si>
  <si>
    <t>KPHL</t>
  </si>
  <si>
    <t>N820AL</t>
  </si>
  <si>
    <t>VLG93DX</t>
  </si>
  <si>
    <t>ECLVP</t>
  </si>
  <si>
    <t>AEA58PB</t>
  </si>
  <si>
    <t>ECOFP</t>
  </si>
  <si>
    <t>RYR38BG</t>
  </si>
  <si>
    <t>EIENP</t>
  </si>
  <si>
    <t>NSZ56V</t>
  </si>
  <si>
    <t>SENAA</t>
  </si>
  <si>
    <t>VLG684H</t>
  </si>
  <si>
    <t>SWR4XH</t>
  </si>
  <si>
    <t>HBIOM</t>
  </si>
  <si>
    <t>SEU403</t>
  </si>
  <si>
    <t>9HPEC</t>
  </si>
  <si>
    <t>AUA391A</t>
  </si>
  <si>
    <t>OELBS</t>
  </si>
  <si>
    <t>WMT6025</t>
  </si>
  <si>
    <t>9HWNQ</t>
  </si>
  <si>
    <t>VLG200Z</t>
  </si>
  <si>
    <t>WZZ2407</t>
  </si>
  <si>
    <t>EPWR</t>
  </si>
  <si>
    <t>9HWMG</t>
  </si>
  <si>
    <t>AFR17ZG</t>
  </si>
  <si>
    <t>FGTAP</t>
  </si>
  <si>
    <t>VLG36GQ</t>
  </si>
  <si>
    <t>ECMVE</t>
  </si>
  <si>
    <t>RYR18QV</t>
  </si>
  <si>
    <t>ELY393</t>
  </si>
  <si>
    <t>B739</t>
  </si>
  <si>
    <t>LLBG</t>
  </si>
  <si>
    <t>4XEHB</t>
  </si>
  <si>
    <t>VLG7CV</t>
  </si>
  <si>
    <t>RYR95TH</t>
  </si>
  <si>
    <t>EGSS</t>
  </si>
  <si>
    <t>EIDWM</t>
  </si>
  <si>
    <t>AEA38LZ</t>
  </si>
  <si>
    <t>WMT641</t>
  </si>
  <si>
    <t>LATI</t>
  </si>
  <si>
    <t>HALTC</t>
  </si>
  <si>
    <t>VLG4TJ</t>
  </si>
  <si>
    <t>VLG9DP</t>
  </si>
  <si>
    <t>WZZ636</t>
  </si>
  <si>
    <t>9HWDJ</t>
  </si>
  <si>
    <t>MAC377C</t>
  </si>
  <si>
    <t>CNNML</t>
  </si>
  <si>
    <t>VLG7481</t>
  </si>
  <si>
    <t>VLG6VG</t>
  </si>
  <si>
    <t>SAS65D</t>
  </si>
  <si>
    <t>SEROE</t>
  </si>
  <si>
    <t>DLH55K</t>
  </si>
  <si>
    <t>DAIEN</t>
  </si>
  <si>
    <t>VLG67PA</t>
  </si>
  <si>
    <t>FIA512</t>
  </si>
  <si>
    <t>ACA820</t>
  </si>
  <si>
    <t>CYYZ</t>
  </si>
  <si>
    <t>CFIVM</t>
  </si>
  <si>
    <t>RYR23VU</t>
  </si>
  <si>
    <t>LHX06E</t>
  </si>
  <si>
    <t>RYR70YX</t>
  </si>
  <si>
    <t>VLG70WL</t>
  </si>
  <si>
    <t>ECODL</t>
  </si>
  <si>
    <t>AVA018</t>
  </si>
  <si>
    <t>B788</t>
  </si>
  <si>
    <t>SKBO</t>
  </si>
  <si>
    <t>N780AV</t>
  </si>
  <si>
    <t>TRA3T</t>
  </si>
  <si>
    <t>RYR97BB</t>
  </si>
  <si>
    <t>VLG5FN</t>
  </si>
  <si>
    <t>VLG9FC</t>
  </si>
  <si>
    <t>EWG64N</t>
  </si>
  <si>
    <t>EDDK</t>
  </si>
  <si>
    <t>DAENF</t>
  </si>
  <si>
    <t>VLG7369</t>
  </si>
  <si>
    <t>EZY48HQ</t>
  </si>
  <si>
    <t>EGAA</t>
  </si>
  <si>
    <t>GUZLF</t>
  </si>
  <si>
    <t>VLG50RV</t>
  </si>
  <si>
    <t>RYR65HW</t>
  </si>
  <si>
    <t>QTR138</t>
  </si>
  <si>
    <t>IBE04LK</t>
  </si>
  <si>
    <t>N818CA</t>
  </si>
  <si>
    <t>GA5C</t>
  </si>
  <si>
    <t>TAM8114</t>
  </si>
  <si>
    <t>SBGR</t>
  </si>
  <si>
    <t>CCBGM</t>
  </si>
  <si>
    <t>RYR33ML</t>
  </si>
  <si>
    <t>GMMX</t>
  </si>
  <si>
    <t>VLG94MT</t>
  </si>
  <si>
    <t>NSZ2900</t>
  </si>
  <si>
    <t>EFHK</t>
  </si>
  <si>
    <t>SERTA</t>
  </si>
  <si>
    <t>RYR83YF</t>
  </si>
  <si>
    <t>WMT182</t>
  </si>
  <si>
    <t>EWG71W</t>
  </si>
  <si>
    <t>EDDL</t>
  </si>
  <si>
    <t>DABZN</t>
  </si>
  <si>
    <t>RYR2VW</t>
  </si>
  <si>
    <t>DAL194</t>
  </si>
  <si>
    <t>KATL</t>
  </si>
  <si>
    <t>N572DZ</t>
  </si>
  <si>
    <t>KLM1498</t>
  </si>
  <si>
    <t>RYR39XE</t>
  </si>
  <si>
    <t>EIEMK</t>
  </si>
  <si>
    <t>EJU7106</t>
  </si>
  <si>
    <t>IBE04AM</t>
  </si>
  <si>
    <t>ECJDR</t>
  </si>
  <si>
    <t>VLG13JE</t>
  </si>
  <si>
    <t>RYR38YM</t>
  </si>
  <si>
    <t>RYR39UM</t>
  </si>
  <si>
    <t>EGPH</t>
  </si>
  <si>
    <t>9HVVI</t>
  </si>
  <si>
    <t>VLG745N</t>
  </si>
  <si>
    <t>EGBB</t>
  </si>
  <si>
    <t>VLG6MB</t>
  </si>
  <si>
    <t>AAL112</t>
  </si>
  <si>
    <t>KMIA</t>
  </si>
  <si>
    <t>N803AL</t>
  </si>
  <si>
    <t>WZZ17JZ</t>
  </si>
  <si>
    <t>DAL251</t>
  </si>
  <si>
    <t>VLG5RJ</t>
  </si>
  <si>
    <t>RYR8285</t>
  </si>
  <si>
    <t>VLG404P</t>
  </si>
  <si>
    <t>ECLVU</t>
  </si>
  <si>
    <t>WZZ3081</t>
  </si>
  <si>
    <t>9HWAF</t>
  </si>
  <si>
    <t>EZY53KT</t>
  </si>
  <si>
    <t>EGGW</t>
  </si>
  <si>
    <t>GEZAN</t>
  </si>
  <si>
    <t>CYP322</t>
  </si>
  <si>
    <t>BCS3</t>
  </si>
  <si>
    <t>LCLK</t>
  </si>
  <si>
    <t>5BDEF</t>
  </si>
  <si>
    <t>VLG2009</t>
  </si>
  <si>
    <t>RYR66GR</t>
  </si>
  <si>
    <t>EIN5HJ</t>
  </si>
  <si>
    <t>EINSA</t>
  </si>
  <si>
    <t>VLG77TL</t>
  </si>
  <si>
    <t>RYR64ZN</t>
  </si>
  <si>
    <t>SWR96M</t>
  </si>
  <si>
    <t>EWG4215</t>
  </si>
  <si>
    <t>EXS73PU</t>
  </si>
  <si>
    <t>OMLEX</t>
  </si>
  <si>
    <t>KLM87P</t>
  </si>
  <si>
    <t>PHBXS</t>
  </si>
  <si>
    <t>WZZ521</t>
  </si>
  <si>
    <t>ICC03</t>
  </si>
  <si>
    <t>C208</t>
  </si>
  <si>
    <t>ECIRV</t>
  </si>
  <si>
    <t>AUA39H</t>
  </si>
  <si>
    <t>AFR75AZ</t>
  </si>
  <si>
    <t>NSZ365L</t>
  </si>
  <si>
    <t>VLG62RM</t>
  </si>
  <si>
    <t>NSZ4251</t>
  </si>
  <si>
    <t>SERXB</t>
  </si>
  <si>
    <t>VLG4NV</t>
  </si>
  <si>
    <t>WMT2DX</t>
  </si>
  <si>
    <t>VLG64RZ</t>
  </si>
  <si>
    <t>VLG31WN</t>
  </si>
  <si>
    <t>MAC376V</t>
  </si>
  <si>
    <t>GMMW</t>
  </si>
  <si>
    <t>THY90W</t>
  </si>
  <si>
    <t>A333</t>
  </si>
  <si>
    <t>TCJNJ</t>
  </si>
  <si>
    <t>RYR2246</t>
  </si>
  <si>
    <t>EDC996</t>
  </si>
  <si>
    <t>E550</t>
  </si>
  <si>
    <t>EGCC</t>
  </si>
  <si>
    <t>GWLKR</t>
  </si>
  <si>
    <t>EZY94BU</t>
  </si>
  <si>
    <t>EGPF</t>
  </si>
  <si>
    <t>GEZOK</t>
  </si>
  <si>
    <t>SAS51B</t>
  </si>
  <si>
    <t>WJA66</t>
  </si>
  <si>
    <t>CYHZ</t>
  </si>
  <si>
    <t>CGEHF</t>
  </si>
  <si>
    <t>VLG2485</t>
  </si>
  <si>
    <t>ANE45ZG</t>
  </si>
  <si>
    <t>LEBZ</t>
  </si>
  <si>
    <t>JCO025M</t>
  </si>
  <si>
    <t>GLEX</t>
  </si>
  <si>
    <t>LGRP</t>
  </si>
  <si>
    <t>GIFMI</t>
  </si>
  <si>
    <t>VLG2EE</t>
  </si>
  <si>
    <t>ECLLJ</t>
  </si>
  <si>
    <t>VLG22YH</t>
  </si>
  <si>
    <t>EWG78ZW</t>
  </si>
  <si>
    <t>RYR57WZ</t>
  </si>
  <si>
    <t>WZZ979</t>
  </si>
  <si>
    <t>AAL192</t>
  </si>
  <si>
    <t>KDFW</t>
  </si>
  <si>
    <t>N826AN</t>
  </si>
  <si>
    <t>AHY045</t>
  </si>
  <si>
    <t>UBBB</t>
  </si>
  <si>
    <t>4KAZ03</t>
  </si>
  <si>
    <t>VLG33KR</t>
  </si>
  <si>
    <t>RYR7NQ</t>
  </si>
  <si>
    <t>VLG190W</t>
  </si>
  <si>
    <t>VLG5ZF</t>
  </si>
  <si>
    <t>VLG2CL</t>
  </si>
  <si>
    <t>ITY074</t>
  </si>
  <si>
    <t>EIHOM</t>
  </si>
  <si>
    <t>FIN07RT</t>
  </si>
  <si>
    <t>OYRUU</t>
  </si>
  <si>
    <t>EZY68NR</t>
  </si>
  <si>
    <t>GEZFT</t>
  </si>
  <si>
    <t>VLG8250</t>
  </si>
  <si>
    <t>DLH31H</t>
  </si>
  <si>
    <t>DAL129</t>
  </si>
  <si>
    <t>VLG6NA</t>
  </si>
  <si>
    <t>WMT277</t>
  </si>
  <si>
    <t>RYR10NA</t>
  </si>
  <si>
    <t>VLG37RL</t>
  </si>
  <si>
    <t>WMT95Z</t>
  </si>
  <si>
    <t>VLG1VM</t>
  </si>
  <si>
    <t>DFC63L</t>
  </si>
  <si>
    <t>C56X</t>
  </si>
  <si>
    <t>OKBIZ</t>
  </si>
  <si>
    <t>JME210N</t>
  </si>
  <si>
    <t>GALX</t>
  </si>
  <si>
    <t>ECKRN</t>
  </si>
  <si>
    <t>VLG9ML</t>
  </si>
  <si>
    <t>VLG29BB</t>
  </si>
  <si>
    <t>DLH77T</t>
  </si>
  <si>
    <t>DAIDX</t>
  </si>
  <si>
    <t>EZY78AF</t>
  </si>
  <si>
    <t>VLG52FK</t>
  </si>
  <si>
    <t>ECJTQ</t>
  </si>
  <si>
    <t>EJU32WH</t>
  </si>
  <si>
    <t>VLG2JJ</t>
  </si>
  <si>
    <t>ECMJB</t>
  </si>
  <si>
    <t>VLG63UE</t>
  </si>
  <si>
    <t>EDDB</t>
  </si>
  <si>
    <t>SEU404</t>
  </si>
  <si>
    <t>RYR4LV</t>
  </si>
  <si>
    <t>ETD35Q</t>
  </si>
  <si>
    <t>VLG3DQ</t>
  </si>
  <si>
    <t>VLG7BN</t>
  </si>
  <si>
    <t>VLG48RF</t>
  </si>
  <si>
    <t>VLG6504</t>
  </si>
  <si>
    <t>IBE0408</t>
  </si>
  <si>
    <t>AEE710</t>
  </si>
  <si>
    <t>SXNAK</t>
  </si>
  <si>
    <t>AFR44HZ</t>
  </si>
  <si>
    <t>FGTAQ</t>
  </si>
  <si>
    <t>VLG123D</t>
  </si>
  <si>
    <t>VLG78TV</t>
  </si>
  <si>
    <t>WZZ1053</t>
  </si>
  <si>
    <t>TAP1030</t>
  </si>
  <si>
    <t>LYWSA</t>
  </si>
  <si>
    <t>EWG6UP</t>
  </si>
  <si>
    <t>RYR81BC</t>
  </si>
  <si>
    <t>AAL40</t>
  </si>
  <si>
    <t>KORD</t>
  </si>
  <si>
    <t>N870AX</t>
  </si>
  <si>
    <t>EJU61VN</t>
  </si>
  <si>
    <t>IBE2603</t>
  </si>
  <si>
    <t>EZY57HF</t>
  </si>
  <si>
    <t>VLG2MC</t>
  </si>
  <si>
    <t>RYR40ZB</t>
  </si>
  <si>
    <t>VLG751K</t>
  </si>
  <si>
    <t>EDDV</t>
  </si>
  <si>
    <t>NSZ2901</t>
  </si>
  <si>
    <t>RYR72PP</t>
  </si>
  <si>
    <t>LICJ</t>
  </si>
  <si>
    <t>9HQBM</t>
  </si>
  <si>
    <t>QQE256</t>
  </si>
  <si>
    <t>GLF6</t>
  </si>
  <si>
    <t>LFMN</t>
  </si>
  <si>
    <t>A7CGG</t>
  </si>
  <si>
    <t>RYR745M</t>
  </si>
  <si>
    <t>AEA56GM</t>
  </si>
  <si>
    <t>EXS69VT</t>
  </si>
  <si>
    <t>GJZHX</t>
  </si>
  <si>
    <t>RYR6SU</t>
  </si>
  <si>
    <t>ABR291</t>
  </si>
  <si>
    <t>EDDP</t>
  </si>
  <si>
    <t>EIAZG</t>
  </si>
  <si>
    <t>VLG33BZ</t>
  </si>
  <si>
    <t>UAL991</t>
  </si>
  <si>
    <t>VLG8GA</t>
  </si>
  <si>
    <t>BEL8DL</t>
  </si>
  <si>
    <t>OOTCH</t>
  </si>
  <si>
    <t>KLM1512</t>
  </si>
  <si>
    <t>RYR68HJ</t>
  </si>
  <si>
    <t>VLG7CH</t>
  </si>
  <si>
    <t>LPFR</t>
  </si>
  <si>
    <t>VLG7GX</t>
  </si>
  <si>
    <t>VLG69EA</t>
  </si>
  <si>
    <t>VLG4DC</t>
  </si>
  <si>
    <t>VLG7TJ</t>
  </si>
  <si>
    <t>DLH39X</t>
  </si>
  <si>
    <t>DAISV</t>
  </si>
  <si>
    <t>VLG4MW</t>
  </si>
  <si>
    <t>VLG49ND</t>
  </si>
  <si>
    <t>RYR3471</t>
  </si>
  <si>
    <t>IBE26BT</t>
  </si>
  <si>
    <t>ECNRG</t>
  </si>
  <si>
    <t>ELY394</t>
  </si>
  <si>
    <t>VLG83CA</t>
  </si>
  <si>
    <t>LFBD</t>
  </si>
  <si>
    <t>VLG1869</t>
  </si>
  <si>
    <t>RYR1TV</t>
  </si>
  <si>
    <t>TVF12YC</t>
  </si>
  <si>
    <t>FHXSB</t>
  </si>
  <si>
    <t>MMMX</t>
  </si>
  <si>
    <t>EZY68WE</t>
  </si>
  <si>
    <t>EXS37FA</t>
  </si>
  <si>
    <t>VLG2TP</t>
  </si>
  <si>
    <t>VLG8010</t>
  </si>
  <si>
    <t>DAL168</t>
  </si>
  <si>
    <t>N810NW</t>
  </si>
  <si>
    <t>NSZ2NJ</t>
  </si>
  <si>
    <t>VLG4QA</t>
  </si>
  <si>
    <t>EZY68YK</t>
  </si>
  <si>
    <t>VLG3AW</t>
  </si>
  <si>
    <t>VLG45FL</t>
  </si>
  <si>
    <t>LIBD</t>
  </si>
  <si>
    <t>VLG41QL</t>
  </si>
  <si>
    <t>VLG68LU</t>
  </si>
  <si>
    <t>EIN5WG</t>
  </si>
  <si>
    <t>RYR74XY</t>
  </si>
  <si>
    <t>VLG2EQ</t>
  </si>
  <si>
    <t>ITY077</t>
  </si>
  <si>
    <t>BAW484C</t>
  </si>
  <si>
    <t>GEUOE</t>
  </si>
  <si>
    <t>VLG49SM</t>
  </si>
  <si>
    <t>WMT3025</t>
  </si>
  <si>
    <t>9HWNI</t>
  </si>
  <si>
    <t>VLG8SD</t>
  </si>
  <si>
    <t>WJA8</t>
  </si>
  <si>
    <t>CYYC</t>
  </si>
  <si>
    <t>CGKKN</t>
  </si>
  <si>
    <t>VLG2QK</t>
  </si>
  <si>
    <t>CYP323</t>
  </si>
  <si>
    <t>NMA7800</t>
  </si>
  <si>
    <t>HELX</t>
  </si>
  <si>
    <t>SUNMH</t>
  </si>
  <si>
    <t>RYR6362</t>
  </si>
  <si>
    <t>RYR588Q</t>
  </si>
  <si>
    <t>SIA387</t>
  </si>
  <si>
    <t>AEA84SQ</t>
  </si>
  <si>
    <t>VLG3WY</t>
  </si>
  <si>
    <t>RYR6TA</t>
  </si>
  <si>
    <t>AAL41</t>
  </si>
  <si>
    <t>DAL195</t>
  </si>
  <si>
    <t>EJU96WZ</t>
  </si>
  <si>
    <t>VLG1306</t>
  </si>
  <si>
    <t>AHY046</t>
  </si>
  <si>
    <t>VLG6JG</t>
  </si>
  <si>
    <t>ECMYB</t>
  </si>
  <si>
    <t>VLG69GB</t>
  </si>
  <si>
    <t>AAO14</t>
  </si>
  <si>
    <t>E50P</t>
  </si>
  <si>
    <t>OKVAN</t>
  </si>
  <si>
    <t>LOT437</t>
  </si>
  <si>
    <t>SPLWD</t>
  </si>
  <si>
    <t>JFA99X</t>
  </si>
  <si>
    <t>PC24</t>
  </si>
  <si>
    <t>LSZA</t>
  </si>
  <si>
    <t>LXZAP</t>
  </si>
  <si>
    <t>VLG4AT</t>
  </si>
  <si>
    <t>VLG21ER</t>
  </si>
  <si>
    <t>KLM41H</t>
  </si>
  <si>
    <t>PHBXF</t>
  </si>
  <si>
    <t>VLG17WR</t>
  </si>
  <si>
    <t>DLH92J</t>
  </si>
  <si>
    <t>AXE8108</t>
  </si>
  <si>
    <t>B733</t>
  </si>
  <si>
    <t>LYCHF</t>
  </si>
  <si>
    <t>AEA6037</t>
  </si>
  <si>
    <t>VLG9SY</t>
  </si>
  <si>
    <t>RYR6QP</t>
  </si>
  <si>
    <t>DLH51F</t>
  </si>
  <si>
    <t>DAIUE</t>
  </si>
  <si>
    <t>AXY632K</t>
  </si>
  <si>
    <t>CRJ2</t>
  </si>
  <si>
    <t>9HYOU</t>
  </si>
  <si>
    <t>THY1854</t>
  </si>
  <si>
    <t>PGT1ZF</t>
  </si>
  <si>
    <t>LTFJ</t>
  </si>
  <si>
    <t>TCRBL</t>
  </si>
  <si>
    <t>RYR4QJ</t>
  </si>
  <si>
    <t>EIEMA</t>
  </si>
  <si>
    <t>VLG3KG</t>
  </si>
  <si>
    <t>NJE619H</t>
  </si>
  <si>
    <t>CL35</t>
  </si>
  <si>
    <t>CSCHD</t>
  </si>
  <si>
    <t>VLG8PQ</t>
  </si>
  <si>
    <t>ACA823</t>
  </si>
  <si>
    <t>CCA846</t>
  </si>
  <si>
    <t>EJU86QA</t>
  </si>
  <si>
    <t>VLG5HA</t>
  </si>
  <si>
    <t>VLG57RJ</t>
  </si>
  <si>
    <t>LIEO</t>
  </si>
  <si>
    <t>AEE711</t>
  </si>
  <si>
    <t>UAL121</t>
  </si>
  <si>
    <t>AAL193</t>
  </si>
  <si>
    <t>BEL7MF</t>
  </si>
  <si>
    <t>IBE2630</t>
  </si>
  <si>
    <t>ECOHY</t>
  </si>
  <si>
    <t>EJU48YF</t>
  </si>
  <si>
    <t>IBE04YZ</t>
  </si>
  <si>
    <t>ECJDM</t>
  </si>
  <si>
    <t>RYR5293</t>
  </si>
  <si>
    <t>VLG141P</t>
  </si>
  <si>
    <t>VLG71PG</t>
  </si>
  <si>
    <t>VLG8BL</t>
  </si>
  <si>
    <t>LEJR</t>
  </si>
  <si>
    <t>N412JK</t>
  </si>
  <si>
    <t>KTEB</t>
  </si>
  <si>
    <t>VLG55UB</t>
  </si>
  <si>
    <t>IBE26MK</t>
  </si>
  <si>
    <t>CSTKH</t>
  </si>
  <si>
    <t>VLG16CP</t>
  </si>
  <si>
    <t>VLG93YP</t>
  </si>
  <si>
    <t>WJA67</t>
  </si>
  <si>
    <t>RYR29LL</t>
  </si>
  <si>
    <t>DLH76E</t>
  </si>
  <si>
    <t>DAINJ</t>
  </si>
  <si>
    <t>VLG46TQ</t>
  </si>
  <si>
    <t>VLG8ZX</t>
  </si>
  <si>
    <t>TSC260</t>
  </si>
  <si>
    <t>CGOKG</t>
  </si>
  <si>
    <t>VLG2DY</t>
  </si>
  <si>
    <t>VLG7BQ</t>
  </si>
  <si>
    <t>TVF38NC</t>
  </si>
  <si>
    <t>KAC135</t>
  </si>
  <si>
    <t>A338</t>
  </si>
  <si>
    <t>OKKK</t>
  </si>
  <si>
    <t>9KAPF</t>
  </si>
  <si>
    <t>VLG3070</t>
  </si>
  <si>
    <t>DLH62A</t>
  </si>
  <si>
    <t>VLG87JF</t>
  </si>
  <si>
    <t>RYR7MW</t>
  </si>
  <si>
    <t>EIENG</t>
  </si>
  <si>
    <t>EXS65BM</t>
  </si>
  <si>
    <t>VLG7HU</t>
  </si>
  <si>
    <t>VLG1QC</t>
  </si>
  <si>
    <t>CCA578</t>
  </si>
  <si>
    <t>VLG93NJ</t>
  </si>
  <si>
    <t>VLG6109</t>
  </si>
  <si>
    <t>RZO506</t>
  </si>
  <si>
    <t>LPPD</t>
  </si>
  <si>
    <t>CSTSK</t>
  </si>
  <si>
    <t>VLG996B</t>
  </si>
  <si>
    <t>WMT7875</t>
  </si>
  <si>
    <t>VLG52VQ</t>
  </si>
  <si>
    <t>RYR58FA</t>
  </si>
  <si>
    <t>EBCI</t>
  </si>
  <si>
    <t>BAW474K</t>
  </si>
  <si>
    <t>GTTNT</t>
  </si>
  <si>
    <t>THY8XM</t>
  </si>
  <si>
    <t>TCJSC</t>
  </si>
  <si>
    <t>VLG7UA</t>
  </si>
  <si>
    <t>VLG56XU</t>
  </si>
  <si>
    <t>ECMVO</t>
  </si>
  <si>
    <t>AAL67</t>
  </si>
  <si>
    <t>BAW485G</t>
  </si>
  <si>
    <t>VLG985G</t>
  </si>
  <si>
    <t>CSDJI</t>
  </si>
  <si>
    <t>CPA318</t>
  </si>
  <si>
    <t>ACA821</t>
  </si>
  <si>
    <t>BTI9TZ</t>
  </si>
  <si>
    <t>YLABX</t>
  </si>
  <si>
    <t>SXS6E</t>
  </si>
  <si>
    <t>LTBJ</t>
  </si>
  <si>
    <t>TCSMN</t>
  </si>
  <si>
    <t>VLG98ZH</t>
  </si>
  <si>
    <t>ECMAO</t>
  </si>
  <si>
    <t>VLG6QM</t>
  </si>
  <si>
    <t>TRA73A</t>
  </si>
  <si>
    <t>EHRD</t>
  </si>
  <si>
    <t>PHHXB</t>
  </si>
  <si>
    <t>EJU32VL</t>
  </si>
  <si>
    <t>TAP1031</t>
  </si>
  <si>
    <t>KLM48J</t>
  </si>
  <si>
    <t>UAE256</t>
  </si>
  <si>
    <t>A6EWG</t>
  </si>
  <si>
    <t>RYR12SD</t>
  </si>
  <si>
    <t>DLH55Y</t>
  </si>
  <si>
    <t>ANE70RM</t>
  </si>
  <si>
    <t>LOT3TD</t>
  </si>
  <si>
    <t>RYR603R</t>
  </si>
  <si>
    <t>TAM8115</t>
  </si>
  <si>
    <t>VLG778R</t>
  </si>
  <si>
    <t>NJE451B</t>
  </si>
  <si>
    <t>E55P</t>
  </si>
  <si>
    <t>CSPJC</t>
  </si>
  <si>
    <t>UAL769</t>
  </si>
  <si>
    <t>N20904</t>
  </si>
  <si>
    <t>UAE185</t>
  </si>
  <si>
    <t>A388</t>
  </si>
  <si>
    <t>A6EOT</t>
  </si>
  <si>
    <t>AFR29VR</t>
  </si>
  <si>
    <t>AAL113</t>
  </si>
  <si>
    <t>VLG4SQ</t>
  </si>
  <si>
    <t>VLG2915</t>
  </si>
  <si>
    <t>RYR9DX</t>
  </si>
  <si>
    <t>VLG715N</t>
  </si>
  <si>
    <t>UAL672</t>
  </si>
  <si>
    <t>KSFO</t>
  </si>
  <si>
    <t>N218UA</t>
  </si>
  <si>
    <t>VLG6YH</t>
  </si>
  <si>
    <t>VLG7339</t>
  </si>
  <si>
    <t>RYR64VP</t>
  </si>
  <si>
    <t>EIEVT</t>
  </si>
  <si>
    <t>IBE04KP</t>
  </si>
  <si>
    <t>MAC375P</t>
  </si>
  <si>
    <t>BEL9QH</t>
  </si>
  <si>
    <t>OOSNK</t>
  </si>
  <si>
    <t>VLG9EK</t>
  </si>
  <si>
    <t>VLG84YN</t>
  </si>
  <si>
    <t>RYR33UV</t>
  </si>
  <si>
    <t>EIDCW</t>
  </si>
  <si>
    <t>RYR9MM</t>
  </si>
  <si>
    <t>EJU91VG</t>
  </si>
  <si>
    <t>IBE04BV</t>
  </si>
  <si>
    <t>RYR36EW</t>
  </si>
  <si>
    <t>RYR37AR</t>
  </si>
  <si>
    <t>PGT36QW</t>
  </si>
  <si>
    <t>VLG9UZ</t>
  </si>
  <si>
    <t>VLG62LR</t>
  </si>
  <si>
    <t>LICC</t>
  </si>
  <si>
    <t>WMT8097</t>
  </si>
  <si>
    <t>LRCL</t>
  </si>
  <si>
    <t>9HWDA</t>
  </si>
  <si>
    <t>VLG734G</t>
  </si>
  <si>
    <t>LEAM</t>
  </si>
  <si>
    <t>AAL743</t>
  </si>
  <si>
    <t>VLG584F</t>
  </si>
  <si>
    <t>ECNUO</t>
  </si>
  <si>
    <t>LSGS</t>
  </si>
  <si>
    <t>EJU52LT</t>
  </si>
  <si>
    <t>QTR25Q</t>
  </si>
  <si>
    <t>A7BHW</t>
  </si>
  <si>
    <t>VLG93TY</t>
  </si>
  <si>
    <t>VLG54HE</t>
  </si>
  <si>
    <t>DLH74K</t>
  </si>
  <si>
    <t>IBE26RR</t>
  </si>
  <si>
    <t>KLAX</t>
  </si>
  <si>
    <t>ECODA</t>
  </si>
  <si>
    <t>RYR7543</t>
  </si>
  <si>
    <t>RAM964Y</t>
  </si>
  <si>
    <t>GMMN</t>
  </si>
  <si>
    <t>CNRGW</t>
  </si>
  <si>
    <t>RYR895N</t>
  </si>
  <si>
    <t>ORO1041</t>
  </si>
  <si>
    <t>C25C</t>
  </si>
  <si>
    <t>ECNQS</t>
  </si>
  <si>
    <t>VLG10LL</t>
  </si>
  <si>
    <t>ECNBA</t>
  </si>
  <si>
    <t>VLG9VN</t>
  </si>
  <si>
    <t>AVA019</t>
  </si>
  <si>
    <t>NMA7801</t>
  </si>
  <si>
    <t>HESX</t>
  </si>
  <si>
    <t>PVA839P</t>
  </si>
  <si>
    <t>N551SW</t>
  </si>
  <si>
    <t>VLG1HW</t>
  </si>
  <si>
    <t>VLG4DX</t>
  </si>
  <si>
    <t>VLG46YC</t>
  </si>
  <si>
    <t>VLG360H</t>
  </si>
  <si>
    <t>IBE26HD</t>
  </si>
  <si>
    <t>VLG60GG</t>
  </si>
  <si>
    <t>RZO507</t>
  </si>
  <si>
    <t>VLG1GE</t>
  </si>
  <si>
    <t>VTB788</t>
  </si>
  <si>
    <t>C650</t>
  </si>
  <si>
    <t>BKPR</t>
  </si>
  <si>
    <t>HAJEM</t>
  </si>
  <si>
    <t>RYR31UE</t>
  </si>
  <si>
    <t>DAL169</t>
  </si>
  <si>
    <t>BAW475E</t>
  </si>
  <si>
    <t>VLG8JV</t>
  </si>
  <si>
    <t>ANE53GX</t>
  </si>
  <si>
    <t>LELN</t>
  </si>
  <si>
    <t>VLG98EE</t>
  </si>
  <si>
    <t>SWR87C</t>
  </si>
  <si>
    <t>HBIOD</t>
  </si>
  <si>
    <t>RYR42EB</t>
  </si>
  <si>
    <t>EIDYX</t>
  </si>
  <si>
    <t>LIRI</t>
  </si>
  <si>
    <t>VLG7HG</t>
  </si>
  <si>
    <t>AXY385Y</t>
  </si>
  <si>
    <t>VLG79UU</t>
  </si>
  <si>
    <t>EJU38KP</t>
  </si>
  <si>
    <t>OELSQ</t>
  </si>
  <si>
    <t>NSZ5527</t>
  </si>
  <si>
    <t>TRA4W</t>
  </si>
  <si>
    <t>VLG15RE</t>
  </si>
  <si>
    <t>VLG70CR</t>
  </si>
  <si>
    <t>ECOFH</t>
  </si>
  <si>
    <t>VLG8022</t>
  </si>
  <si>
    <t>SVA229</t>
  </si>
  <si>
    <t>OEJN</t>
  </si>
  <si>
    <t>HZAQ11</t>
  </si>
  <si>
    <t>THY5BG</t>
  </si>
  <si>
    <t>MSR767</t>
  </si>
  <si>
    <t>HECA</t>
  </si>
  <si>
    <t>SUGFU</t>
  </si>
  <si>
    <t>DLH04P</t>
  </si>
  <si>
    <t>DAINO</t>
  </si>
  <si>
    <t>WJA7</t>
  </si>
  <si>
    <t>RJA107</t>
  </si>
  <si>
    <t>OJAI</t>
  </si>
  <si>
    <t>JYRAH</t>
  </si>
  <si>
    <t>WZZ2JK</t>
  </si>
  <si>
    <t>EPKT</t>
  </si>
  <si>
    <t>HALWU</t>
  </si>
  <si>
    <t>VLG2PL</t>
  </si>
  <si>
    <t>ECOJF</t>
  </si>
  <si>
    <t>AEA41FY</t>
  </si>
  <si>
    <t>WMT523</t>
  </si>
  <si>
    <t>HALXQ</t>
  </si>
  <si>
    <t>VLG7NU</t>
  </si>
  <si>
    <t>RYR82GJ</t>
  </si>
  <si>
    <t>EWG2U</t>
  </si>
  <si>
    <t>DABGN</t>
  </si>
  <si>
    <t>TSC261</t>
  </si>
  <si>
    <t>WMT227</t>
  </si>
  <si>
    <t>9HWNX</t>
  </si>
  <si>
    <t>RYR9YB</t>
  </si>
  <si>
    <t>VLG52RX</t>
  </si>
  <si>
    <t>VLG2976</t>
  </si>
  <si>
    <t>VLG4HQ</t>
  </si>
  <si>
    <t>NJE674Y</t>
  </si>
  <si>
    <t>DLH91A</t>
  </si>
  <si>
    <t>DAISI</t>
  </si>
  <si>
    <t>TDR153</t>
  </si>
  <si>
    <t>LJLJ</t>
  </si>
  <si>
    <t>9ABTK</t>
  </si>
  <si>
    <t>VOE55YD</t>
  </si>
  <si>
    <t>ECNPC</t>
  </si>
  <si>
    <t>VLG59VA</t>
  </si>
  <si>
    <t>VLG795H</t>
  </si>
  <si>
    <t>IBE04AW</t>
  </si>
  <si>
    <t>VOE67QG</t>
  </si>
  <si>
    <t>ECNOL</t>
  </si>
  <si>
    <t>BTI26R</t>
  </si>
  <si>
    <t>VLG34YJ</t>
  </si>
  <si>
    <t>VLG73UX</t>
  </si>
  <si>
    <t>KAC136</t>
  </si>
  <si>
    <t>NSZ2KT</t>
  </si>
  <si>
    <t>BAW406</t>
  </si>
  <si>
    <t>GEUPN</t>
  </si>
  <si>
    <t>RYR7451</t>
  </si>
  <si>
    <t>VLG64QA</t>
  </si>
  <si>
    <t>AFR83CM</t>
  </si>
  <si>
    <t>FHZUN</t>
  </si>
  <si>
    <t>VLG5LZ</t>
  </si>
  <si>
    <t>RYR98EL</t>
  </si>
  <si>
    <t>VLG4MY</t>
  </si>
  <si>
    <t>VLG8UJ</t>
  </si>
  <si>
    <t>BNI5V</t>
  </si>
  <si>
    <t>C525</t>
  </si>
  <si>
    <t>LFKF</t>
  </si>
  <si>
    <t>SPDLV</t>
  </si>
  <si>
    <t>VLG44NF</t>
  </si>
  <si>
    <t>WMT3LD</t>
  </si>
  <si>
    <t>IBE26VE</t>
  </si>
  <si>
    <t>ECODB</t>
  </si>
  <si>
    <t>VLG82QN</t>
  </si>
  <si>
    <t>VLG19NT</t>
  </si>
  <si>
    <t>VLG85XK</t>
  </si>
  <si>
    <t>RYR39TN</t>
  </si>
  <si>
    <t>9HQBW</t>
  </si>
  <si>
    <t>EJU68XF</t>
  </si>
  <si>
    <t>RYR88QQ</t>
  </si>
  <si>
    <t>VLG4BP</t>
  </si>
  <si>
    <t>BEL74C</t>
  </si>
  <si>
    <t>VLG49SU</t>
  </si>
  <si>
    <t>VLG8483</t>
  </si>
  <si>
    <t>VLG700D</t>
  </si>
  <si>
    <t>LIPR</t>
  </si>
  <si>
    <t>VJA545</t>
  </si>
  <si>
    <t>CL30</t>
  </si>
  <si>
    <t>N545XJ</t>
  </si>
  <si>
    <t>RAM965Y</t>
  </si>
  <si>
    <t>RYR37EJ</t>
  </si>
  <si>
    <t>UAL770</t>
  </si>
  <si>
    <t>VLG8RP</t>
  </si>
  <si>
    <t>VLG91UD</t>
  </si>
  <si>
    <t>VLG9WF</t>
  </si>
  <si>
    <t>RYR41SE</t>
  </si>
  <si>
    <t>ORO1042</t>
  </si>
  <si>
    <t>RYR68AM</t>
  </si>
  <si>
    <t>LIEA</t>
  </si>
  <si>
    <t>RYR7TC</t>
  </si>
  <si>
    <t>DLH65U</t>
  </si>
  <si>
    <t>EZY69CT</t>
  </si>
  <si>
    <t>GEZTM</t>
  </si>
  <si>
    <t>IBE26LW</t>
  </si>
  <si>
    <t>VLG7VQ</t>
  </si>
  <si>
    <t>RYR32TM</t>
  </si>
  <si>
    <t>EIEFO</t>
  </si>
  <si>
    <t>AFR34QV</t>
  </si>
  <si>
    <t>FHPNP</t>
  </si>
  <si>
    <t>VLG75AZ</t>
  </si>
  <si>
    <t>MAC378Y</t>
  </si>
  <si>
    <t>RYR6421</t>
  </si>
  <si>
    <t>VLG88TZ</t>
  </si>
  <si>
    <t>DLH21W</t>
  </si>
  <si>
    <t>DAIUA</t>
  </si>
  <si>
    <t>VLG79TF</t>
  </si>
  <si>
    <t>RYR853B</t>
  </si>
  <si>
    <t>EIDYW</t>
  </si>
  <si>
    <t>VLG5KD</t>
  </si>
  <si>
    <t>VLG41SF</t>
  </si>
  <si>
    <t>AEA6071</t>
  </si>
  <si>
    <t>VLG7WW</t>
  </si>
  <si>
    <t>ITY076</t>
  </si>
  <si>
    <t>EIHXG</t>
  </si>
  <si>
    <t>RYR82LH</t>
  </si>
  <si>
    <t>VLG7ZR</t>
  </si>
  <si>
    <t>RYR3VJ</t>
  </si>
  <si>
    <t>WMT896</t>
  </si>
  <si>
    <t>KLM93Z</t>
  </si>
  <si>
    <t>PHBXT</t>
  </si>
  <si>
    <t>VLG6516</t>
  </si>
  <si>
    <t>VLG5MF</t>
  </si>
  <si>
    <t>RYR1DC</t>
  </si>
  <si>
    <t>EJU52PZ</t>
  </si>
  <si>
    <t>OEIVD</t>
  </si>
  <si>
    <t>VLG3TG</t>
  </si>
  <si>
    <t>VLG8HH</t>
  </si>
  <si>
    <t>SXS4M</t>
  </si>
  <si>
    <t>RYR996Z</t>
  </si>
  <si>
    <t>EIDWC</t>
  </si>
  <si>
    <t>NSZ5504</t>
  </si>
  <si>
    <t>ESGG</t>
  </si>
  <si>
    <t>VLG213Q</t>
  </si>
  <si>
    <t>EJU68DK</t>
  </si>
  <si>
    <t>EWG9TP</t>
  </si>
  <si>
    <t>9HSWJ</t>
  </si>
  <si>
    <t>VLG90AB</t>
  </si>
  <si>
    <t>PVA1839</t>
  </si>
  <si>
    <t>KPIT</t>
  </si>
  <si>
    <t>VLG71YZ</t>
  </si>
  <si>
    <t>VLG31ZF</t>
  </si>
  <si>
    <t>WMT6DJ</t>
  </si>
  <si>
    <t>VLG45UC</t>
  </si>
  <si>
    <t>VLG8FK</t>
  </si>
  <si>
    <t>SWR4TD</t>
  </si>
  <si>
    <t>VLG80YY</t>
  </si>
  <si>
    <t>UAL673</t>
  </si>
  <si>
    <t>VLG32QU</t>
  </si>
  <si>
    <t>WZZ6457</t>
  </si>
  <si>
    <t>ALE04</t>
  </si>
  <si>
    <t>9HAPX</t>
  </si>
  <si>
    <t>VOE4NJ</t>
  </si>
  <si>
    <t>EWG81R</t>
  </si>
  <si>
    <t>MSR768</t>
  </si>
  <si>
    <t>AFR91TU</t>
  </si>
  <si>
    <t>VOE4BE</t>
  </si>
  <si>
    <t>VLG8YF</t>
  </si>
  <si>
    <t>DLH06V</t>
  </si>
  <si>
    <t>BAW407</t>
  </si>
  <si>
    <t>IBE26RZ</t>
  </si>
  <si>
    <t>ECNRH</t>
  </si>
  <si>
    <t>SVA228</t>
  </si>
  <si>
    <t>VLG25VH</t>
  </si>
  <si>
    <t>VLG8DC</t>
  </si>
  <si>
    <t>TDR154</t>
  </si>
  <si>
    <t>AEA32MG</t>
  </si>
  <si>
    <t>ECNCY</t>
  </si>
  <si>
    <t>VLG9YK</t>
  </si>
  <si>
    <t>RYR6851</t>
  </si>
  <si>
    <t>9HQEN</t>
  </si>
  <si>
    <t>RJA108</t>
  </si>
  <si>
    <t>VLG57ZG</t>
  </si>
  <si>
    <t>QTR75K</t>
  </si>
  <si>
    <t>VLG1AL</t>
  </si>
  <si>
    <t>TAP1034</t>
  </si>
  <si>
    <t>CSTNJ</t>
  </si>
  <si>
    <t>PAV541H</t>
  </si>
  <si>
    <t>LEVX</t>
  </si>
  <si>
    <t>DIJLJ</t>
  </si>
  <si>
    <t>RYR3028</t>
  </si>
  <si>
    <t>BBG252</t>
  </si>
  <si>
    <t>5BDDO</t>
  </si>
  <si>
    <t>VLG7PM</t>
  </si>
  <si>
    <t>RYR3XQ</t>
  </si>
  <si>
    <t>THY1FP</t>
  </si>
  <si>
    <t>TCLOA</t>
  </si>
  <si>
    <t>VLG8XT</t>
  </si>
  <si>
    <t>VLG57XD</t>
  </si>
  <si>
    <t>VLG36XL</t>
  </si>
  <si>
    <t>EWG7524</t>
  </si>
  <si>
    <t>9HSWN</t>
  </si>
  <si>
    <t>VLG8580</t>
  </si>
  <si>
    <t>GES401V</t>
  </si>
  <si>
    <t>F2TH</t>
  </si>
  <si>
    <t>ECLGV</t>
  </si>
  <si>
    <t>VLG9FX</t>
  </si>
  <si>
    <t>VLG37CR</t>
  </si>
  <si>
    <t>ECMLE</t>
  </si>
  <si>
    <t>VLG48UY</t>
  </si>
  <si>
    <t>VLG61TN</t>
  </si>
  <si>
    <t>AFR71WK</t>
  </si>
  <si>
    <t>EZY32CM</t>
  </si>
  <si>
    <t>RYR79DL</t>
  </si>
  <si>
    <t>EIDWR</t>
  </si>
  <si>
    <t>RYR4JY</t>
  </si>
  <si>
    <t>LFBI</t>
  </si>
  <si>
    <t>VLG3521</t>
  </si>
  <si>
    <t>ECMNZ</t>
  </si>
  <si>
    <t>VLG2AX</t>
  </si>
  <si>
    <t>VLG1EB</t>
  </si>
  <si>
    <t>VLG365N</t>
  </si>
  <si>
    <t>BAW480N</t>
  </si>
  <si>
    <t>GTNEA</t>
  </si>
  <si>
    <t>RYR6XP</t>
  </si>
  <si>
    <t>VLG2FA</t>
  </si>
  <si>
    <t>EJU4384</t>
  </si>
  <si>
    <t>DNA411</t>
  </si>
  <si>
    <t>LRBC</t>
  </si>
  <si>
    <t>YRJUL</t>
  </si>
  <si>
    <t>VLG8TW</t>
  </si>
  <si>
    <t>BIKF</t>
  </si>
  <si>
    <t>RYR902Y</t>
  </si>
  <si>
    <t>RYR4596</t>
  </si>
  <si>
    <t>EIEBL</t>
  </si>
  <si>
    <t>SWR1958</t>
  </si>
  <si>
    <t>VLG962F</t>
  </si>
  <si>
    <t>DLH43K</t>
  </si>
  <si>
    <t>RYR8574</t>
  </si>
  <si>
    <t>DLH03H</t>
  </si>
  <si>
    <t>YLABR</t>
  </si>
  <si>
    <t>NSZ8JT</t>
  </si>
  <si>
    <t>ENGM</t>
  </si>
  <si>
    <t>ITY079</t>
  </si>
  <si>
    <t>RYR419B</t>
  </si>
  <si>
    <t>VLG19JA</t>
  </si>
  <si>
    <t>ABR294</t>
  </si>
  <si>
    <t>VLG67DH</t>
  </si>
  <si>
    <t>RYR99GF</t>
  </si>
  <si>
    <t>LGKR</t>
  </si>
  <si>
    <t>VLG5XG</t>
  </si>
  <si>
    <t>ULC44</t>
  </si>
  <si>
    <t>C68A</t>
  </si>
  <si>
    <t>LFTZ</t>
  </si>
  <si>
    <t>9HAOA</t>
  </si>
  <si>
    <t>VLG25CX</t>
  </si>
  <si>
    <t>DLH54C</t>
  </si>
  <si>
    <t>DAISR</t>
  </si>
  <si>
    <t>VLG97CV</t>
  </si>
  <si>
    <t>EJU59AT</t>
  </si>
  <si>
    <t>KLM16K</t>
  </si>
  <si>
    <t>VLG4CT</t>
  </si>
  <si>
    <t>EWG9CA</t>
  </si>
  <si>
    <t>VLG49TP</t>
  </si>
  <si>
    <t>RYR81RY</t>
  </si>
  <si>
    <t>IBE04VH</t>
  </si>
  <si>
    <t>ECHUH</t>
  </si>
  <si>
    <t>AIZ271</t>
  </si>
  <si>
    <t>4XAGK</t>
  </si>
  <si>
    <t>VLG3LM</t>
  </si>
  <si>
    <t>VLG5LQ</t>
  </si>
  <si>
    <t>LIEE</t>
  </si>
  <si>
    <t>VLG3707</t>
  </si>
  <si>
    <t>VLG1594</t>
  </si>
  <si>
    <t>AFR88WR</t>
  </si>
  <si>
    <t>RYR19VT</t>
  </si>
  <si>
    <t>AEA62AA</t>
  </si>
  <si>
    <t>VLG8YA</t>
  </si>
  <si>
    <t>SAS1811</t>
  </si>
  <si>
    <t>SEROX</t>
  </si>
  <si>
    <t>VLG42HH</t>
  </si>
  <si>
    <t>VLG6UF</t>
  </si>
  <si>
    <t>BAW472M</t>
  </si>
  <si>
    <t>GTNEB</t>
  </si>
  <si>
    <t>RYR7CT</t>
  </si>
  <si>
    <t>EGGP</t>
  </si>
  <si>
    <t>EIENM</t>
  </si>
  <si>
    <t>BBG251</t>
  </si>
  <si>
    <t>VLG3BU</t>
  </si>
  <si>
    <t>VLG9DL</t>
  </si>
  <si>
    <t>RYR90MH</t>
  </si>
  <si>
    <t>RYR44YY</t>
  </si>
  <si>
    <t>EIEVC</t>
  </si>
  <si>
    <t>VLG9PH</t>
  </si>
  <si>
    <t>EJU56MW</t>
  </si>
  <si>
    <t>VLG4RW</t>
  </si>
  <si>
    <t>RYR963U</t>
  </si>
  <si>
    <t>VLG4ZY</t>
  </si>
  <si>
    <t>VLG1SX</t>
  </si>
  <si>
    <t>VLG98GU</t>
  </si>
  <si>
    <t>VOE5JR</t>
  </si>
  <si>
    <t>ECMUX</t>
  </si>
  <si>
    <t>RYR73VE</t>
  </si>
  <si>
    <t>VLG16XE</t>
  </si>
  <si>
    <t>TAP35BC</t>
  </si>
  <si>
    <t>AAO59</t>
  </si>
  <si>
    <t>PC12</t>
  </si>
  <si>
    <t>OKPCF</t>
  </si>
  <si>
    <t>VLG4LP</t>
  </si>
  <si>
    <t>VLG53FY</t>
  </si>
  <si>
    <t>VLG7DY</t>
  </si>
  <si>
    <t>KLM69C</t>
  </si>
  <si>
    <t>PHBXB</t>
  </si>
  <si>
    <t>SWR22Y</t>
  </si>
  <si>
    <t>EWG75Z</t>
  </si>
  <si>
    <t>9HMLO</t>
  </si>
  <si>
    <t>VLG1PN</t>
  </si>
  <si>
    <t>VLG232C</t>
  </si>
  <si>
    <t>EJU65KC</t>
  </si>
  <si>
    <t>IBE26EV</t>
  </si>
  <si>
    <t>VLG48JN</t>
  </si>
  <si>
    <t>NSZ3658</t>
  </si>
  <si>
    <t>SERPJ</t>
  </si>
  <si>
    <t>THY7RS</t>
  </si>
  <si>
    <t>RYR1JV</t>
  </si>
  <si>
    <t>BAW481B</t>
  </si>
  <si>
    <t>VLG5QB</t>
  </si>
  <si>
    <t>VLG88YX</t>
  </si>
  <si>
    <t>ECMOG</t>
  </si>
  <si>
    <t>RYR4AC</t>
  </si>
  <si>
    <t>GMME</t>
  </si>
  <si>
    <t>WZZ98</t>
  </si>
  <si>
    <t>HALGN</t>
  </si>
  <si>
    <t>NJE024U</t>
  </si>
  <si>
    <t>EGKB</t>
  </si>
  <si>
    <t>CSCHG</t>
  </si>
  <si>
    <t>VLG7YK</t>
  </si>
  <si>
    <t>ECOKI</t>
  </si>
  <si>
    <t>WZZ671</t>
  </si>
  <si>
    <t>9HWDP</t>
  </si>
  <si>
    <t>RYR2WJ</t>
  </si>
  <si>
    <t>9HVVR</t>
  </si>
  <si>
    <t>ETD19N</t>
  </si>
  <si>
    <t>A6BNB</t>
  </si>
  <si>
    <t>VLG787R</t>
  </si>
  <si>
    <t>VLG5DD</t>
  </si>
  <si>
    <t>ECMYC</t>
  </si>
  <si>
    <t>EJU43FZ</t>
  </si>
  <si>
    <t>VLG1579</t>
  </si>
  <si>
    <t>RYR22VB</t>
  </si>
  <si>
    <t>DLH09W</t>
  </si>
  <si>
    <t>VLG15NF</t>
  </si>
  <si>
    <t>EWG7W</t>
  </si>
  <si>
    <t>RAM960U</t>
  </si>
  <si>
    <t>CNROC</t>
  </si>
  <si>
    <t>VLG2KV</t>
  </si>
  <si>
    <t>IBE04YG</t>
  </si>
  <si>
    <t>AEA83QQ</t>
  </si>
  <si>
    <t>VLG9BC</t>
  </si>
  <si>
    <t>VLG2WY</t>
  </si>
  <si>
    <t>DAH2014</t>
  </si>
  <si>
    <t>DAAG</t>
  </si>
  <si>
    <t>7TVKQ</t>
  </si>
  <si>
    <t>AAR511</t>
  </si>
  <si>
    <t>RKSI</t>
  </si>
  <si>
    <t>HL7578</t>
  </si>
  <si>
    <t>RYR51YH</t>
  </si>
  <si>
    <t>AFR41VV</t>
  </si>
  <si>
    <t>VLG73KB</t>
  </si>
  <si>
    <t>TRA6789</t>
  </si>
  <si>
    <t>EHEH</t>
  </si>
  <si>
    <t>PHHXE</t>
  </si>
  <si>
    <t>SAS1812</t>
  </si>
  <si>
    <t>ASL91T</t>
  </si>
  <si>
    <t>LYBE</t>
  </si>
  <si>
    <t>YUAPK</t>
  </si>
  <si>
    <t>CFE8759</t>
  </si>
  <si>
    <t>EGLC</t>
  </si>
  <si>
    <t>GLCYU</t>
  </si>
  <si>
    <t>VLG22MK</t>
  </si>
  <si>
    <t>VLG2HL</t>
  </si>
  <si>
    <t>VLG96BX</t>
  </si>
  <si>
    <t>RYR2494</t>
  </si>
  <si>
    <t>AUA393E</t>
  </si>
  <si>
    <t>OELBC</t>
  </si>
  <si>
    <t>VLG3NY</t>
  </si>
  <si>
    <t>NOZ42BM</t>
  </si>
  <si>
    <t>OYJRK</t>
  </si>
  <si>
    <t>EJU85AN</t>
  </si>
  <si>
    <t>VLG32XP</t>
  </si>
  <si>
    <t>VOE2WA</t>
  </si>
  <si>
    <t>RYR791</t>
  </si>
  <si>
    <t>9HQBP</t>
  </si>
  <si>
    <t>BAW486</t>
  </si>
  <si>
    <t>GEUUI</t>
  </si>
  <si>
    <t>BAW473D</t>
  </si>
  <si>
    <t>SWR4KW</t>
  </si>
  <si>
    <t>HBIJQ</t>
  </si>
  <si>
    <t>VLG4KK</t>
  </si>
  <si>
    <t>VLG91LR</t>
  </si>
  <si>
    <t>RYR77HR</t>
  </si>
  <si>
    <t>VLG833A</t>
  </si>
  <si>
    <t>ECLOB</t>
  </si>
  <si>
    <t>VLG14JA</t>
  </si>
  <si>
    <t>TRA139T</t>
  </si>
  <si>
    <t>RYR88JP</t>
  </si>
  <si>
    <t>TVF27TW</t>
  </si>
  <si>
    <t>FHXSL</t>
  </si>
  <si>
    <t>DNA412</t>
  </si>
  <si>
    <t>EWG56Y</t>
  </si>
  <si>
    <t>DAGWO</t>
  </si>
  <si>
    <t>RYR5HQ</t>
  </si>
  <si>
    <t>RYR36MJ</t>
  </si>
  <si>
    <t>9HQDA</t>
  </si>
  <si>
    <t>RYR46GZ</t>
  </si>
  <si>
    <t>MAC373P</t>
  </si>
  <si>
    <t>CNNMS</t>
  </si>
  <si>
    <t>VLG1WL</t>
  </si>
  <si>
    <t>FIN01AD</t>
  </si>
  <si>
    <t>EJU43NP</t>
  </si>
  <si>
    <t>VLG6ZR</t>
  </si>
  <si>
    <t>VLG22ST</t>
  </si>
  <si>
    <t>EZY85YZ</t>
  </si>
  <si>
    <t>GEZBX</t>
  </si>
  <si>
    <t>VLG58UT</t>
  </si>
  <si>
    <t>ECMRF</t>
  </si>
  <si>
    <t>VLG5CF</t>
  </si>
  <si>
    <t>VLG75QL</t>
  </si>
  <si>
    <t>WZZ308</t>
  </si>
  <si>
    <t>LBSF</t>
  </si>
  <si>
    <t>HALWE</t>
  </si>
  <si>
    <t>KLM82D</t>
  </si>
  <si>
    <t>VLG45EM</t>
  </si>
  <si>
    <t>VLG3DX</t>
  </si>
  <si>
    <t>IBE26TT</t>
  </si>
  <si>
    <t>WMT7HE</t>
  </si>
  <si>
    <t>LRIA</t>
  </si>
  <si>
    <t>9HWBA</t>
  </si>
  <si>
    <t>ABR421</t>
  </si>
  <si>
    <t>VLG78CE</t>
  </si>
  <si>
    <t>VLG4JA</t>
  </si>
  <si>
    <t>EWG3HN</t>
  </si>
  <si>
    <t>DABZL</t>
  </si>
  <si>
    <t>VLG5HM</t>
  </si>
  <si>
    <t>AIZ272</t>
  </si>
  <si>
    <t>SAS4685</t>
  </si>
  <si>
    <t>SERZE</t>
  </si>
  <si>
    <t>IBE04VC</t>
  </si>
  <si>
    <t>ECNCM</t>
  </si>
  <si>
    <t>RYR30FM</t>
  </si>
  <si>
    <t>VLG4VT</t>
  </si>
  <si>
    <t>CTN72E</t>
  </si>
  <si>
    <t>LDZA</t>
  </si>
  <si>
    <t>9ACAN</t>
  </si>
  <si>
    <t>VLG7UR</t>
  </si>
  <si>
    <t>VLG55MP</t>
  </si>
  <si>
    <t>EWG4TR</t>
  </si>
  <si>
    <t>LGL93B</t>
  </si>
  <si>
    <t>B737</t>
  </si>
  <si>
    <t>LXLBR</t>
  </si>
  <si>
    <t>VLG1706</t>
  </si>
  <si>
    <t>VLG6EB</t>
  </si>
  <si>
    <t>RYR651H</t>
  </si>
  <si>
    <t>VLG5JJ</t>
  </si>
  <si>
    <t>RYR6297</t>
  </si>
  <si>
    <t>WMT8JM</t>
  </si>
  <si>
    <t>HALXL</t>
  </si>
  <si>
    <t>BAW4GS</t>
  </si>
  <si>
    <t>GTTNL</t>
  </si>
  <si>
    <t>CFE49N</t>
  </si>
  <si>
    <t>VLG8983</t>
  </si>
  <si>
    <t>WZZ6079</t>
  </si>
  <si>
    <t>RYR2507</t>
  </si>
  <si>
    <t>WMT2147</t>
  </si>
  <si>
    <t>9HWAJ</t>
  </si>
  <si>
    <t>TAP1036</t>
  </si>
  <si>
    <t>CSTVD</t>
  </si>
  <si>
    <t>NSZ3659</t>
  </si>
  <si>
    <t>RYR24CN</t>
  </si>
  <si>
    <t>BEL3FJ</t>
  </si>
  <si>
    <t>VLG9PW</t>
  </si>
  <si>
    <t>VLG7GN</t>
  </si>
  <si>
    <t>VLG768Q</t>
  </si>
  <si>
    <t>WZZ6366</t>
  </si>
  <si>
    <t>RYR89EE</t>
  </si>
  <si>
    <t>VLG4TR</t>
  </si>
  <si>
    <t>EZY54QC</t>
  </si>
  <si>
    <t>GEZTG</t>
  </si>
  <si>
    <t>RAM961U</t>
  </si>
  <si>
    <t>VLG20PQ</t>
  </si>
  <si>
    <t>VLG362W</t>
  </si>
  <si>
    <t>RYR8215</t>
  </si>
  <si>
    <t>EZY23NU</t>
  </si>
  <si>
    <t>GEZPX</t>
  </si>
  <si>
    <t>VLG7JZ</t>
  </si>
  <si>
    <t>ECNIY</t>
  </si>
  <si>
    <t>VLG5BK</t>
  </si>
  <si>
    <t>VLG6VF</t>
  </si>
  <si>
    <t>BAW487E</t>
  </si>
  <si>
    <t>VJH713</t>
  </si>
  <si>
    <t>E35L</t>
  </si>
  <si>
    <t>LDZD</t>
  </si>
  <si>
    <t>DANCE</t>
  </si>
  <si>
    <t>EZY14FN</t>
  </si>
  <si>
    <t>AFR32HU</t>
  </si>
  <si>
    <t>FHPNJ</t>
  </si>
  <si>
    <t>VLG30NL</t>
  </si>
  <si>
    <t>TRA97B</t>
  </si>
  <si>
    <t>VLG234R</t>
  </si>
  <si>
    <t>RYR61WY</t>
  </si>
  <si>
    <t>DAH2015</t>
  </si>
  <si>
    <t>QTR93J</t>
  </si>
  <si>
    <t>A7BHO</t>
  </si>
  <si>
    <t>EWG2MC</t>
  </si>
  <si>
    <t>RYR886W</t>
  </si>
  <si>
    <t>AEA46CY</t>
  </si>
  <si>
    <t>VLG3071</t>
  </si>
  <si>
    <t>VLG9EA</t>
  </si>
  <si>
    <t>VLG6FK</t>
  </si>
  <si>
    <t>TVF30VJ</t>
  </si>
  <si>
    <t>IBE04VK</t>
  </si>
  <si>
    <t>ECKUB</t>
  </si>
  <si>
    <t>RYR70PE</t>
  </si>
  <si>
    <t>LIPQ</t>
  </si>
  <si>
    <t>NOZ3WD</t>
  </si>
  <si>
    <t>ASL18J</t>
  </si>
  <si>
    <t>AUA34R</t>
  </si>
  <si>
    <t>VLG6167</t>
  </si>
  <si>
    <t>WZZ9DE</t>
  </si>
  <si>
    <t>9HWDX</t>
  </si>
  <si>
    <t>VLG63QF</t>
  </si>
  <si>
    <t>TRA75Y</t>
  </si>
  <si>
    <t>VLG7FJ</t>
  </si>
  <si>
    <t>RYR4WR</t>
  </si>
  <si>
    <t>GMFF</t>
  </si>
  <si>
    <t>EIDPH</t>
  </si>
  <si>
    <t>VLG3TJ</t>
  </si>
  <si>
    <t>WZZ4RZ</t>
  </si>
  <si>
    <t>HALYG</t>
  </si>
  <si>
    <t>MAC374N</t>
  </si>
  <si>
    <t>DLH66Y</t>
  </si>
  <si>
    <t>DAIRF</t>
  </si>
  <si>
    <t>SWR193B</t>
  </si>
  <si>
    <t>VLG1ZV</t>
  </si>
  <si>
    <t>AEA23GZ</t>
  </si>
  <si>
    <t>RYR94YE</t>
  </si>
  <si>
    <t>AAR512</t>
  </si>
  <si>
    <t>FPY6</t>
  </si>
  <si>
    <t>TFPPD</t>
  </si>
  <si>
    <t>WZZ912</t>
  </si>
  <si>
    <t>VLG3RB</t>
  </si>
  <si>
    <t>RYR7495</t>
  </si>
  <si>
    <t>EIGXN</t>
  </si>
  <si>
    <t>UAE2X</t>
  </si>
  <si>
    <t>VLG95DK</t>
  </si>
  <si>
    <t>RYR8PW</t>
  </si>
  <si>
    <t>WMT773</t>
  </si>
  <si>
    <t>9HWDR</t>
  </si>
  <si>
    <t>RYR807B</t>
  </si>
  <si>
    <t>WMT1EW</t>
  </si>
  <si>
    <t>LBT608</t>
  </si>
  <si>
    <t>DTTA</t>
  </si>
  <si>
    <t>TSINU</t>
  </si>
  <si>
    <t>EWG5PJ</t>
  </si>
  <si>
    <t>EZY97KW</t>
  </si>
  <si>
    <t>GEZUZ</t>
  </si>
  <si>
    <t>BAW49TA</t>
  </si>
  <si>
    <t>CTN375</t>
  </si>
  <si>
    <t>VLG9CP</t>
  </si>
  <si>
    <t>ECNDB</t>
  </si>
  <si>
    <t>VLG67DR</t>
  </si>
  <si>
    <t>VLG2UA</t>
  </si>
  <si>
    <t>SAS4686</t>
  </si>
  <si>
    <t>VLG91ZA</t>
  </si>
  <si>
    <t>ECMGE</t>
  </si>
  <si>
    <t>IBE04AR</t>
  </si>
  <si>
    <t>VLG2482</t>
  </si>
  <si>
    <t>VLG6UX</t>
  </si>
  <si>
    <t>VLG2NC</t>
  </si>
  <si>
    <t>ECNCF</t>
  </si>
  <si>
    <t>WMT8825</t>
  </si>
  <si>
    <t>VLG66ED</t>
  </si>
  <si>
    <t>LGL94EL</t>
  </si>
  <si>
    <t>VLG77EC</t>
  </si>
  <si>
    <t>WMT48BT</t>
  </si>
  <si>
    <t>DAH2018</t>
  </si>
  <si>
    <t>7TVJK</t>
  </si>
  <si>
    <t>VLG5WQ</t>
  </si>
  <si>
    <t>EZY41GN</t>
  </si>
  <si>
    <t>GEZPB</t>
  </si>
  <si>
    <t>BEL7JN</t>
  </si>
  <si>
    <t>AFR45GN</t>
  </si>
  <si>
    <t>ELY391</t>
  </si>
  <si>
    <t>4XEKF</t>
  </si>
  <si>
    <t>WMT6YB</t>
  </si>
  <si>
    <t>9HWDV</t>
  </si>
  <si>
    <t>EZY25YX</t>
  </si>
  <si>
    <t>ANE28LD</t>
  </si>
  <si>
    <t>ECLJX</t>
  </si>
  <si>
    <t>EJU93FV</t>
  </si>
  <si>
    <t>TAP38KJ</t>
  </si>
  <si>
    <t>9HGTS</t>
  </si>
  <si>
    <t>EZY52QF</t>
  </si>
  <si>
    <t>VLG9VT</t>
  </si>
  <si>
    <t>TAP37GT</t>
  </si>
  <si>
    <t>VLG24BW</t>
  </si>
  <si>
    <t>ECMBY</t>
  </si>
  <si>
    <t>EIN5ME</t>
  </si>
  <si>
    <t>EIDEI</t>
  </si>
  <si>
    <t>VLG454D</t>
  </si>
  <si>
    <t>RYR1JX</t>
  </si>
  <si>
    <t>SWT973P</t>
  </si>
  <si>
    <t>AT43</t>
  </si>
  <si>
    <t>ECJAD</t>
  </si>
  <si>
    <t>VLG75GT</t>
  </si>
  <si>
    <t>VLG8581</t>
  </si>
  <si>
    <t>AEA48JV</t>
  </si>
  <si>
    <t>TVF67BM</t>
  </si>
  <si>
    <t>FHXSA</t>
  </si>
  <si>
    <t>KLM71Z</t>
  </si>
  <si>
    <t>PHBXA</t>
  </si>
  <si>
    <t>NSZ6KY</t>
  </si>
  <si>
    <t>WZZ317</t>
  </si>
  <si>
    <t>THY8HC</t>
  </si>
  <si>
    <t>TCJZE</t>
  </si>
  <si>
    <t>VLG3726</t>
  </si>
  <si>
    <t>WZZ80TX</t>
  </si>
  <si>
    <t>VLG67NQ</t>
  </si>
  <si>
    <t>RYR37ZU</t>
  </si>
  <si>
    <t>RYR42SY</t>
  </si>
  <si>
    <t>RYR719C</t>
  </si>
  <si>
    <t>VLG963B</t>
  </si>
  <si>
    <t>VLG42YQ</t>
  </si>
  <si>
    <t>RYR539Z</t>
  </si>
  <si>
    <t>9HLAX</t>
  </si>
  <si>
    <t>VLG14PF</t>
  </si>
  <si>
    <t>VLG9DW</t>
  </si>
  <si>
    <t>VLG9BY</t>
  </si>
  <si>
    <t>IBE04LY</t>
  </si>
  <si>
    <t>ECILS</t>
  </si>
  <si>
    <t>ETD9TC</t>
  </si>
  <si>
    <t>AFR69BZ</t>
  </si>
  <si>
    <t>FGKXH</t>
  </si>
  <si>
    <t>EZY13AP</t>
  </si>
  <si>
    <t>BAW482P</t>
  </si>
  <si>
    <t>GEUYX</t>
  </si>
  <si>
    <t>FPY6F</t>
  </si>
  <si>
    <t>VLG39YK</t>
  </si>
  <si>
    <t>VLG6154</t>
  </si>
  <si>
    <t>RYR6975</t>
  </si>
  <si>
    <t>WMT338</t>
  </si>
  <si>
    <t>VLG6PR</t>
  </si>
  <si>
    <t>RYR8JA</t>
  </si>
  <si>
    <t>ITY078</t>
  </si>
  <si>
    <t>EIHOH</t>
  </si>
  <si>
    <t>EZY46XV</t>
  </si>
  <si>
    <t>RYR379H</t>
  </si>
  <si>
    <t>LBT609</t>
  </si>
  <si>
    <t>DLH67E</t>
  </si>
  <si>
    <t>DAIWJ</t>
  </si>
  <si>
    <t>VLG20SB</t>
  </si>
  <si>
    <t>VLG45NE</t>
  </si>
  <si>
    <t>VLG7BU</t>
  </si>
  <si>
    <t>DAH2019</t>
  </si>
  <si>
    <t>EOA001</t>
  </si>
  <si>
    <t>C560</t>
  </si>
  <si>
    <t>LGMK</t>
  </si>
  <si>
    <t>IZACK</t>
  </si>
  <si>
    <t>WMT8AK</t>
  </si>
  <si>
    <t>RYR806H</t>
  </si>
  <si>
    <t>VLG374J</t>
  </si>
  <si>
    <t>VLG9RB</t>
  </si>
  <si>
    <t>EIN56V</t>
  </si>
  <si>
    <t>TAR514</t>
  </si>
  <si>
    <t>LYMLG</t>
  </si>
  <si>
    <t>VLG30HZ</t>
  </si>
  <si>
    <t>VLG5LE</t>
  </si>
  <si>
    <t>EJU12GP</t>
  </si>
  <si>
    <t>RYR6PQ</t>
  </si>
  <si>
    <t>EIIJX</t>
  </si>
  <si>
    <t>QTR31N</t>
  </si>
  <si>
    <t>VLG9JB</t>
  </si>
  <si>
    <t>VLG40UD</t>
  </si>
  <si>
    <t>TAP39MZ</t>
  </si>
  <si>
    <t>VLG1BA</t>
  </si>
  <si>
    <t>PAV542H</t>
  </si>
  <si>
    <t>VLG8DM</t>
  </si>
  <si>
    <t>ECMIR</t>
  </si>
  <si>
    <t>VLG82NK</t>
  </si>
  <si>
    <t>VLG8BT</t>
  </si>
  <si>
    <t>RYR8QT</t>
  </si>
  <si>
    <t>ELY392</t>
  </si>
  <si>
    <t>EJU89ZC</t>
  </si>
  <si>
    <t>OELQA</t>
  </si>
  <si>
    <t>VLG25JN</t>
  </si>
  <si>
    <t>VLG34LT</t>
  </si>
  <si>
    <t>VLG6028</t>
  </si>
  <si>
    <t>VLG4QP</t>
  </si>
  <si>
    <t>VLG60YC</t>
  </si>
  <si>
    <t>SWR3QA</t>
  </si>
  <si>
    <t>HBIJO</t>
  </si>
  <si>
    <t>RYR2889</t>
  </si>
  <si>
    <t>VLG91VV</t>
  </si>
  <si>
    <t>SWT332</t>
  </si>
  <si>
    <t>ECJBN</t>
  </si>
  <si>
    <t>VLG61FK</t>
  </si>
  <si>
    <t>VLG4JJ</t>
  </si>
  <si>
    <t>EJU7214</t>
  </si>
  <si>
    <t>VLG52YE</t>
  </si>
  <si>
    <t>VLG876B</t>
  </si>
  <si>
    <t>VLG67CB</t>
  </si>
  <si>
    <t>RYR65DP</t>
  </si>
  <si>
    <t>VLG13LA</t>
  </si>
  <si>
    <t>VLG796R</t>
  </si>
  <si>
    <t>VLG14RT</t>
  </si>
  <si>
    <t>VLG159U</t>
  </si>
  <si>
    <t>VLG5SC</t>
  </si>
  <si>
    <t>VLG9MZ</t>
  </si>
  <si>
    <t>VLG669A</t>
  </si>
  <si>
    <t>RYR39JJ</t>
  </si>
  <si>
    <t>VLG1SG</t>
  </si>
  <si>
    <t>VLG79EM</t>
  </si>
  <si>
    <t>VLG5ET</t>
  </si>
  <si>
    <t>VLG738J</t>
  </si>
  <si>
    <t>RYR73TJ</t>
  </si>
  <si>
    <t>VLG8112</t>
  </si>
  <si>
    <t>VLG7NB</t>
  </si>
  <si>
    <t>VLG3XA</t>
  </si>
  <si>
    <t>VLG41XC</t>
  </si>
  <si>
    <t>VLG46DQ</t>
  </si>
  <si>
    <t>VLG3WB</t>
  </si>
  <si>
    <t>VLG11HU</t>
  </si>
  <si>
    <t>VLG4WK</t>
  </si>
  <si>
    <t>TAR515</t>
  </si>
  <si>
    <t>RYR31DG</t>
  </si>
  <si>
    <t>VLG3AC</t>
  </si>
  <si>
    <t>RYR71AV</t>
  </si>
  <si>
    <t>NSZ5521</t>
  </si>
  <si>
    <t>RYR1397</t>
  </si>
  <si>
    <t>RYR67KU</t>
  </si>
  <si>
    <t>VJT750</t>
  </si>
  <si>
    <t>GL7T</t>
  </si>
  <si>
    <t>HAAB</t>
  </si>
  <si>
    <t>9HVID</t>
  </si>
  <si>
    <t>AEE712</t>
  </si>
  <si>
    <t>SXNEQ</t>
  </si>
  <si>
    <t>TAP1040</t>
  </si>
  <si>
    <t>CSTNX</t>
  </si>
  <si>
    <t>IBE2601</t>
  </si>
  <si>
    <t>País</t>
  </si>
  <si>
    <t>Código de ICAO</t>
  </si>
  <si>
    <t>Albania</t>
  </si>
  <si>
    <t>Alemania</t>
  </si>
  <si>
    <t>EDJA</t>
  </si>
  <si>
    <t>EDDW</t>
  </si>
  <si>
    <t>EDLW</t>
  </si>
  <si>
    <t>EDDC</t>
  </si>
  <si>
    <t>EDFH</t>
  </si>
  <si>
    <t>EDNY</t>
  </si>
  <si>
    <t>EDSB</t>
  </si>
  <si>
    <t>EDDG</t>
  </si>
  <si>
    <t>EDDN</t>
  </si>
  <si>
    <t>EDLP</t>
  </si>
  <si>
    <t>EDLV</t>
  </si>
  <si>
    <t>Armenia</t>
  </si>
  <si>
    <t>UDYZ</t>
  </si>
  <si>
    <t>Austria</t>
  </si>
  <si>
    <t>LOWG</t>
  </si>
  <si>
    <t>LOWI</t>
  </si>
  <si>
    <t>LOWK</t>
  </si>
  <si>
    <t>LOWL</t>
  </si>
  <si>
    <t>LOWS</t>
  </si>
  <si>
    <t>Azerbaiyán</t>
  </si>
  <si>
    <t>Bélgica</t>
  </si>
  <si>
    <t>EBAW</t>
  </si>
  <si>
    <t>EBOS</t>
  </si>
  <si>
    <t>Bielorrusia</t>
  </si>
  <si>
    <t>UMMS</t>
  </si>
  <si>
    <t>Bosnia y Herzegovina</t>
  </si>
  <si>
    <t>LQSA</t>
  </si>
  <si>
    <t>LQTZ</t>
  </si>
  <si>
    <t>Bulgaria</t>
  </si>
  <si>
    <t>LBBG</t>
  </si>
  <si>
    <t>LBWN</t>
  </si>
  <si>
    <t>Chipre</t>
  </si>
  <si>
    <t>LCPH</t>
  </si>
  <si>
    <t>Croacia</t>
  </si>
  <si>
    <t>LDPL</t>
  </si>
  <si>
    <t>LDRI</t>
  </si>
  <si>
    <t>Dinamarca</t>
  </si>
  <si>
    <t>EKYT</t>
  </si>
  <si>
    <t>EKAH</t>
  </si>
  <si>
    <t>EKBI</t>
  </si>
  <si>
    <t>EKVG</t>
  </si>
  <si>
    <t>Eslovaquia</t>
  </si>
  <si>
    <t>LZIB</t>
  </si>
  <si>
    <t>LZKZ</t>
  </si>
  <si>
    <t>Eslovenia</t>
  </si>
  <si>
    <t>España</t>
  </si>
  <si>
    <t>GCLA</t>
  </si>
  <si>
    <t>LEMI</t>
  </si>
  <si>
    <t>LERS</t>
  </si>
  <si>
    <t>GCTS</t>
  </si>
  <si>
    <t>LEVC</t>
  </si>
  <si>
    <t>LEZG</t>
  </si>
  <si>
    <t>Estonia</t>
  </si>
  <si>
    <t>EETN</t>
  </si>
  <si>
    <t>Finlandia</t>
  </si>
  <si>
    <t>EFKT</t>
  </si>
  <si>
    <t>EFOU</t>
  </si>
  <si>
    <t>EFRO</t>
  </si>
  <si>
    <t>EFTP</t>
  </si>
  <si>
    <t>EFTU</t>
  </si>
  <si>
    <t>EFVA</t>
  </si>
  <si>
    <t>Francia</t>
  </si>
  <si>
    <t>LFKJ</t>
  </si>
  <si>
    <t>LFKB</t>
  </si>
  <si>
    <t>LFBE</t>
  </si>
  <si>
    <t>LFBZ</t>
  </si>
  <si>
    <t>LFRB</t>
  </si>
  <si>
    <t>LFST</t>
  </si>
  <si>
    <t>LFQQ</t>
  </si>
  <si>
    <t>LFMT</t>
  </si>
  <si>
    <t>LFRN</t>
  </si>
  <si>
    <t>LFTH</t>
  </si>
  <si>
    <t>LFBO</t>
  </si>
  <si>
    <t>Georgia</t>
  </si>
  <si>
    <t>UGKO</t>
  </si>
  <si>
    <t>UGTB</t>
  </si>
  <si>
    <t>Grecia</t>
  </si>
  <si>
    <t>LGPZ</t>
  </si>
  <si>
    <t>LGKF</t>
  </si>
  <si>
    <t>LGKO</t>
  </si>
  <si>
    <t>LGSA</t>
  </si>
  <si>
    <t>LGMT</t>
  </si>
  <si>
    <t>LGSM</t>
  </si>
  <si>
    <t>LGSR</t>
  </si>
  <si>
    <t>LGSK</t>
  </si>
  <si>
    <t>LGTS</t>
  </si>
  <si>
    <t>LGZA</t>
  </si>
  <si>
    <t>Hungría</t>
  </si>
  <si>
    <t>LHDC</t>
  </si>
  <si>
    <t>Irlanda</t>
  </si>
  <si>
    <t>EIKN</t>
  </si>
  <si>
    <t>EIKY</t>
  </si>
  <si>
    <t>EINN</t>
  </si>
  <si>
    <t>Islandia</t>
  </si>
  <si>
    <t>Italia</t>
  </si>
  <si>
    <t>LIPY</t>
  </si>
  <si>
    <t>LIBR</t>
  </si>
  <si>
    <t>LICA</t>
  </si>
  <si>
    <t>LIML</t>
  </si>
  <si>
    <t>LIRZ</t>
  </si>
  <si>
    <t>LIBP</t>
  </si>
  <si>
    <t>LIRP</t>
  </si>
  <si>
    <t>LIRA</t>
  </si>
  <si>
    <t>LICT</t>
  </si>
  <si>
    <t>LIPH</t>
  </si>
  <si>
    <t>LIPX</t>
  </si>
  <si>
    <t>Kazajistán</t>
  </si>
  <si>
    <t>UAAA</t>
  </si>
  <si>
    <t>UACC</t>
  </si>
  <si>
    <t>Kosovo</t>
  </si>
  <si>
    <t>Letonia</t>
  </si>
  <si>
    <t>Lituania</t>
  </si>
  <si>
    <t>EYKA</t>
  </si>
  <si>
    <t>Luxemburgo</t>
  </si>
  <si>
    <t>Macedonia del Norte</t>
  </si>
  <si>
    <t>LWSK</t>
  </si>
  <si>
    <t>Malta</t>
  </si>
  <si>
    <t>Moldavia</t>
  </si>
  <si>
    <t>Montenegro</t>
  </si>
  <si>
    <t>LYPG</t>
  </si>
  <si>
    <t>LYTV</t>
  </si>
  <si>
    <t>Noruega</t>
  </si>
  <si>
    <t>ENAL</t>
  </si>
  <si>
    <t>ENBO</t>
  </si>
  <si>
    <t>ENHD</t>
  </si>
  <si>
    <t>ENCN</t>
  </si>
  <si>
    <t>ENTO</t>
  </si>
  <si>
    <t>ENZV</t>
  </si>
  <si>
    <t>ENTC</t>
  </si>
  <si>
    <t>ENVA</t>
  </si>
  <si>
    <t>Países Bajos</t>
  </si>
  <si>
    <t>EHBK</t>
  </si>
  <si>
    <t>Polonia</t>
  </si>
  <si>
    <t>EPPO</t>
  </si>
  <si>
    <t>EPSC</t>
  </si>
  <si>
    <t>EPMO</t>
  </si>
  <si>
    <t>Portugal</t>
  </si>
  <si>
    <t>LPMA</t>
  </si>
  <si>
    <t>Reino Unido</t>
  </si>
  <si>
    <t>EGPD</t>
  </si>
  <si>
    <t>EGAC</t>
  </si>
  <si>
    <t>EGFF</t>
  </si>
  <si>
    <t>EGTE</t>
  </si>
  <si>
    <t>EGPK</t>
  </si>
  <si>
    <t>EGPE</t>
  </si>
  <si>
    <t>EGJJ</t>
  </si>
  <si>
    <t>EGNM</t>
  </si>
  <si>
    <t>EGMC</t>
  </si>
  <si>
    <t>EGNT</t>
  </si>
  <si>
    <t>EGHI</t>
  </si>
  <si>
    <t>República Checa</t>
  </si>
  <si>
    <t>LKTB</t>
  </si>
  <si>
    <t>Rumania</t>
  </si>
  <si>
    <t>LRSB</t>
  </si>
  <si>
    <t>LRTR</t>
  </si>
  <si>
    <t>Rusia</t>
  </si>
  <si>
    <t>URKK</t>
  </si>
  <si>
    <t>UUDD</t>
  </si>
  <si>
    <t>UUEE</t>
  </si>
  <si>
    <t>UUWW</t>
  </si>
  <si>
    <t>ULLI</t>
  </si>
  <si>
    <t>URSS</t>
  </si>
  <si>
    <t>Serbia</t>
  </si>
  <si>
    <t>LYNI</t>
  </si>
  <si>
    <t>Suecia</t>
  </si>
  <si>
    <t>ESKN</t>
  </si>
  <si>
    <t>ESMS</t>
  </si>
  <si>
    <t>Suiza</t>
  </si>
  <si>
    <t>Turquía</t>
  </si>
  <si>
    <t>LTAC</t>
  </si>
  <si>
    <t>LTAI</t>
  </si>
  <si>
    <t>LTDB</t>
  </si>
  <si>
    <t>LTBS</t>
  </si>
  <si>
    <t>LTFE</t>
  </si>
  <si>
    <t>LTCG</t>
  </si>
  <si>
    <t>Ucrania</t>
  </si>
  <si>
    <t>UKHH</t>
  </si>
  <si>
    <t>UKBB</t>
  </si>
  <si>
    <t>UKKK</t>
  </si>
  <si>
    <t>UKLL</t>
  </si>
  <si>
    <t>UKOO</t>
  </si>
  <si>
    <t>f</t>
  </si>
  <si>
    <t>recat</t>
  </si>
  <si>
    <t>size_seats_avg</t>
  </si>
  <si>
    <t>A140</t>
  </si>
  <si>
    <t>A148</t>
  </si>
  <si>
    <t>A306</t>
  </si>
  <si>
    <t>A310</t>
  </si>
  <si>
    <t>A318</t>
  </si>
  <si>
    <t>A340</t>
  </si>
  <si>
    <t>A343</t>
  </si>
  <si>
    <t>A345</t>
  </si>
  <si>
    <t>A346</t>
  </si>
  <si>
    <t>AN24</t>
  </si>
  <si>
    <t>AN26</t>
  </si>
  <si>
    <t>AN38</t>
  </si>
  <si>
    <t>AS55</t>
  </si>
  <si>
    <t>AT46</t>
  </si>
  <si>
    <t>AT72</t>
  </si>
  <si>
    <t>ATP</t>
  </si>
  <si>
    <t>B190</t>
  </si>
  <si>
    <t>B350</t>
  </si>
  <si>
    <t>B462</t>
  </si>
  <si>
    <t>B463</t>
  </si>
  <si>
    <t>B712</t>
  </si>
  <si>
    <t>B734</t>
  </si>
  <si>
    <t>B735</t>
  </si>
  <si>
    <t>B736</t>
  </si>
  <si>
    <t>B744</t>
  </si>
  <si>
    <t>B748</t>
  </si>
  <si>
    <t>B752</t>
  </si>
  <si>
    <t>B753</t>
  </si>
  <si>
    <t>B762</t>
  </si>
  <si>
    <t>B763</t>
  </si>
  <si>
    <t>B773</t>
  </si>
  <si>
    <t>BCS1</t>
  </si>
  <si>
    <t>BE20</t>
  </si>
  <si>
    <t>BN2P</t>
  </si>
  <si>
    <t>C206</t>
  </si>
  <si>
    <t>C25A</t>
  </si>
  <si>
    <t>CARJ</t>
  </si>
  <si>
    <t>CRJ1</t>
  </si>
  <si>
    <t>CRJ7</t>
  </si>
  <si>
    <t>CRJ9</t>
  </si>
  <si>
    <t>D228</t>
  </si>
  <si>
    <t>D328</t>
  </si>
  <si>
    <t>DH8A</t>
  </si>
  <si>
    <t>DH8B</t>
  </si>
  <si>
    <t>DH8C</t>
  </si>
  <si>
    <t>DH8D</t>
  </si>
  <si>
    <t>DHC6</t>
  </si>
  <si>
    <t>E120</t>
  </si>
  <si>
    <t>E135</t>
  </si>
  <si>
    <t>E145</t>
  </si>
  <si>
    <t>E170</t>
  </si>
  <si>
    <t>E195</t>
  </si>
  <si>
    <t>E75L</t>
  </si>
  <si>
    <t>EC30</t>
  </si>
  <si>
    <t>L</t>
  </si>
  <si>
    <t>F100</t>
  </si>
  <si>
    <t>F50</t>
  </si>
  <si>
    <t>F70</t>
  </si>
  <si>
    <t>IL96</t>
  </si>
  <si>
    <t>J328</t>
  </si>
  <si>
    <t>JS31</t>
  </si>
  <si>
    <t>JS32</t>
  </si>
  <si>
    <t>JS41</t>
  </si>
  <si>
    <t>L410</t>
  </si>
  <si>
    <t>MD80</t>
  </si>
  <si>
    <t>MD82</t>
  </si>
  <si>
    <t>MD83</t>
  </si>
  <si>
    <t>PA11</t>
  </si>
  <si>
    <t>PAY2</t>
  </si>
  <si>
    <t>RJ1H</t>
  </si>
  <si>
    <t>RJ85</t>
  </si>
  <si>
    <t>SB20</t>
  </si>
  <si>
    <t>SF34</t>
  </si>
  <si>
    <t>SU95</t>
  </si>
  <si>
    <t>SW4</t>
  </si>
  <si>
    <t>T134</t>
  </si>
  <si>
    <t>T154</t>
  </si>
  <si>
    <t>T204</t>
  </si>
  <si>
    <t>YK40</t>
  </si>
  <si>
    <t>YK42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</si>
</sst>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color rgb="FF333333"/>
      <name val="Helvetica"/>
    </font>
    <font>
      <color rgb="FF333333"/>
      <name val="Helvetica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2" xfId="0" applyAlignment="1" applyFont="1" applyNumberFormat="1">
      <alignment readingOrder="0"/>
    </xf>
    <xf borderId="0" fillId="0" fontId="3" numFmtId="21" xfId="0" applyFont="1" applyNumberFormat="1"/>
    <xf borderId="0" fillId="0" fontId="1" numFmtId="1" xfId="0" applyFont="1" applyNumberFormat="1"/>
    <xf borderId="0" fillId="0" fontId="1" numFmtId="21" xfId="0" applyFont="1" applyNumberFormat="1"/>
    <xf borderId="0" fillId="3" fontId="2" numFmtId="0" xfId="0" applyAlignment="1" applyFill="1" applyFont="1">
      <alignment readingOrder="0"/>
    </xf>
    <xf borderId="0" fillId="0" fontId="1" numFmtId="2" xfId="0" applyFont="1" applyNumberFormat="1"/>
    <xf borderId="0" fillId="4" fontId="2" numFmtId="2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2" xfId="0" applyAlignment="1" applyFill="1" applyFont="1" applyNumberFormat="1">
      <alignment readingOrder="0"/>
    </xf>
    <xf borderId="0" fillId="0" fontId="2" numFmtId="21" xfId="0" applyAlignment="1" applyFont="1" applyNumberFormat="1">
      <alignment readingOrder="0"/>
    </xf>
    <xf borderId="1" fillId="7" fontId="4" numFmtId="0" xfId="0" applyAlignment="1" applyBorder="1" applyFill="1" applyFont="1">
      <alignment horizontal="left" readingOrder="0" vertical="top"/>
    </xf>
    <xf borderId="1" fillId="8" fontId="5" numFmtId="0" xfId="0" applyAlignment="1" applyBorder="1" applyFill="1" applyFont="1">
      <alignment horizontal="left" readingOrder="0" vertical="top"/>
    </xf>
    <xf borderId="1" fillId="7" fontId="5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0.63"/>
    <col customWidth="1" min="10" max="10" width="15.25"/>
    <col customWidth="1" min="11" max="11" width="10.63"/>
    <col customWidth="1" min="12" max="12" width="19.13"/>
    <col customWidth="1" min="13" max="13" width="10.63"/>
    <col customWidth="1" min="14" max="14" width="18.5"/>
    <col customWidth="1" min="15" max="15" width="10.63"/>
    <col customWidth="1" min="16" max="17" width="17.63"/>
    <col customWidth="1" min="18" max="18" width="12.0"/>
    <col customWidth="1" min="19" max="21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/>
      <c r="Q1" s="4" t="s">
        <v>15</v>
      </c>
      <c r="R1" s="2" t="s">
        <v>16</v>
      </c>
      <c r="S1" s="2" t="s">
        <v>17</v>
      </c>
    </row>
    <row r="2" ht="14.2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380.0</v>
      </c>
      <c r="G2" s="5">
        <v>0.9513888888888888</v>
      </c>
      <c r="H2" s="6">
        <v>15.0</v>
      </c>
      <c r="I2" s="5">
        <v>0.003472222222222222</v>
      </c>
      <c r="J2" s="1" t="str">
        <f t="array" ref="J2">XLOOKUP(B2,cat!B:B,cat!C:C)</f>
        <v>D</v>
      </c>
      <c r="K2" s="1">
        <f t="array" ref="K2">XLOOKUP(B2,cat!B:B,cat!D:D)</f>
        <v>184</v>
      </c>
      <c r="L2" s="7">
        <f t="shared" ref="L2:L1102" si="1">mod(I2-G2,1)</f>
        <v>0.05208333333</v>
      </c>
      <c r="M2" s="7">
        <f t="shared" ref="M2:M1102" si="2">IF($D2="LEBL",
   IF($L2-(18.3/1440)-($H2/1440)&lt;0,
      $L2-($H2/1440),
      $L2-(18.3/1440)-($H2/1440)
   ),
"")</f>
        <v>0.02895833333</v>
      </c>
      <c r="N2" s="8">
        <v>910.0</v>
      </c>
      <c r="O2" s="8" t="s">
        <v>23</v>
      </c>
      <c r="P2" s="9"/>
      <c r="Q2" s="9">
        <f t="shared" ref="Q2:Q1102" si="3">IFERROR(M2*24*XLOOKUP(J2,$O$2:$O$7,$N$2:$N$7), "")</f>
        <v>576.85</v>
      </c>
      <c r="R2" s="1" t="str">
        <f t="shared" ref="R2:R1102" si="4">LEFT(A2,3)</f>
        <v>RYR</v>
      </c>
      <c r="S2" s="1" t="str">
        <f>IF($D2="LEBL", IF(COUNTIF('Paises ECAC'!B:B, C2)&gt;0, "ECAC","NO ECAC"), "")</f>
        <v>ECAC</v>
      </c>
    </row>
    <row r="3" ht="14.25" customHeight="1">
      <c r="A3" s="1" t="s">
        <v>24</v>
      </c>
      <c r="B3" s="2" t="s">
        <v>25</v>
      </c>
      <c r="C3" s="1" t="s">
        <v>21</v>
      </c>
      <c r="D3" s="1" t="s">
        <v>26</v>
      </c>
      <c r="E3" s="1" t="s">
        <v>27</v>
      </c>
      <c r="F3" s="1">
        <v>390.0</v>
      </c>
      <c r="G3" s="5">
        <v>0.013194444444444444</v>
      </c>
      <c r="H3" s="1">
        <v>9.0</v>
      </c>
      <c r="I3" s="5">
        <v>0.11458333333333333</v>
      </c>
      <c r="J3" s="1" t="str">
        <f t="array" ref="J3">XLOOKUP(B3,cat!B:B,cat!C:C)</f>
        <v>D</v>
      </c>
      <c r="K3" s="1">
        <f t="array" ref="K3">XLOOKUP(B3,cat!B:B,cat!D:D)</f>
        <v>180</v>
      </c>
      <c r="L3" s="7">
        <f t="shared" si="1"/>
        <v>0.1013888889</v>
      </c>
      <c r="M3" s="1" t="str">
        <f t="shared" si="2"/>
        <v/>
      </c>
      <c r="N3" s="8">
        <v>900.0</v>
      </c>
      <c r="O3" s="8" t="s">
        <v>28</v>
      </c>
      <c r="P3" s="9"/>
      <c r="Q3" s="9">
        <f t="shared" si="3"/>
        <v>0</v>
      </c>
      <c r="R3" s="1" t="str">
        <f t="shared" si="4"/>
        <v>AEE</v>
      </c>
      <c r="S3" s="1" t="str">
        <f>IF($D3="LEBL", IF(COUNTIF('Paises ECAC'!B:B, C3)&gt;0, "ECAC","NO ECAC"), "")</f>
        <v/>
      </c>
    </row>
    <row r="4" ht="14.25" customHeight="1">
      <c r="A4" s="1" t="s">
        <v>29</v>
      </c>
      <c r="B4" s="1" t="s">
        <v>30</v>
      </c>
      <c r="C4" s="1" t="s">
        <v>31</v>
      </c>
      <c r="D4" s="1" t="s">
        <v>21</v>
      </c>
      <c r="E4" s="1" t="s">
        <v>32</v>
      </c>
      <c r="F4" s="1">
        <v>380.0</v>
      </c>
      <c r="G4" s="5">
        <v>0.8506944444444444</v>
      </c>
      <c r="H4" s="1">
        <v>10.0</v>
      </c>
      <c r="I4" s="5">
        <v>0.03125</v>
      </c>
      <c r="J4" s="1" t="str">
        <f t="array" ref="J4">XLOOKUP(B4,cat!B:B,cat!C:C)</f>
        <v>D</v>
      </c>
      <c r="K4" s="1">
        <f t="array" ref="K4">XLOOKUP(B4,cat!B:B,cat!D:D)</f>
        <v>173</v>
      </c>
      <c r="L4" s="7">
        <f t="shared" si="1"/>
        <v>0.1805555556</v>
      </c>
      <c r="M4" s="7">
        <f t="shared" si="2"/>
        <v>0.1609027778</v>
      </c>
      <c r="N4" s="8">
        <v>870.0</v>
      </c>
      <c r="O4" s="8" t="s">
        <v>33</v>
      </c>
      <c r="P4" s="9"/>
      <c r="Q4" s="9">
        <f t="shared" si="3"/>
        <v>3205.183333</v>
      </c>
      <c r="R4" s="1" t="str">
        <f t="shared" si="4"/>
        <v>VLG</v>
      </c>
      <c r="S4" s="1" t="str">
        <f>IF($D4="LEBL", IF(COUNTIF('Paises ECAC'!B:B, C4)&gt;0, "ECAC","NO ECAC"), "")</f>
        <v>NO ECAC</v>
      </c>
    </row>
    <row r="5" ht="14.25" customHeight="1">
      <c r="A5" s="1" t="s">
        <v>34</v>
      </c>
      <c r="B5" s="1" t="s">
        <v>35</v>
      </c>
      <c r="C5" s="1" t="s">
        <v>36</v>
      </c>
      <c r="D5" s="1" t="s">
        <v>21</v>
      </c>
      <c r="E5" s="1" t="s">
        <v>37</v>
      </c>
      <c r="F5" s="1">
        <v>360.0</v>
      </c>
      <c r="G5" s="5">
        <v>0.9298611111111111</v>
      </c>
      <c r="H5" s="1">
        <v>10.0</v>
      </c>
      <c r="I5" s="5">
        <v>0.041666666666666664</v>
      </c>
      <c r="J5" s="1" t="str">
        <f t="array" ref="J5">XLOOKUP(B5,cat!B:B,cat!C:C)</f>
        <v>D</v>
      </c>
      <c r="K5" s="1">
        <f t="array" ref="K5">XLOOKUP(B5,cat!B:B,cat!D:D)</f>
        <v>207</v>
      </c>
      <c r="L5" s="7">
        <f t="shared" si="1"/>
        <v>0.1118055556</v>
      </c>
      <c r="M5" s="7">
        <f t="shared" si="2"/>
        <v>0.09215277778</v>
      </c>
      <c r="N5" s="8">
        <v>830.0</v>
      </c>
      <c r="O5" s="8" t="s">
        <v>38</v>
      </c>
      <c r="P5" s="9"/>
      <c r="Q5" s="9">
        <f t="shared" si="3"/>
        <v>1835.683333</v>
      </c>
      <c r="R5" s="1" t="str">
        <f t="shared" si="4"/>
        <v>VLG</v>
      </c>
      <c r="S5" s="1" t="str">
        <f>IF($D5="LEBL", IF(COUNTIF('Paises ECAC'!B:B, C5)&gt;0, "ECAC","NO ECAC"), "")</f>
        <v>ECAC</v>
      </c>
    </row>
    <row r="6" ht="14.25" customHeight="1">
      <c r="A6" s="1" t="s">
        <v>39</v>
      </c>
      <c r="B6" s="1" t="s">
        <v>40</v>
      </c>
      <c r="C6" s="1" t="s">
        <v>41</v>
      </c>
      <c r="D6" s="1" t="s">
        <v>21</v>
      </c>
      <c r="E6" s="1" t="s">
        <v>42</v>
      </c>
      <c r="F6" s="1">
        <v>370.0</v>
      </c>
      <c r="G6" s="5">
        <v>0.9618055555555556</v>
      </c>
      <c r="H6" s="1">
        <v>15.0</v>
      </c>
      <c r="I6" s="5">
        <v>0.04513888888888889</v>
      </c>
      <c r="J6" s="1" t="str">
        <f t="array" ref="J6">XLOOKUP(B6,cat!B:B,cat!C:C)</f>
        <v>D</v>
      </c>
      <c r="K6" s="1">
        <f t="array" ref="K6">XLOOKUP(B6,cat!B:B,cat!D:D)</f>
        <v>186</v>
      </c>
      <c r="L6" s="7">
        <f t="shared" si="1"/>
        <v>0.08333333333</v>
      </c>
      <c r="M6" s="7">
        <f t="shared" si="2"/>
        <v>0.06020833333</v>
      </c>
      <c r="N6" s="8">
        <v>450.0</v>
      </c>
      <c r="O6" s="8" t="s">
        <v>43</v>
      </c>
      <c r="P6" s="9"/>
      <c r="Q6" s="9">
        <f t="shared" si="3"/>
        <v>1199.35</v>
      </c>
      <c r="R6" s="1" t="str">
        <f t="shared" si="4"/>
        <v>RYR</v>
      </c>
      <c r="S6" s="1" t="str">
        <f>IF($D6="LEBL", IF(COUNTIF('Paises ECAC'!B:B, C6)&gt;0, "ECAC","NO ECAC"), "")</f>
        <v>ECAC</v>
      </c>
    </row>
    <row r="7" ht="14.25" customHeight="1">
      <c r="A7" s="1" t="s">
        <v>44</v>
      </c>
      <c r="B7" s="1" t="s">
        <v>45</v>
      </c>
      <c r="C7" s="1" t="s">
        <v>46</v>
      </c>
      <c r="D7" s="1" t="s">
        <v>21</v>
      </c>
      <c r="E7" s="1" t="s">
        <v>47</v>
      </c>
      <c r="F7" s="1">
        <v>180.0</v>
      </c>
      <c r="G7" s="5">
        <v>0.027083333333333334</v>
      </c>
      <c r="H7" s="1">
        <v>9.0</v>
      </c>
      <c r="I7" s="5">
        <v>0.04861111111111111</v>
      </c>
      <c r="J7" s="1" t="str">
        <f t="array" ref="J7">XLOOKUP(B7,cat!B:B,cat!C:C)</f>
        <v>E</v>
      </c>
      <c r="K7" s="1">
        <f t="array" ref="K7">XLOOKUP(B7,cat!B:B,cat!D:D)</f>
        <v>100</v>
      </c>
      <c r="L7" s="7">
        <f t="shared" si="1"/>
        <v>0.02152777778</v>
      </c>
      <c r="M7" s="7">
        <f t="shared" si="2"/>
        <v>0.002569444444</v>
      </c>
      <c r="N7" s="8">
        <v>180.0</v>
      </c>
      <c r="O7" s="8" t="s">
        <v>48</v>
      </c>
      <c r="P7" s="9"/>
      <c r="Q7" s="9">
        <f t="shared" si="3"/>
        <v>27.75</v>
      </c>
      <c r="R7" s="1" t="str">
        <f t="shared" si="4"/>
        <v>ANE</v>
      </c>
      <c r="S7" s="1" t="str">
        <f>IF($D7="LEBL", IF(COUNTIF('Paises ECAC'!B:B, C7)&gt;0, "ECAC","NO ECAC"), "")</f>
        <v>ECAC</v>
      </c>
    </row>
    <row r="8" ht="14.25" customHeight="1">
      <c r="A8" s="1" t="s">
        <v>49</v>
      </c>
      <c r="B8" s="1" t="s">
        <v>30</v>
      </c>
      <c r="C8" s="1" t="s">
        <v>50</v>
      </c>
      <c r="D8" s="1" t="s">
        <v>21</v>
      </c>
      <c r="E8" s="1" t="s">
        <v>51</v>
      </c>
      <c r="F8" s="1">
        <v>380.0</v>
      </c>
      <c r="G8" s="5">
        <v>0.8680555555555556</v>
      </c>
      <c r="H8" s="1">
        <v>10.0</v>
      </c>
      <c r="I8" s="5">
        <v>0.04861111111111111</v>
      </c>
      <c r="J8" s="1" t="str">
        <f t="array" ref="J8">XLOOKUP(B8,cat!B:B,cat!C:C)</f>
        <v>D</v>
      </c>
      <c r="K8" s="1">
        <f t="array" ref="K8">XLOOKUP(B8,cat!B:B,cat!D:D)</f>
        <v>173</v>
      </c>
      <c r="L8" s="7">
        <f t="shared" si="1"/>
        <v>0.1805555556</v>
      </c>
      <c r="M8" s="7">
        <f t="shared" si="2"/>
        <v>0.1609027778</v>
      </c>
      <c r="P8" s="9"/>
      <c r="Q8" s="9">
        <f t="shared" si="3"/>
        <v>3205.183333</v>
      </c>
      <c r="R8" s="1" t="str">
        <f t="shared" si="4"/>
        <v>VLG</v>
      </c>
      <c r="S8" s="1" t="str">
        <f>IF($D8="LEBL", IF(COUNTIF('Paises ECAC'!B:B, C8)&gt;0, "ECAC","NO ECAC"), "")</f>
        <v>NO ECAC</v>
      </c>
    </row>
    <row r="9" ht="14.25" customHeight="1">
      <c r="A9" s="1" t="s">
        <v>52</v>
      </c>
      <c r="B9" s="1" t="s">
        <v>40</v>
      </c>
      <c r="C9" s="1" t="s">
        <v>53</v>
      </c>
      <c r="D9" s="1" t="s">
        <v>21</v>
      </c>
      <c r="E9" s="1" t="s">
        <v>54</v>
      </c>
      <c r="F9" s="1">
        <v>370.0</v>
      </c>
      <c r="G9" s="5">
        <v>0.9868055555555556</v>
      </c>
      <c r="H9" s="1">
        <v>7.0</v>
      </c>
      <c r="I9" s="5">
        <v>0.06944444444444445</v>
      </c>
      <c r="J9" s="1" t="str">
        <f t="array" ref="J9">XLOOKUP(B9,cat!B:B,cat!C:C)</f>
        <v>D</v>
      </c>
      <c r="K9" s="1">
        <f t="array" ref="K9">XLOOKUP(B9,cat!B:B,cat!D:D)</f>
        <v>186</v>
      </c>
      <c r="L9" s="7">
        <f t="shared" si="1"/>
        <v>0.08263888889</v>
      </c>
      <c r="M9" s="7">
        <f t="shared" si="2"/>
        <v>0.06506944444</v>
      </c>
      <c r="P9" s="10" t="s">
        <v>55</v>
      </c>
      <c r="Q9" s="9">
        <f t="shared" si="3"/>
        <v>1296.183333</v>
      </c>
      <c r="R9" s="1" t="str">
        <f t="shared" si="4"/>
        <v>TVP</v>
      </c>
      <c r="S9" s="1" t="str">
        <f>IF($D9="LEBL", IF(COUNTIF('Paises ECAC'!B:B, C9)&gt;0, "ECAC","NO ECAC"), "")</f>
        <v>ECAC</v>
      </c>
    </row>
    <row r="10" ht="14.25" customHeight="1">
      <c r="A10" s="1" t="s">
        <v>56</v>
      </c>
      <c r="B10" s="1" t="s">
        <v>57</v>
      </c>
      <c r="C10" s="1" t="s">
        <v>58</v>
      </c>
      <c r="D10" s="1" t="s">
        <v>21</v>
      </c>
      <c r="E10" s="1" t="s">
        <v>59</v>
      </c>
      <c r="F10" s="1">
        <v>400.0</v>
      </c>
      <c r="G10" s="5">
        <v>0.625</v>
      </c>
      <c r="H10" s="1">
        <v>10.0</v>
      </c>
      <c r="I10" s="5">
        <v>0.12152777777777778</v>
      </c>
      <c r="J10" s="1" t="str">
        <f t="array" ref="J10">XLOOKUP(B10,cat!B:B,cat!C:C)</f>
        <v>B</v>
      </c>
      <c r="K10" s="1">
        <f t="array" ref="K10">XLOOKUP(B10,cat!B:B,cat!D:D)</f>
        <v>281</v>
      </c>
      <c r="L10" s="7">
        <f t="shared" si="1"/>
        <v>0.4965277778</v>
      </c>
      <c r="M10" s="7">
        <f t="shared" si="2"/>
        <v>0.476875</v>
      </c>
      <c r="N10" s="11" t="s">
        <v>60</v>
      </c>
      <c r="O10" s="12">
        <v>40.0</v>
      </c>
      <c r="P10" s="13" t="s">
        <v>61</v>
      </c>
      <c r="Q10" s="9">
        <f t="shared" si="3"/>
        <v>10300.5</v>
      </c>
      <c r="R10" s="1" t="str">
        <f t="shared" si="4"/>
        <v>IBE</v>
      </c>
      <c r="S10" s="1" t="str">
        <f>IF($D10="LEBL", IF(COUNTIF('Paises ECAC'!B:B, C10)&gt;0, "ECAC","NO ECAC"), "")</f>
        <v>NO ECAC</v>
      </c>
    </row>
    <row r="11" ht="14.25" customHeight="1">
      <c r="A11" s="1" t="s">
        <v>62</v>
      </c>
      <c r="B11" s="1" t="s">
        <v>25</v>
      </c>
      <c r="C11" s="1" t="s">
        <v>63</v>
      </c>
      <c r="D11" s="1" t="s">
        <v>21</v>
      </c>
      <c r="E11" s="1" t="s">
        <v>64</v>
      </c>
      <c r="F11" s="1">
        <v>290.0</v>
      </c>
      <c r="G11" s="5">
        <v>0.10277777777777777</v>
      </c>
      <c r="H11" s="1">
        <v>6.0</v>
      </c>
      <c r="I11" s="5">
        <v>0.125</v>
      </c>
      <c r="J11" s="1" t="str">
        <f t="array" ref="J11">XLOOKUP(B11,cat!B:B,cat!C:C)</f>
        <v>D</v>
      </c>
      <c r="K11" s="1">
        <f t="array" ref="K11">XLOOKUP(B11,cat!B:B,cat!D:D)</f>
        <v>180</v>
      </c>
      <c r="L11" s="7">
        <f t="shared" si="1"/>
        <v>0.02222222222</v>
      </c>
      <c r="M11" s="7">
        <f t="shared" si="2"/>
        <v>0.005347222222</v>
      </c>
      <c r="N11" s="11" t="s">
        <v>65</v>
      </c>
      <c r="O11" s="12">
        <v>20.0</v>
      </c>
      <c r="P11" s="13" t="s">
        <v>66</v>
      </c>
      <c r="Q11" s="9">
        <f t="shared" si="3"/>
        <v>106.5166667</v>
      </c>
      <c r="R11" s="1" t="str">
        <f t="shared" si="4"/>
        <v>VLG</v>
      </c>
      <c r="S11" s="1" t="str">
        <f>IF($D11="LEBL", IF(COUNTIF('Paises ECAC'!B:B, C11)&gt;0, "ECAC","NO ECAC"), "")</f>
        <v>ECAC</v>
      </c>
    </row>
    <row r="12" ht="14.25" customHeight="1">
      <c r="A12" s="1" t="s">
        <v>67</v>
      </c>
      <c r="B12" s="1" t="s">
        <v>40</v>
      </c>
      <c r="C12" s="1" t="s">
        <v>21</v>
      </c>
      <c r="D12" s="1" t="s">
        <v>68</v>
      </c>
      <c r="E12" s="1" t="s">
        <v>54</v>
      </c>
      <c r="F12" s="1">
        <v>360.0</v>
      </c>
      <c r="G12" s="5">
        <v>0.12291666666666666</v>
      </c>
      <c r="H12" s="1">
        <v>20.0</v>
      </c>
      <c r="I12" s="5">
        <v>0.2361111111111111</v>
      </c>
      <c r="J12" s="1" t="str">
        <f t="array" ref="J12">XLOOKUP(B12,cat!B:B,cat!C:C)</f>
        <v>D</v>
      </c>
      <c r="K12" s="1">
        <f t="array" ref="K12">XLOOKUP(B12,cat!B:B,cat!D:D)</f>
        <v>186</v>
      </c>
      <c r="L12" s="7">
        <f t="shared" si="1"/>
        <v>0.1131944444</v>
      </c>
      <c r="M12" s="1" t="str">
        <f t="shared" si="2"/>
        <v/>
      </c>
      <c r="P12" s="9"/>
      <c r="Q12" s="9">
        <f t="shared" si="3"/>
        <v>0</v>
      </c>
      <c r="R12" s="1" t="str">
        <f t="shared" si="4"/>
        <v>TVP</v>
      </c>
      <c r="S12" s="1" t="str">
        <f>IF($D12="LEBL", IF(COUNTIF('Paises ECAC'!B:B, C12)&gt;0, "ECAC","NO ECAC"), "")</f>
        <v/>
      </c>
    </row>
    <row r="13" ht="14.25" customHeight="1">
      <c r="A13" s="1" t="s">
        <v>69</v>
      </c>
      <c r="B13" s="1" t="s">
        <v>30</v>
      </c>
      <c r="C13" s="1" t="s">
        <v>21</v>
      </c>
      <c r="D13" s="1" t="s">
        <v>70</v>
      </c>
      <c r="E13" s="1" t="s">
        <v>71</v>
      </c>
      <c r="F13" s="1">
        <v>350.0</v>
      </c>
      <c r="G13" s="5">
        <v>0.12708333333333333</v>
      </c>
      <c r="H13" s="1">
        <v>8.0</v>
      </c>
      <c r="I13" s="5">
        <v>0.1875</v>
      </c>
      <c r="J13" s="1" t="str">
        <f t="array" ref="J13">XLOOKUP(B13,cat!B:B,cat!C:C)</f>
        <v>D</v>
      </c>
      <c r="K13" s="1">
        <f t="array" ref="K13">XLOOKUP(B13,cat!B:B,cat!D:D)</f>
        <v>173</v>
      </c>
      <c r="L13" s="7">
        <f t="shared" si="1"/>
        <v>0.06041666667</v>
      </c>
      <c r="M13" s="1" t="str">
        <f t="shared" si="2"/>
        <v/>
      </c>
      <c r="N13" s="11" t="s">
        <v>72</v>
      </c>
      <c r="O13" s="14">
        <v>0.25</v>
      </c>
      <c r="P13" s="9"/>
      <c r="Q13" s="9">
        <f t="shared" si="3"/>
        <v>0</v>
      </c>
      <c r="R13" s="1" t="str">
        <f t="shared" si="4"/>
        <v>VLG</v>
      </c>
      <c r="S13" s="1" t="str">
        <f>IF($D13="LEBL", IF(COUNTIF('Paises ECAC'!B:B, C13)&gt;0, "ECAC","NO ECAC"), "")</f>
        <v/>
      </c>
    </row>
    <row r="14" ht="14.25" customHeight="1">
      <c r="A14" s="1" t="s">
        <v>73</v>
      </c>
      <c r="B14" s="1" t="s">
        <v>30</v>
      </c>
      <c r="C14" s="1" t="s">
        <v>21</v>
      </c>
      <c r="D14" s="1" t="s">
        <v>74</v>
      </c>
      <c r="E14" s="1" t="s">
        <v>75</v>
      </c>
      <c r="F14" s="1">
        <v>380.0</v>
      </c>
      <c r="G14" s="5">
        <v>0.12986111111111112</v>
      </c>
      <c r="H14" s="1">
        <v>17.0</v>
      </c>
      <c r="I14" s="5">
        <v>0.1840277777777778</v>
      </c>
      <c r="J14" s="1" t="str">
        <f t="array" ref="J14">XLOOKUP(B14,cat!B:B,cat!C:C)</f>
        <v>D</v>
      </c>
      <c r="K14" s="1">
        <f t="array" ref="K14">XLOOKUP(B14,cat!B:B,cat!D:D)</f>
        <v>173</v>
      </c>
      <c r="L14" s="7">
        <f t="shared" si="1"/>
        <v>0.05416666667</v>
      </c>
      <c r="M14" s="1" t="str">
        <f t="shared" si="2"/>
        <v/>
      </c>
      <c r="N14" s="11" t="s">
        <v>76</v>
      </c>
      <c r="O14" s="14">
        <v>0.3333333333333333</v>
      </c>
      <c r="P14" s="9"/>
      <c r="Q14" s="9">
        <f t="shared" si="3"/>
        <v>0</v>
      </c>
      <c r="R14" s="1" t="str">
        <f t="shared" si="4"/>
        <v>VLG</v>
      </c>
      <c r="S14" s="1" t="str">
        <f>IF($D14="LEBL", IF(COUNTIF('Paises ECAC'!B:B, C14)&gt;0, "ECAC","NO ECAC"), "")</f>
        <v/>
      </c>
    </row>
    <row r="15" ht="14.25" customHeight="1">
      <c r="A15" s="1" t="s">
        <v>77</v>
      </c>
      <c r="B15" s="1" t="s">
        <v>57</v>
      </c>
      <c r="C15" s="1" t="s">
        <v>78</v>
      </c>
      <c r="D15" s="1" t="s">
        <v>21</v>
      </c>
      <c r="E15" s="1" t="s">
        <v>79</v>
      </c>
      <c r="F15" s="1">
        <v>400.0</v>
      </c>
      <c r="G15" s="5">
        <v>0.6076388888888888</v>
      </c>
      <c r="H15" s="1">
        <v>10.0</v>
      </c>
      <c r="I15" s="5">
        <v>0.1423611111111111</v>
      </c>
      <c r="J15" s="1" t="str">
        <f t="array" ref="J15">XLOOKUP(B15,cat!B:B,cat!C:C)</f>
        <v>B</v>
      </c>
      <c r="K15" s="1">
        <f t="array" ref="K15">XLOOKUP(B15,cat!B:B,cat!D:D)</f>
        <v>281</v>
      </c>
      <c r="L15" s="7">
        <f t="shared" si="1"/>
        <v>0.5347222222</v>
      </c>
      <c r="M15" s="7">
        <f t="shared" si="2"/>
        <v>0.5150694444</v>
      </c>
      <c r="N15" s="11" t="s">
        <v>80</v>
      </c>
      <c r="O15" s="14">
        <v>0.5833333333333334</v>
      </c>
      <c r="P15" s="9"/>
      <c r="Q15" s="9">
        <f t="shared" si="3"/>
        <v>11125.5</v>
      </c>
      <c r="R15" s="1" t="str">
        <f t="shared" si="4"/>
        <v>IBE</v>
      </c>
      <c r="S15" s="1" t="str">
        <f>IF($D15="LEBL", IF(COUNTIF('Paises ECAC'!B:B, C15)&gt;0, "ECAC","NO ECAC"), "")</f>
        <v>NO ECAC</v>
      </c>
    </row>
    <row r="16" ht="14.25" customHeight="1">
      <c r="A16" s="1" t="s">
        <v>81</v>
      </c>
      <c r="B16" s="1" t="s">
        <v>30</v>
      </c>
      <c r="C16" s="1" t="s">
        <v>21</v>
      </c>
      <c r="D16" s="1" t="s">
        <v>82</v>
      </c>
      <c r="E16" s="1" t="s">
        <v>83</v>
      </c>
      <c r="F16" s="1">
        <v>390.0</v>
      </c>
      <c r="G16" s="5">
        <v>0.15416666666666667</v>
      </c>
      <c r="H16" s="1">
        <v>12.0</v>
      </c>
      <c r="I16" s="5">
        <v>0.21875</v>
      </c>
      <c r="J16" s="1" t="str">
        <f t="array" ref="J16">XLOOKUP(B16,cat!B:B,cat!C:C)</f>
        <v>D</v>
      </c>
      <c r="K16" s="1">
        <f t="array" ref="K16">XLOOKUP(B16,cat!B:B,cat!D:D)</f>
        <v>173</v>
      </c>
      <c r="L16" s="7">
        <f t="shared" si="1"/>
        <v>0.06458333333</v>
      </c>
      <c r="M16" s="1" t="str">
        <f t="shared" si="2"/>
        <v/>
      </c>
      <c r="P16" s="9"/>
      <c r="Q16" s="9">
        <f t="shared" si="3"/>
        <v>0</v>
      </c>
      <c r="R16" s="1" t="str">
        <f t="shared" si="4"/>
        <v>VLG</v>
      </c>
      <c r="S16" s="1" t="str">
        <f>IF($D16="LEBL", IF(COUNTIF('Paises ECAC'!B:B, C16)&gt;0, "ECAC","NO ECAC"), "")</f>
        <v/>
      </c>
    </row>
    <row r="17" ht="14.25" customHeight="1">
      <c r="A17" s="1" t="s">
        <v>84</v>
      </c>
      <c r="B17" s="1" t="s">
        <v>30</v>
      </c>
      <c r="C17" s="1" t="s">
        <v>85</v>
      </c>
      <c r="D17" s="1" t="s">
        <v>21</v>
      </c>
      <c r="E17" s="1" t="s">
        <v>86</v>
      </c>
      <c r="F17" s="1">
        <v>360.0</v>
      </c>
      <c r="G17" s="5">
        <v>0.04513888888888889</v>
      </c>
      <c r="H17" s="1">
        <v>10.0</v>
      </c>
      <c r="I17" s="5">
        <v>0.15625</v>
      </c>
      <c r="J17" s="1" t="str">
        <f t="array" ref="J17">XLOOKUP(B17,cat!B:B,cat!C:C)</f>
        <v>D</v>
      </c>
      <c r="K17" s="1">
        <f t="array" ref="K17">XLOOKUP(B17,cat!B:B,cat!D:D)</f>
        <v>173</v>
      </c>
      <c r="L17" s="7">
        <f t="shared" si="1"/>
        <v>0.1111111111</v>
      </c>
      <c r="M17" s="7">
        <f t="shared" si="2"/>
        <v>0.09145833333</v>
      </c>
      <c r="P17" s="9"/>
      <c r="Q17" s="9">
        <f t="shared" si="3"/>
        <v>1821.85</v>
      </c>
      <c r="R17" s="1" t="str">
        <f t="shared" si="4"/>
        <v>VLG</v>
      </c>
      <c r="S17" s="1" t="str">
        <f>IF($D17="LEBL", IF(COUNTIF('Paises ECAC'!B:B, C17)&gt;0, "ECAC","NO ECAC"), "")</f>
        <v>ECAC</v>
      </c>
    </row>
    <row r="18" ht="14.25" customHeight="1">
      <c r="A18" s="1" t="s">
        <v>87</v>
      </c>
      <c r="B18" s="1" t="s">
        <v>25</v>
      </c>
      <c r="C18" s="1" t="s">
        <v>21</v>
      </c>
      <c r="D18" s="1" t="s">
        <v>88</v>
      </c>
      <c r="E18" s="1" t="s">
        <v>89</v>
      </c>
      <c r="F18" s="1">
        <v>390.0</v>
      </c>
      <c r="G18" s="5">
        <v>0.15763888888888888</v>
      </c>
      <c r="H18" s="1">
        <v>12.0</v>
      </c>
      <c r="I18" s="5">
        <v>0.2673611111111111</v>
      </c>
      <c r="J18" s="1" t="str">
        <f t="array" ref="J18">XLOOKUP(B18,cat!B:B,cat!C:C)</f>
        <v>D</v>
      </c>
      <c r="K18" s="1">
        <f t="array" ref="K18">XLOOKUP(B18,cat!B:B,cat!D:D)</f>
        <v>180</v>
      </c>
      <c r="L18" s="7">
        <f t="shared" si="1"/>
        <v>0.1097222222</v>
      </c>
      <c r="M18" s="1" t="str">
        <f t="shared" si="2"/>
        <v/>
      </c>
      <c r="P18" s="9"/>
      <c r="Q18" s="9">
        <f t="shared" si="3"/>
        <v>0</v>
      </c>
      <c r="R18" s="1" t="str">
        <f t="shared" si="4"/>
        <v>VLG</v>
      </c>
      <c r="S18" s="1" t="str">
        <f>IF($D18="LEBL", IF(COUNTIF('Paises ECAC'!B:B, C18)&gt;0, "ECAC","NO ECAC"), "")</f>
        <v/>
      </c>
    </row>
    <row r="19" ht="14.25" customHeight="1">
      <c r="A19" s="1" t="s">
        <v>90</v>
      </c>
      <c r="B19" s="1" t="s">
        <v>30</v>
      </c>
      <c r="C19" s="1" t="s">
        <v>21</v>
      </c>
      <c r="D19" s="1" t="s">
        <v>91</v>
      </c>
      <c r="E19" s="1" t="s">
        <v>92</v>
      </c>
      <c r="F19" s="1">
        <v>310.0</v>
      </c>
      <c r="G19" s="5">
        <v>0.15347222222222223</v>
      </c>
      <c r="H19" s="1">
        <v>11.0</v>
      </c>
      <c r="I19" s="5">
        <v>0.2013888888888889</v>
      </c>
      <c r="J19" s="1" t="str">
        <f t="array" ref="J19">XLOOKUP(B19,cat!B:B,cat!C:C)</f>
        <v>D</v>
      </c>
      <c r="K19" s="1">
        <f t="array" ref="K19">XLOOKUP(B19,cat!B:B,cat!D:D)</f>
        <v>173</v>
      </c>
      <c r="L19" s="7">
        <f t="shared" si="1"/>
        <v>0.04791666667</v>
      </c>
      <c r="M19" s="1" t="str">
        <f t="shared" si="2"/>
        <v/>
      </c>
      <c r="P19" s="9"/>
      <c r="Q19" s="9">
        <f t="shared" si="3"/>
        <v>0</v>
      </c>
      <c r="R19" s="1" t="str">
        <f t="shared" si="4"/>
        <v>VLG</v>
      </c>
      <c r="S19" s="1" t="str">
        <f>IF($D19="LEBL", IF(COUNTIF('Paises ECAC'!B:B, C19)&gt;0, "ECAC","NO ECAC"), "")</f>
        <v/>
      </c>
    </row>
    <row r="20" ht="14.25" customHeight="1">
      <c r="A20" s="1" t="s">
        <v>93</v>
      </c>
      <c r="B20" s="1" t="s">
        <v>19</v>
      </c>
      <c r="C20" s="1" t="s">
        <v>21</v>
      </c>
      <c r="D20" s="1" t="s">
        <v>94</v>
      </c>
      <c r="E20" s="1" t="s">
        <v>95</v>
      </c>
      <c r="F20" s="1">
        <v>380.0</v>
      </c>
      <c r="G20" s="5">
        <v>0.1701388888888889</v>
      </c>
      <c r="H20" s="1">
        <v>20.0</v>
      </c>
      <c r="I20" s="5">
        <v>0.24305555555555555</v>
      </c>
      <c r="J20" s="1" t="str">
        <f t="array" ref="J20">XLOOKUP(B20,cat!B:B,cat!C:C)</f>
        <v>D</v>
      </c>
      <c r="K20" s="1">
        <f t="array" ref="K20">XLOOKUP(B20,cat!B:B,cat!D:D)</f>
        <v>184</v>
      </c>
      <c r="L20" s="7">
        <f t="shared" si="1"/>
        <v>0.07291666667</v>
      </c>
      <c r="M20" s="1" t="str">
        <f t="shared" si="2"/>
        <v/>
      </c>
      <c r="P20" s="9"/>
      <c r="Q20" s="9">
        <f t="shared" si="3"/>
        <v>0</v>
      </c>
      <c r="R20" s="1" t="str">
        <f t="shared" si="4"/>
        <v>RYR</v>
      </c>
      <c r="S20" s="1" t="str">
        <f>IF($D20="LEBL", IF(COUNTIF('Paises ECAC'!B:B, C20)&gt;0, "ECAC","NO ECAC"), "")</f>
        <v/>
      </c>
    </row>
    <row r="21" ht="14.25" customHeight="1">
      <c r="A21" s="1" t="s">
        <v>96</v>
      </c>
      <c r="B21" s="1" t="s">
        <v>30</v>
      </c>
      <c r="C21" s="1" t="s">
        <v>21</v>
      </c>
      <c r="D21" s="1" t="s">
        <v>97</v>
      </c>
      <c r="E21" s="1" t="s">
        <v>98</v>
      </c>
      <c r="F21" s="1">
        <v>300.0</v>
      </c>
      <c r="G21" s="5">
        <v>0.16666666666666666</v>
      </c>
      <c r="H21" s="1">
        <v>8.0</v>
      </c>
      <c r="I21" s="5">
        <v>0.21180555555555555</v>
      </c>
      <c r="J21" s="1" t="str">
        <f t="array" ref="J21">XLOOKUP(B21,cat!B:B,cat!C:C)</f>
        <v>D</v>
      </c>
      <c r="K21" s="1">
        <f t="array" ref="K21">XLOOKUP(B21,cat!B:B,cat!D:D)</f>
        <v>173</v>
      </c>
      <c r="L21" s="7">
        <f t="shared" si="1"/>
        <v>0.04513888889</v>
      </c>
      <c r="M21" s="1" t="str">
        <f t="shared" si="2"/>
        <v/>
      </c>
      <c r="P21" s="9"/>
      <c r="Q21" s="9">
        <f t="shared" si="3"/>
        <v>0</v>
      </c>
      <c r="R21" s="1" t="str">
        <f t="shared" si="4"/>
        <v>VLG</v>
      </c>
      <c r="S21" s="1" t="str">
        <f>IF($D21="LEBL", IF(COUNTIF('Paises ECAC'!B:B, C21)&gt;0, "ECAC","NO ECAC"), "")</f>
        <v/>
      </c>
    </row>
    <row r="22" ht="14.25" customHeight="1">
      <c r="A22" s="1" t="s">
        <v>99</v>
      </c>
      <c r="B22" s="1" t="s">
        <v>19</v>
      </c>
      <c r="C22" s="1" t="s">
        <v>21</v>
      </c>
      <c r="D22" s="1" t="s">
        <v>100</v>
      </c>
      <c r="E22" s="1" t="s">
        <v>101</v>
      </c>
      <c r="F22" s="1">
        <v>380.0</v>
      </c>
      <c r="G22" s="5">
        <v>0.1701388888888889</v>
      </c>
      <c r="H22" s="1">
        <v>20.0</v>
      </c>
      <c r="I22" s="5">
        <v>0.22569444444444445</v>
      </c>
      <c r="J22" s="1" t="str">
        <f t="array" ref="J22">XLOOKUP(B22,cat!B:B,cat!C:C)</f>
        <v>D</v>
      </c>
      <c r="K22" s="1">
        <f t="array" ref="K22">XLOOKUP(B22,cat!B:B,cat!D:D)</f>
        <v>184</v>
      </c>
      <c r="L22" s="7">
        <f t="shared" si="1"/>
        <v>0.05555555556</v>
      </c>
      <c r="M22" s="1" t="str">
        <f t="shared" si="2"/>
        <v/>
      </c>
      <c r="P22" s="9"/>
      <c r="Q22" s="9">
        <f t="shared" si="3"/>
        <v>0</v>
      </c>
      <c r="R22" s="1" t="str">
        <f t="shared" si="4"/>
        <v>RYR</v>
      </c>
      <c r="S22" s="1" t="str">
        <f>IF($D22="LEBL", IF(COUNTIF('Paises ECAC'!B:B, C22)&gt;0, "ECAC","NO ECAC"), "")</f>
        <v/>
      </c>
    </row>
    <row r="23" ht="14.25" customHeight="1">
      <c r="A23" s="1" t="s">
        <v>102</v>
      </c>
      <c r="B23" s="1" t="s">
        <v>30</v>
      </c>
      <c r="C23" s="1" t="s">
        <v>26</v>
      </c>
      <c r="D23" s="1" t="s">
        <v>21</v>
      </c>
      <c r="E23" s="1" t="s">
        <v>103</v>
      </c>
      <c r="F23" s="1">
        <v>360.0</v>
      </c>
      <c r="G23" s="5">
        <v>0.07013888888888889</v>
      </c>
      <c r="H23" s="1">
        <v>13.0</v>
      </c>
      <c r="I23" s="5">
        <v>0.1701388888888889</v>
      </c>
      <c r="J23" s="1" t="str">
        <f t="array" ref="J23">XLOOKUP(B23,cat!B:B,cat!C:C)</f>
        <v>D</v>
      </c>
      <c r="K23" s="1">
        <f t="array" ref="K23">XLOOKUP(B23,cat!B:B,cat!D:D)</f>
        <v>173</v>
      </c>
      <c r="L23" s="7">
        <f t="shared" si="1"/>
        <v>0.1</v>
      </c>
      <c r="M23" s="7">
        <f t="shared" si="2"/>
        <v>0.07826388889</v>
      </c>
      <c r="P23" s="9"/>
      <c r="Q23" s="9">
        <f t="shared" si="3"/>
        <v>1559.016667</v>
      </c>
      <c r="R23" s="1" t="str">
        <f t="shared" si="4"/>
        <v>VLG</v>
      </c>
      <c r="S23" s="1" t="str">
        <f>IF($D23="LEBL", IF(COUNTIF('Paises ECAC'!B:B, C23)&gt;0, "ECAC","NO ECAC"), "")</f>
        <v>ECAC</v>
      </c>
    </row>
    <row r="24" ht="14.25" customHeight="1">
      <c r="A24" s="1" t="s">
        <v>104</v>
      </c>
      <c r="B24" s="1" t="s">
        <v>40</v>
      </c>
      <c r="C24" s="1" t="s">
        <v>21</v>
      </c>
      <c r="D24" s="1" t="s">
        <v>105</v>
      </c>
      <c r="E24" s="1" t="s">
        <v>42</v>
      </c>
      <c r="F24" s="1">
        <v>300.0</v>
      </c>
      <c r="G24" s="5">
        <v>0.17222222222222222</v>
      </c>
      <c r="H24" s="1">
        <v>0.0</v>
      </c>
      <c r="I24" s="5">
        <v>0.2222222222222222</v>
      </c>
      <c r="J24" s="1" t="str">
        <f t="array" ref="J24">XLOOKUP(B24,cat!B:B,cat!C:C)</f>
        <v>D</v>
      </c>
      <c r="K24" s="1">
        <f t="array" ref="K24">XLOOKUP(B24,cat!B:B,cat!D:D)</f>
        <v>186</v>
      </c>
      <c r="L24" s="7">
        <f t="shared" si="1"/>
        <v>0.05</v>
      </c>
      <c r="M24" s="1" t="str">
        <f t="shared" si="2"/>
        <v/>
      </c>
      <c r="P24" s="9"/>
      <c r="Q24" s="9">
        <f t="shared" si="3"/>
        <v>0</v>
      </c>
      <c r="R24" s="1" t="str">
        <f t="shared" si="4"/>
        <v>RYR</v>
      </c>
      <c r="S24" s="1" t="str">
        <f>IF($D24="LEBL", IF(COUNTIF('Paises ECAC'!B:B, C24)&gt;0, "ECAC","NO ECAC"), "")</f>
        <v/>
      </c>
    </row>
    <row r="25" ht="14.25" customHeight="1">
      <c r="A25" s="1" t="s">
        <v>106</v>
      </c>
      <c r="B25" s="1" t="s">
        <v>35</v>
      </c>
      <c r="C25" s="1" t="s">
        <v>21</v>
      </c>
      <c r="D25" s="1" t="s">
        <v>107</v>
      </c>
      <c r="E25" s="1" t="s">
        <v>108</v>
      </c>
      <c r="F25" s="1">
        <v>330.0</v>
      </c>
      <c r="G25" s="5">
        <v>0.17916666666666667</v>
      </c>
      <c r="H25" s="1">
        <v>8.0</v>
      </c>
      <c r="I25" s="5">
        <v>0.23958333333333334</v>
      </c>
      <c r="J25" s="1" t="str">
        <f t="array" ref="J25">XLOOKUP(B25,cat!B:B,cat!C:C)</f>
        <v>D</v>
      </c>
      <c r="K25" s="1">
        <f t="array" ref="K25">XLOOKUP(B25,cat!B:B,cat!D:D)</f>
        <v>207</v>
      </c>
      <c r="L25" s="7">
        <f t="shared" si="1"/>
        <v>0.06041666667</v>
      </c>
      <c r="M25" s="1" t="str">
        <f t="shared" si="2"/>
        <v/>
      </c>
      <c r="P25" s="9"/>
      <c r="Q25" s="9">
        <f t="shared" si="3"/>
        <v>0</v>
      </c>
      <c r="R25" s="1" t="str">
        <f t="shared" si="4"/>
        <v>TAP</v>
      </c>
      <c r="S25" s="1" t="str">
        <f>IF($D25="LEBL", IF(COUNTIF('Paises ECAC'!B:B, C25)&gt;0, "ECAC","NO ECAC"), "")</f>
        <v/>
      </c>
    </row>
    <row r="26" ht="14.25" customHeight="1">
      <c r="A26" s="1" t="s">
        <v>109</v>
      </c>
      <c r="B26" s="1" t="s">
        <v>19</v>
      </c>
      <c r="C26" s="1" t="s">
        <v>21</v>
      </c>
      <c r="D26" s="1" t="s">
        <v>110</v>
      </c>
      <c r="E26" s="1" t="s">
        <v>111</v>
      </c>
      <c r="F26" s="1">
        <v>340.0</v>
      </c>
      <c r="G26" s="5">
        <v>0.18472222222222223</v>
      </c>
      <c r="H26" s="1">
        <v>20.0</v>
      </c>
      <c r="I26" s="5">
        <v>0.23958333333333334</v>
      </c>
      <c r="J26" s="1" t="str">
        <f t="array" ref="J26">XLOOKUP(B26,cat!B:B,cat!C:C)</f>
        <v>D</v>
      </c>
      <c r="K26" s="1">
        <f t="array" ref="K26">XLOOKUP(B26,cat!B:B,cat!D:D)</f>
        <v>184</v>
      </c>
      <c r="L26" s="7">
        <f t="shared" si="1"/>
        <v>0.05486111111</v>
      </c>
      <c r="M26" s="1" t="str">
        <f t="shared" si="2"/>
        <v/>
      </c>
      <c r="P26" s="9"/>
      <c r="Q26" s="9">
        <f t="shared" si="3"/>
        <v>0</v>
      </c>
      <c r="R26" s="1" t="str">
        <f t="shared" si="4"/>
        <v>RYR</v>
      </c>
      <c r="S26" s="1" t="str">
        <f>IF($D26="LEBL", IF(COUNTIF('Paises ECAC'!B:B, C26)&gt;0, "ECAC","NO ECAC"), "")</f>
        <v/>
      </c>
    </row>
    <row r="27" ht="14.25" customHeight="1">
      <c r="A27" s="1" t="s">
        <v>112</v>
      </c>
      <c r="B27" s="1" t="s">
        <v>30</v>
      </c>
      <c r="C27" s="1" t="s">
        <v>21</v>
      </c>
      <c r="D27" s="1" t="s">
        <v>113</v>
      </c>
      <c r="E27" s="1" t="s">
        <v>114</v>
      </c>
      <c r="F27" s="1">
        <v>370.0</v>
      </c>
      <c r="G27" s="5">
        <v>0.17152777777777778</v>
      </c>
      <c r="H27" s="1">
        <v>17.0</v>
      </c>
      <c r="I27" s="5">
        <v>0.2534722222222222</v>
      </c>
      <c r="J27" s="1" t="str">
        <f t="array" ref="J27">XLOOKUP(B27,cat!B:B,cat!C:C)</f>
        <v>D</v>
      </c>
      <c r="K27" s="1">
        <f t="array" ref="K27">XLOOKUP(B27,cat!B:B,cat!D:D)</f>
        <v>173</v>
      </c>
      <c r="L27" s="7">
        <f t="shared" si="1"/>
        <v>0.08194444444</v>
      </c>
      <c r="M27" s="1" t="str">
        <f t="shared" si="2"/>
        <v/>
      </c>
      <c r="P27" s="9"/>
      <c r="Q27" s="9">
        <f t="shared" si="3"/>
        <v>0</v>
      </c>
      <c r="R27" s="1" t="str">
        <f t="shared" si="4"/>
        <v>VLG</v>
      </c>
      <c r="S27" s="1" t="str">
        <f>IF($D27="LEBL", IF(COUNTIF('Paises ECAC'!B:B, C27)&gt;0, "ECAC","NO ECAC"), "")</f>
        <v/>
      </c>
    </row>
    <row r="28" ht="14.25" customHeight="1">
      <c r="A28" s="1" t="s">
        <v>115</v>
      </c>
      <c r="B28" s="1" t="s">
        <v>35</v>
      </c>
      <c r="C28" s="1" t="s">
        <v>21</v>
      </c>
      <c r="D28" s="1" t="s">
        <v>116</v>
      </c>
      <c r="E28" s="1" t="s">
        <v>117</v>
      </c>
      <c r="F28" s="1">
        <v>340.0</v>
      </c>
      <c r="G28" s="5">
        <v>0.17916666666666667</v>
      </c>
      <c r="H28" s="1">
        <v>8.0</v>
      </c>
      <c r="I28" s="5">
        <v>0.2534722222222222</v>
      </c>
      <c r="J28" s="1" t="str">
        <f t="array" ref="J28">XLOOKUP(B28,cat!B:B,cat!C:C)</f>
        <v>D</v>
      </c>
      <c r="K28" s="1">
        <f t="array" ref="K28">XLOOKUP(B28,cat!B:B,cat!D:D)</f>
        <v>207</v>
      </c>
      <c r="L28" s="7">
        <f t="shared" si="1"/>
        <v>0.07430555556</v>
      </c>
      <c r="M28" s="1" t="str">
        <f t="shared" si="2"/>
        <v/>
      </c>
      <c r="P28" s="9"/>
      <c r="Q28" s="9">
        <f t="shared" si="3"/>
        <v>0</v>
      </c>
      <c r="R28" s="1" t="str">
        <f t="shared" si="4"/>
        <v>AFR</v>
      </c>
      <c r="S28" s="1" t="str">
        <f>IF($D28="LEBL", IF(COUNTIF('Paises ECAC'!B:B, C28)&gt;0, "ECAC","NO ECAC"), "")</f>
        <v/>
      </c>
    </row>
    <row r="29" ht="14.25" customHeight="1">
      <c r="A29" s="1" t="s">
        <v>118</v>
      </c>
      <c r="B29" s="1" t="s">
        <v>40</v>
      </c>
      <c r="C29" s="1" t="s">
        <v>21</v>
      </c>
      <c r="D29" s="1" t="s">
        <v>119</v>
      </c>
      <c r="E29" s="1" t="s">
        <v>120</v>
      </c>
      <c r="F29" s="1">
        <v>360.0</v>
      </c>
      <c r="G29" s="5">
        <v>0.18472222222222223</v>
      </c>
      <c r="H29" s="1">
        <v>20.0</v>
      </c>
      <c r="I29" s="5">
        <v>0.2673611111111111</v>
      </c>
      <c r="J29" s="1" t="str">
        <f t="array" ref="J29">XLOOKUP(B29,cat!B:B,cat!C:C)</f>
        <v>D</v>
      </c>
      <c r="K29" s="1">
        <f t="array" ref="K29">XLOOKUP(B29,cat!B:B,cat!D:D)</f>
        <v>186</v>
      </c>
      <c r="L29" s="7">
        <f t="shared" si="1"/>
        <v>0.08263888889</v>
      </c>
      <c r="M29" s="1" t="str">
        <f t="shared" si="2"/>
        <v/>
      </c>
      <c r="P29" s="9"/>
      <c r="Q29" s="9">
        <f t="shared" si="3"/>
        <v>0</v>
      </c>
      <c r="R29" s="1" t="str">
        <f t="shared" si="4"/>
        <v>RYR</v>
      </c>
      <c r="S29" s="1" t="str">
        <f>IF($D29="LEBL", IF(COUNTIF('Paises ECAC'!B:B, C29)&gt;0, "ECAC","NO ECAC"), "")</f>
        <v/>
      </c>
    </row>
    <row r="30" ht="14.25" customHeight="1">
      <c r="A30" s="1" t="s">
        <v>121</v>
      </c>
      <c r="B30" s="1" t="s">
        <v>122</v>
      </c>
      <c r="C30" s="1" t="s">
        <v>123</v>
      </c>
      <c r="D30" s="1" t="s">
        <v>21</v>
      </c>
      <c r="E30" s="1" t="s">
        <v>124</v>
      </c>
      <c r="F30" s="1">
        <v>400.0</v>
      </c>
      <c r="G30" s="5">
        <v>0.65625</v>
      </c>
      <c r="H30" s="1">
        <v>10.0</v>
      </c>
      <c r="I30" s="5">
        <v>0.18055555555555555</v>
      </c>
      <c r="J30" s="1" t="str">
        <f t="array" ref="J30">XLOOKUP(B30,cat!B:B,cat!C:C)</f>
        <v>B</v>
      </c>
      <c r="K30" s="1">
        <f t="array" ref="K30">XLOOKUP(B30,cat!B:B,cat!D:D)</f>
        <v>297</v>
      </c>
      <c r="L30" s="7">
        <f t="shared" si="1"/>
        <v>0.5243055556</v>
      </c>
      <c r="M30" s="7">
        <f t="shared" si="2"/>
        <v>0.5046527778</v>
      </c>
      <c r="P30" s="9"/>
      <c r="Q30" s="9">
        <f t="shared" si="3"/>
        <v>10900.5</v>
      </c>
      <c r="R30" s="1" t="str">
        <f t="shared" si="4"/>
        <v>SIA</v>
      </c>
      <c r="S30" s="1" t="str">
        <f>IF($D30="LEBL", IF(COUNTIF('Paises ECAC'!B:B, C30)&gt;0, "ECAC","NO ECAC"), "")</f>
        <v>NO ECAC</v>
      </c>
    </row>
    <row r="31" ht="14.25" customHeight="1">
      <c r="A31" s="1" t="s">
        <v>125</v>
      </c>
      <c r="B31" s="1" t="s">
        <v>30</v>
      </c>
      <c r="C31" s="1" t="s">
        <v>21</v>
      </c>
      <c r="D31" s="1" t="s">
        <v>126</v>
      </c>
      <c r="E31" s="1" t="s">
        <v>127</v>
      </c>
      <c r="F31" s="1">
        <v>370.0</v>
      </c>
      <c r="G31" s="5">
        <v>0.16875</v>
      </c>
      <c r="H31" s="1">
        <v>8.0</v>
      </c>
      <c r="I31" s="5">
        <v>0.3020833333333333</v>
      </c>
      <c r="J31" s="1" t="str">
        <f t="array" ref="J31">XLOOKUP(B31,cat!B:B,cat!C:C)</f>
        <v>D</v>
      </c>
      <c r="K31" s="1">
        <f t="array" ref="K31">XLOOKUP(B31,cat!B:B,cat!D:D)</f>
        <v>173</v>
      </c>
      <c r="L31" s="7">
        <f t="shared" si="1"/>
        <v>0.1333333333</v>
      </c>
      <c r="M31" s="1" t="str">
        <f t="shared" si="2"/>
        <v/>
      </c>
      <c r="P31" s="9"/>
      <c r="Q31" s="9">
        <f t="shared" si="3"/>
        <v>0</v>
      </c>
      <c r="R31" s="1" t="str">
        <f t="shared" si="4"/>
        <v>VLG</v>
      </c>
      <c r="S31" s="1" t="str">
        <f>IF($D31="LEBL", IF(COUNTIF('Paises ECAC'!B:B, C31)&gt;0, "ECAC","NO ECAC"), "")</f>
        <v/>
      </c>
    </row>
    <row r="32" ht="14.25" customHeight="1">
      <c r="A32" s="1" t="s">
        <v>128</v>
      </c>
      <c r="B32" s="1" t="s">
        <v>19</v>
      </c>
      <c r="C32" s="1" t="s">
        <v>21</v>
      </c>
      <c r="D32" s="1" t="s">
        <v>129</v>
      </c>
      <c r="E32" s="1" t="s">
        <v>130</v>
      </c>
      <c r="F32" s="1">
        <v>340.0</v>
      </c>
      <c r="G32" s="5">
        <v>0.18055555555555555</v>
      </c>
      <c r="H32" s="1">
        <v>20.0</v>
      </c>
      <c r="I32" s="5">
        <v>0.2361111111111111</v>
      </c>
      <c r="J32" s="1" t="str">
        <f t="array" ref="J32">XLOOKUP(B32,cat!B:B,cat!C:C)</f>
        <v>D</v>
      </c>
      <c r="K32" s="1">
        <f t="array" ref="K32">XLOOKUP(B32,cat!B:B,cat!D:D)</f>
        <v>184</v>
      </c>
      <c r="L32" s="7">
        <f t="shared" si="1"/>
        <v>0.05555555556</v>
      </c>
      <c r="M32" s="1" t="str">
        <f t="shared" si="2"/>
        <v/>
      </c>
      <c r="P32" s="9"/>
      <c r="Q32" s="9">
        <f t="shared" si="3"/>
        <v>0</v>
      </c>
      <c r="R32" s="1" t="str">
        <f t="shared" si="4"/>
        <v>RYR</v>
      </c>
      <c r="S32" s="1" t="str">
        <f>IF($D32="LEBL", IF(COUNTIF('Paises ECAC'!B:B, C32)&gt;0, "ECAC","NO ECAC"), "")</f>
        <v/>
      </c>
    </row>
    <row r="33" ht="14.25" customHeight="1">
      <c r="A33" s="1" t="s">
        <v>131</v>
      </c>
      <c r="B33" s="1" t="s">
        <v>132</v>
      </c>
      <c r="C33" s="1" t="s">
        <v>133</v>
      </c>
      <c r="D33" s="1" t="s">
        <v>21</v>
      </c>
      <c r="E33" s="1" t="s">
        <v>134</v>
      </c>
      <c r="F33" s="1">
        <v>390.0</v>
      </c>
      <c r="G33" s="5">
        <v>0.9069444444444444</v>
      </c>
      <c r="H33" s="1">
        <v>36.0</v>
      </c>
      <c r="I33" s="5">
        <v>0.1840277777777778</v>
      </c>
      <c r="J33" s="1" t="str">
        <f t="array" ref="J33">XLOOKUP(B33,cat!B:B,cat!C:C)</f>
        <v>B</v>
      </c>
      <c r="K33" s="1">
        <f t="array" ref="K33">XLOOKUP(B33,cat!B:B,cat!D:D)</f>
        <v>296</v>
      </c>
      <c r="L33" s="7">
        <f t="shared" si="1"/>
        <v>0.2770833333</v>
      </c>
      <c r="M33" s="7">
        <f t="shared" si="2"/>
        <v>0.239375</v>
      </c>
      <c r="P33" s="9"/>
      <c r="Q33" s="9">
        <f t="shared" si="3"/>
        <v>5170.5</v>
      </c>
      <c r="R33" s="1" t="str">
        <f t="shared" si="4"/>
        <v>AAL</v>
      </c>
      <c r="S33" s="1" t="str">
        <f>IF($D33="LEBL", IF(COUNTIF('Paises ECAC'!B:B, C33)&gt;0, "ECAC","NO ECAC"), "")</f>
        <v>NO ECAC</v>
      </c>
    </row>
    <row r="34" ht="14.25" customHeight="1">
      <c r="A34" s="1" t="s">
        <v>135</v>
      </c>
      <c r="B34" s="1" t="s">
        <v>136</v>
      </c>
      <c r="C34" s="1" t="s">
        <v>21</v>
      </c>
      <c r="D34" s="1" t="s">
        <v>137</v>
      </c>
      <c r="E34" s="1" t="s">
        <v>138</v>
      </c>
      <c r="F34" s="1">
        <v>320.0</v>
      </c>
      <c r="G34" s="5">
        <v>0.1840277777777778</v>
      </c>
      <c r="H34" s="1">
        <v>20.0</v>
      </c>
      <c r="I34" s="5">
        <v>0.2326388888888889</v>
      </c>
      <c r="J34" s="1" t="str">
        <f t="array" ref="J34">XLOOKUP(B34,cat!B:B,cat!C:C)</f>
        <v>D</v>
      </c>
      <c r="K34" s="1">
        <f t="array" ref="K34">XLOOKUP(B34,cat!B:B,cat!D:D)</f>
        <v>144</v>
      </c>
      <c r="L34" s="7">
        <f t="shared" si="1"/>
        <v>0.04861111111</v>
      </c>
      <c r="M34" s="1" t="str">
        <f t="shared" si="2"/>
        <v/>
      </c>
      <c r="P34" s="9"/>
      <c r="Q34" s="9">
        <f t="shared" si="3"/>
        <v>0</v>
      </c>
      <c r="R34" s="1" t="str">
        <f t="shared" si="4"/>
        <v>EJU</v>
      </c>
      <c r="S34" s="1" t="str">
        <f>IF($D34="LEBL", IF(COUNTIF('Paises ECAC'!B:B, C34)&gt;0, "ECAC","NO ECAC"), "")</f>
        <v/>
      </c>
    </row>
    <row r="35" ht="14.25" customHeight="1">
      <c r="A35" s="1" t="s">
        <v>139</v>
      </c>
      <c r="B35" s="1" t="s">
        <v>30</v>
      </c>
      <c r="C35" s="1" t="s">
        <v>21</v>
      </c>
      <c r="D35" s="1" t="s">
        <v>140</v>
      </c>
      <c r="E35" s="1" t="s">
        <v>141</v>
      </c>
      <c r="F35" s="1">
        <v>340.0</v>
      </c>
      <c r="G35" s="5">
        <v>0.18611111111111112</v>
      </c>
      <c r="H35" s="1">
        <v>8.0</v>
      </c>
      <c r="I35" s="5">
        <v>0.2361111111111111</v>
      </c>
      <c r="J35" s="1" t="str">
        <f t="array" ref="J35">XLOOKUP(B35,cat!B:B,cat!C:C)</f>
        <v>D</v>
      </c>
      <c r="K35" s="1">
        <f t="array" ref="K35">XLOOKUP(B35,cat!B:B,cat!D:D)</f>
        <v>173</v>
      </c>
      <c r="L35" s="7">
        <f t="shared" si="1"/>
        <v>0.05</v>
      </c>
      <c r="M35" s="1" t="str">
        <f t="shared" si="2"/>
        <v/>
      </c>
      <c r="P35" s="9"/>
      <c r="Q35" s="9">
        <f t="shared" si="3"/>
        <v>0</v>
      </c>
      <c r="R35" s="1" t="str">
        <f t="shared" si="4"/>
        <v>ITY</v>
      </c>
      <c r="S35" s="1" t="str">
        <f>IF($D35="LEBL", IF(COUNTIF('Paises ECAC'!B:B, C35)&gt;0, "ECAC","NO ECAC"), "")</f>
        <v/>
      </c>
    </row>
    <row r="36" ht="14.25" customHeight="1">
      <c r="A36" s="1" t="s">
        <v>142</v>
      </c>
      <c r="B36" s="1" t="s">
        <v>19</v>
      </c>
      <c r="C36" s="1" t="s">
        <v>21</v>
      </c>
      <c r="D36" s="1" t="s">
        <v>143</v>
      </c>
      <c r="E36" s="1" t="s">
        <v>144</v>
      </c>
      <c r="F36" s="1">
        <v>190.0</v>
      </c>
      <c r="G36" s="5">
        <v>0.18055555555555555</v>
      </c>
      <c r="H36" s="1">
        <v>20.0</v>
      </c>
      <c r="I36" s="5">
        <v>0.20833333333333334</v>
      </c>
      <c r="J36" s="1" t="str">
        <f t="array" ref="J36">XLOOKUP(B36,cat!B:B,cat!C:C)</f>
        <v>D</v>
      </c>
      <c r="K36" s="1">
        <f t="array" ref="K36">XLOOKUP(B36,cat!B:B,cat!D:D)</f>
        <v>184</v>
      </c>
      <c r="L36" s="7">
        <f t="shared" si="1"/>
        <v>0.02777777778</v>
      </c>
      <c r="M36" s="1" t="str">
        <f t="shared" si="2"/>
        <v/>
      </c>
      <c r="P36" s="9"/>
      <c r="Q36" s="9">
        <f t="shared" si="3"/>
        <v>0</v>
      </c>
      <c r="R36" s="1" t="str">
        <f t="shared" si="4"/>
        <v>RYR</v>
      </c>
      <c r="S36" s="1" t="str">
        <f>IF($D36="LEBL", IF(COUNTIF('Paises ECAC'!B:B, C36)&gt;0, "ECAC","NO ECAC"), "")</f>
        <v/>
      </c>
    </row>
    <row r="37" ht="14.25" customHeight="1">
      <c r="A37" s="1" t="s">
        <v>145</v>
      </c>
      <c r="B37" s="1" t="s">
        <v>19</v>
      </c>
      <c r="C37" s="1" t="s">
        <v>21</v>
      </c>
      <c r="D37" s="1" t="s">
        <v>140</v>
      </c>
      <c r="E37" s="1" t="s">
        <v>146</v>
      </c>
      <c r="F37" s="1">
        <v>340.0</v>
      </c>
      <c r="G37" s="5">
        <v>0.19444444444444445</v>
      </c>
      <c r="H37" s="1">
        <v>20.0</v>
      </c>
      <c r="I37" s="5">
        <v>0.24305555555555555</v>
      </c>
      <c r="J37" s="1" t="str">
        <f t="array" ref="J37">XLOOKUP(B37,cat!B:B,cat!C:C)</f>
        <v>D</v>
      </c>
      <c r="K37" s="1">
        <f t="array" ref="K37">XLOOKUP(B37,cat!B:B,cat!D:D)</f>
        <v>184</v>
      </c>
      <c r="L37" s="7">
        <f t="shared" si="1"/>
        <v>0.04861111111</v>
      </c>
      <c r="M37" s="1" t="str">
        <f t="shared" si="2"/>
        <v/>
      </c>
      <c r="P37" s="9"/>
      <c r="Q37" s="9">
        <f t="shared" si="3"/>
        <v>0</v>
      </c>
      <c r="R37" s="1" t="str">
        <f t="shared" si="4"/>
        <v>RYR</v>
      </c>
      <c r="S37" s="1" t="str">
        <f>IF($D37="LEBL", IF(COUNTIF('Paises ECAC'!B:B, C37)&gt;0, "ECAC","NO ECAC"), "")</f>
        <v/>
      </c>
    </row>
    <row r="38" ht="14.25" customHeight="1">
      <c r="A38" s="1" t="s">
        <v>147</v>
      </c>
      <c r="B38" s="1" t="s">
        <v>19</v>
      </c>
      <c r="C38" s="1" t="s">
        <v>21</v>
      </c>
      <c r="D38" s="1" t="s">
        <v>148</v>
      </c>
      <c r="E38" s="1" t="s">
        <v>149</v>
      </c>
      <c r="F38" s="1">
        <v>370.0</v>
      </c>
      <c r="G38" s="5">
        <v>0.18611111111111112</v>
      </c>
      <c r="H38" s="1">
        <v>21.0</v>
      </c>
      <c r="I38" s="5">
        <v>0.2986111111111111</v>
      </c>
      <c r="J38" s="1" t="str">
        <f t="array" ref="J38">XLOOKUP(B38,cat!B:B,cat!C:C)</f>
        <v>D</v>
      </c>
      <c r="K38" s="1">
        <f t="array" ref="K38">XLOOKUP(B38,cat!B:B,cat!D:D)</f>
        <v>184</v>
      </c>
      <c r="L38" s="7">
        <f t="shared" si="1"/>
        <v>0.1125</v>
      </c>
      <c r="M38" s="1" t="str">
        <f t="shared" si="2"/>
        <v/>
      </c>
      <c r="P38" s="9"/>
      <c r="Q38" s="9">
        <f t="shared" si="3"/>
        <v>0</v>
      </c>
      <c r="R38" s="1" t="str">
        <f t="shared" si="4"/>
        <v>RYR</v>
      </c>
      <c r="S38" s="1" t="str">
        <f>IF($D38="LEBL", IF(COUNTIF('Paises ECAC'!B:B, C38)&gt;0, "ECAC","NO ECAC"), "")</f>
        <v/>
      </c>
    </row>
    <row r="39" ht="14.25" customHeight="1">
      <c r="A39" s="1" t="s">
        <v>150</v>
      </c>
      <c r="B39" s="1" t="s">
        <v>25</v>
      </c>
      <c r="C39" s="1" t="s">
        <v>21</v>
      </c>
      <c r="D39" s="1" t="s">
        <v>74</v>
      </c>
      <c r="E39" s="1" t="s">
        <v>151</v>
      </c>
      <c r="F39" s="1">
        <v>340.0</v>
      </c>
      <c r="G39" s="5">
        <v>0.1875</v>
      </c>
      <c r="H39" s="1">
        <v>20.0</v>
      </c>
      <c r="I39" s="5">
        <v>0.24305555555555555</v>
      </c>
      <c r="J39" s="1" t="str">
        <f t="array" ref="J39">XLOOKUP(B39,cat!B:B,cat!C:C)</f>
        <v>D</v>
      </c>
      <c r="K39" s="1">
        <f t="array" ref="K39">XLOOKUP(B39,cat!B:B,cat!D:D)</f>
        <v>180</v>
      </c>
      <c r="L39" s="7">
        <f t="shared" si="1"/>
        <v>0.05555555556</v>
      </c>
      <c r="M39" s="1" t="str">
        <f t="shared" si="2"/>
        <v/>
      </c>
      <c r="P39" s="9"/>
      <c r="Q39" s="9">
        <f t="shared" si="3"/>
        <v>0</v>
      </c>
      <c r="R39" s="1" t="str">
        <f t="shared" si="4"/>
        <v>TVF</v>
      </c>
      <c r="S39" s="1" t="str">
        <f>IF($D39="LEBL", IF(COUNTIF('Paises ECAC'!B:B, C39)&gt;0, "ECAC","NO ECAC"), "")</f>
        <v/>
      </c>
    </row>
    <row r="40" ht="14.25" customHeight="1">
      <c r="A40" s="1" t="s">
        <v>152</v>
      </c>
      <c r="B40" s="1" t="s">
        <v>30</v>
      </c>
      <c r="C40" s="1" t="s">
        <v>21</v>
      </c>
      <c r="D40" s="1" t="s">
        <v>153</v>
      </c>
      <c r="E40" s="1" t="s">
        <v>154</v>
      </c>
      <c r="F40" s="1">
        <v>340.0</v>
      </c>
      <c r="G40" s="5">
        <v>0.1909722222222222</v>
      </c>
      <c r="H40" s="1">
        <v>8.0</v>
      </c>
      <c r="I40" s="5">
        <v>0.2465277777777778</v>
      </c>
      <c r="J40" s="1" t="str">
        <f t="array" ref="J40">XLOOKUP(B40,cat!B:B,cat!C:C)</f>
        <v>D</v>
      </c>
      <c r="K40" s="1">
        <f t="array" ref="K40">XLOOKUP(B40,cat!B:B,cat!D:D)</f>
        <v>173</v>
      </c>
      <c r="L40" s="7">
        <f t="shared" si="1"/>
        <v>0.05555555556</v>
      </c>
      <c r="M40" s="1" t="str">
        <f t="shared" si="2"/>
        <v/>
      </c>
      <c r="P40" s="9"/>
      <c r="Q40" s="9">
        <f t="shared" si="3"/>
        <v>0</v>
      </c>
      <c r="R40" s="1" t="str">
        <f t="shared" si="4"/>
        <v>VLG</v>
      </c>
      <c r="S40" s="1" t="str">
        <f>IF($D40="LEBL", IF(COUNTIF('Paises ECAC'!B:B, C40)&gt;0, "ECAC","NO ECAC"), "")</f>
        <v/>
      </c>
    </row>
    <row r="41" ht="14.25" customHeight="1">
      <c r="A41" s="1" t="s">
        <v>155</v>
      </c>
      <c r="B41" s="1" t="s">
        <v>30</v>
      </c>
      <c r="C41" s="1" t="s">
        <v>21</v>
      </c>
      <c r="D41" s="1" t="s">
        <v>156</v>
      </c>
      <c r="E41" s="1" t="s">
        <v>51</v>
      </c>
      <c r="F41" s="1">
        <v>190.0</v>
      </c>
      <c r="G41" s="5">
        <v>0.18888888888888888</v>
      </c>
      <c r="H41" s="1">
        <v>8.0</v>
      </c>
      <c r="I41" s="5">
        <v>0.2152777777777778</v>
      </c>
      <c r="J41" s="1" t="str">
        <f t="array" ref="J41">XLOOKUP(B41,cat!B:B,cat!C:C)</f>
        <v>D</v>
      </c>
      <c r="K41" s="1">
        <f t="array" ref="K41">XLOOKUP(B41,cat!B:B,cat!D:D)</f>
        <v>173</v>
      </c>
      <c r="L41" s="7">
        <f t="shared" si="1"/>
        <v>0.02638888889</v>
      </c>
      <c r="M41" s="1" t="str">
        <f t="shared" si="2"/>
        <v/>
      </c>
      <c r="P41" s="9"/>
      <c r="Q41" s="9">
        <f t="shared" si="3"/>
        <v>0</v>
      </c>
      <c r="R41" s="1" t="str">
        <f t="shared" si="4"/>
        <v>VLG</v>
      </c>
      <c r="S41" s="1" t="str">
        <f>IF($D41="LEBL", IF(COUNTIF('Paises ECAC'!B:B, C41)&gt;0, "ECAC","NO ECAC"), "")</f>
        <v/>
      </c>
    </row>
    <row r="42" ht="14.25" customHeight="1">
      <c r="A42" s="1" t="s">
        <v>157</v>
      </c>
      <c r="B42" s="1" t="s">
        <v>35</v>
      </c>
      <c r="C42" s="1" t="s">
        <v>21</v>
      </c>
      <c r="D42" s="1" t="s">
        <v>158</v>
      </c>
      <c r="E42" s="1" t="s">
        <v>159</v>
      </c>
      <c r="F42" s="1">
        <v>320.0</v>
      </c>
      <c r="G42" s="5">
        <v>0.19791666666666666</v>
      </c>
      <c r="H42" s="1">
        <v>8.0</v>
      </c>
      <c r="I42" s="5">
        <v>0.2534722222222222</v>
      </c>
      <c r="J42" s="1" t="str">
        <f t="array" ref="J42">XLOOKUP(B42,cat!B:B,cat!C:C)</f>
        <v>D</v>
      </c>
      <c r="K42" s="1">
        <f t="array" ref="K42">XLOOKUP(B42,cat!B:B,cat!D:D)</f>
        <v>207</v>
      </c>
      <c r="L42" s="7">
        <f t="shared" si="1"/>
        <v>0.05555555556</v>
      </c>
      <c r="M42" s="1" t="str">
        <f t="shared" si="2"/>
        <v/>
      </c>
      <c r="P42" s="9"/>
      <c r="Q42" s="9">
        <f t="shared" si="3"/>
        <v>0</v>
      </c>
      <c r="R42" s="1" t="str">
        <f t="shared" si="4"/>
        <v>SWR</v>
      </c>
      <c r="S42" s="1" t="str">
        <f>IF($D42="LEBL", IF(COUNTIF('Paises ECAC'!B:B, C42)&gt;0, "ECAC","NO ECAC"), "")</f>
        <v/>
      </c>
    </row>
    <row r="43" ht="14.25" customHeight="1">
      <c r="A43" s="1" t="s">
        <v>160</v>
      </c>
      <c r="B43" s="1" t="s">
        <v>35</v>
      </c>
      <c r="C43" s="1" t="s">
        <v>21</v>
      </c>
      <c r="D43" s="1" t="s">
        <v>26</v>
      </c>
      <c r="E43" s="1" t="s">
        <v>161</v>
      </c>
      <c r="F43" s="1">
        <v>350.0</v>
      </c>
      <c r="G43" s="5">
        <v>0.19930555555555557</v>
      </c>
      <c r="H43" s="1">
        <v>12.0</v>
      </c>
      <c r="I43" s="5">
        <v>0.3020833333333333</v>
      </c>
      <c r="J43" s="1" t="str">
        <f t="array" ref="J43">XLOOKUP(B43,cat!B:B,cat!C:C)</f>
        <v>D</v>
      </c>
      <c r="K43" s="1">
        <f t="array" ref="K43">XLOOKUP(B43,cat!B:B,cat!D:D)</f>
        <v>207</v>
      </c>
      <c r="L43" s="7">
        <f t="shared" si="1"/>
        <v>0.1027777778</v>
      </c>
      <c r="M43" s="1" t="str">
        <f t="shared" si="2"/>
        <v/>
      </c>
      <c r="P43" s="9"/>
      <c r="Q43" s="9">
        <f t="shared" si="3"/>
        <v>0</v>
      </c>
      <c r="R43" s="1" t="str">
        <f t="shared" si="4"/>
        <v>VLG</v>
      </c>
      <c r="S43" s="1" t="str">
        <f>IF($D43="LEBL", IF(COUNTIF('Paises ECAC'!B:B, C43)&gt;0, "ECAC","NO ECAC"), "")</f>
        <v/>
      </c>
    </row>
    <row r="44" ht="14.25" customHeight="1">
      <c r="A44" s="1" t="s">
        <v>162</v>
      </c>
      <c r="B44" s="1" t="s">
        <v>19</v>
      </c>
      <c r="C44" s="1" t="s">
        <v>21</v>
      </c>
      <c r="D44" s="1" t="s">
        <v>163</v>
      </c>
      <c r="E44" s="1" t="s">
        <v>164</v>
      </c>
      <c r="F44" s="1">
        <v>340.0</v>
      </c>
      <c r="G44" s="5">
        <v>0.2013888888888889</v>
      </c>
      <c r="H44" s="1">
        <v>20.0</v>
      </c>
      <c r="I44" s="5">
        <v>0.2638888888888889</v>
      </c>
      <c r="J44" s="1" t="str">
        <f t="array" ref="J44">XLOOKUP(B44,cat!B:B,cat!C:C)</f>
        <v>D</v>
      </c>
      <c r="K44" s="1">
        <f t="array" ref="K44">XLOOKUP(B44,cat!B:B,cat!D:D)</f>
        <v>184</v>
      </c>
      <c r="L44" s="7">
        <f t="shared" si="1"/>
        <v>0.0625</v>
      </c>
      <c r="M44" s="1" t="str">
        <f t="shared" si="2"/>
        <v/>
      </c>
      <c r="P44" s="9"/>
      <c r="Q44" s="9">
        <f t="shared" si="3"/>
        <v>0</v>
      </c>
      <c r="R44" s="1" t="str">
        <f t="shared" si="4"/>
        <v>RYR</v>
      </c>
      <c r="S44" s="1" t="str">
        <f>IF($D44="LEBL", IF(COUNTIF('Paises ECAC'!B:B, C44)&gt;0, "ECAC","NO ECAC"), "")</f>
        <v/>
      </c>
    </row>
    <row r="45" ht="14.25" customHeight="1">
      <c r="A45" s="1" t="s">
        <v>165</v>
      </c>
      <c r="B45" s="1" t="s">
        <v>19</v>
      </c>
      <c r="C45" s="1" t="s">
        <v>21</v>
      </c>
      <c r="D45" s="1" t="s">
        <v>166</v>
      </c>
      <c r="E45" s="1" t="s">
        <v>167</v>
      </c>
      <c r="F45" s="1">
        <v>370.0</v>
      </c>
      <c r="G45" s="5">
        <v>0.19791666666666666</v>
      </c>
      <c r="H45" s="1">
        <v>20.0</v>
      </c>
      <c r="I45" s="5">
        <v>0.3263888888888889</v>
      </c>
      <c r="J45" s="1" t="str">
        <f t="array" ref="J45">XLOOKUP(B45,cat!B:B,cat!C:C)</f>
        <v>D</v>
      </c>
      <c r="K45" s="1">
        <f t="array" ref="K45">XLOOKUP(B45,cat!B:B,cat!D:D)</f>
        <v>184</v>
      </c>
      <c r="L45" s="7">
        <f t="shared" si="1"/>
        <v>0.1284722222</v>
      </c>
      <c r="M45" s="1" t="str">
        <f t="shared" si="2"/>
        <v/>
      </c>
      <c r="P45" s="9"/>
      <c r="Q45" s="9">
        <f t="shared" si="3"/>
        <v>0</v>
      </c>
      <c r="R45" s="1" t="str">
        <f t="shared" si="4"/>
        <v>RYR</v>
      </c>
      <c r="S45" s="1" t="str">
        <f>IF($D45="LEBL", IF(COUNTIF('Paises ECAC'!B:B, C45)&gt;0, "ECAC","NO ECAC"), "")</f>
        <v/>
      </c>
    </row>
    <row r="46" ht="14.25" customHeight="1">
      <c r="A46" s="1" t="s">
        <v>168</v>
      </c>
      <c r="B46" s="1" t="s">
        <v>19</v>
      </c>
      <c r="C46" s="1" t="s">
        <v>21</v>
      </c>
      <c r="D46" s="1" t="s">
        <v>169</v>
      </c>
      <c r="E46" s="1" t="s">
        <v>170</v>
      </c>
      <c r="F46" s="1">
        <v>360.0</v>
      </c>
      <c r="G46" s="5">
        <v>0.20416666666666666</v>
      </c>
      <c r="H46" s="1">
        <v>16.0</v>
      </c>
      <c r="I46" s="5">
        <v>0.2743055555555556</v>
      </c>
      <c r="J46" s="1" t="str">
        <f t="array" ref="J46">XLOOKUP(B46,cat!B:B,cat!C:C)</f>
        <v>D</v>
      </c>
      <c r="K46" s="1">
        <f t="array" ref="K46">XLOOKUP(B46,cat!B:B,cat!D:D)</f>
        <v>184</v>
      </c>
      <c r="L46" s="7">
        <f t="shared" si="1"/>
        <v>0.07013888889</v>
      </c>
      <c r="M46" s="1" t="str">
        <f t="shared" si="2"/>
        <v/>
      </c>
      <c r="P46" s="9"/>
      <c r="Q46" s="9">
        <f t="shared" si="3"/>
        <v>0</v>
      </c>
      <c r="R46" s="1" t="str">
        <f t="shared" si="4"/>
        <v>KLM</v>
      </c>
      <c r="S46" s="1" t="str">
        <f>IF($D46="LEBL", IF(COUNTIF('Paises ECAC'!B:B, C46)&gt;0, "ECAC","NO ECAC"), "")</f>
        <v/>
      </c>
    </row>
    <row r="47" ht="14.25" customHeight="1">
      <c r="A47" s="1" t="s">
        <v>171</v>
      </c>
      <c r="B47" s="1" t="s">
        <v>35</v>
      </c>
      <c r="C47" s="1" t="s">
        <v>21</v>
      </c>
      <c r="D47" s="1" t="s">
        <v>156</v>
      </c>
      <c r="E47" s="1" t="s">
        <v>172</v>
      </c>
      <c r="F47" s="1">
        <v>170.0</v>
      </c>
      <c r="G47" s="5">
        <v>0.20347222222222222</v>
      </c>
      <c r="H47" s="1">
        <v>11.0</v>
      </c>
      <c r="I47" s="5">
        <v>0.21875</v>
      </c>
      <c r="J47" s="1" t="str">
        <f t="array" ref="J47">XLOOKUP(B47,cat!B:B,cat!C:C)</f>
        <v>D</v>
      </c>
      <c r="K47" s="1">
        <f t="array" ref="K47">XLOOKUP(B47,cat!B:B,cat!D:D)</f>
        <v>207</v>
      </c>
      <c r="L47" s="7">
        <f t="shared" si="1"/>
        <v>0.01527777778</v>
      </c>
      <c r="M47" s="1" t="str">
        <f t="shared" si="2"/>
        <v/>
      </c>
      <c r="P47" s="9"/>
      <c r="Q47" s="9">
        <f t="shared" si="3"/>
        <v>0</v>
      </c>
      <c r="R47" s="1" t="str">
        <f t="shared" si="4"/>
        <v>VLG</v>
      </c>
      <c r="S47" s="1" t="str">
        <f>IF($D47="LEBL", IF(COUNTIF('Paises ECAC'!B:B, C47)&gt;0, "ECAC","NO ECAC"), "")</f>
        <v/>
      </c>
    </row>
    <row r="48" ht="14.25" customHeight="1">
      <c r="A48" s="1" t="s">
        <v>173</v>
      </c>
      <c r="B48" s="1" t="s">
        <v>174</v>
      </c>
      <c r="C48" s="1" t="s">
        <v>175</v>
      </c>
      <c r="D48" s="1" t="s">
        <v>21</v>
      </c>
      <c r="E48" s="1" t="s">
        <v>176</v>
      </c>
      <c r="F48" s="1">
        <v>380.0</v>
      </c>
      <c r="G48" s="5">
        <v>0.9340277777777778</v>
      </c>
      <c r="H48" s="1">
        <v>10.0</v>
      </c>
      <c r="I48" s="5">
        <v>0.2013888888888889</v>
      </c>
      <c r="J48" s="1" t="str">
        <f t="array" ref="J48">XLOOKUP(B48,cat!B:B,cat!C:C)</f>
        <v>B</v>
      </c>
      <c r="K48" s="1">
        <f t="array" ref="K48">XLOOKUP(B48,cat!B:B,cat!D:D)</f>
        <v>327</v>
      </c>
      <c r="L48" s="7">
        <f t="shared" si="1"/>
        <v>0.2673611111</v>
      </c>
      <c r="M48" s="7">
        <f t="shared" si="2"/>
        <v>0.2477083333</v>
      </c>
      <c r="P48" s="9"/>
      <c r="Q48" s="9">
        <f t="shared" si="3"/>
        <v>5350.5</v>
      </c>
      <c r="R48" s="1" t="str">
        <f t="shared" si="4"/>
        <v>ETD</v>
      </c>
      <c r="S48" s="1" t="str">
        <f>IF($D48="LEBL", IF(COUNTIF('Paises ECAC'!B:B, C48)&gt;0, "ECAC","NO ECAC"), "")</f>
        <v>NO ECAC</v>
      </c>
    </row>
    <row r="49" ht="14.25" customHeight="1">
      <c r="A49" s="1" t="s">
        <v>177</v>
      </c>
      <c r="B49" s="1" t="s">
        <v>35</v>
      </c>
      <c r="C49" s="1" t="s">
        <v>21</v>
      </c>
      <c r="D49" s="1" t="s">
        <v>178</v>
      </c>
      <c r="E49" s="1" t="s">
        <v>37</v>
      </c>
      <c r="F49" s="1">
        <v>340.0</v>
      </c>
      <c r="G49" s="5">
        <v>0.20416666666666666</v>
      </c>
      <c r="H49" s="1">
        <v>13.0</v>
      </c>
      <c r="I49" s="5">
        <v>0.2777777777777778</v>
      </c>
      <c r="J49" s="1" t="str">
        <f t="array" ref="J49">XLOOKUP(B49,cat!B:B,cat!C:C)</f>
        <v>D</v>
      </c>
      <c r="K49" s="1">
        <f t="array" ref="K49">XLOOKUP(B49,cat!B:B,cat!D:D)</f>
        <v>207</v>
      </c>
      <c r="L49" s="7">
        <f t="shared" si="1"/>
        <v>0.07361111111</v>
      </c>
      <c r="M49" s="1" t="str">
        <f t="shared" si="2"/>
        <v/>
      </c>
      <c r="P49" s="9"/>
      <c r="Q49" s="9">
        <f t="shared" si="3"/>
        <v>0</v>
      </c>
      <c r="R49" s="1" t="str">
        <f t="shared" si="4"/>
        <v>VLG</v>
      </c>
      <c r="S49" s="1" t="str">
        <f>IF($D49="LEBL", IF(COUNTIF('Paises ECAC'!B:B, C49)&gt;0, "ECAC","NO ECAC"), "")</f>
        <v/>
      </c>
    </row>
    <row r="50" ht="14.25" customHeight="1">
      <c r="A50" s="1" t="s">
        <v>179</v>
      </c>
      <c r="B50" s="1" t="s">
        <v>30</v>
      </c>
      <c r="C50" s="1" t="s">
        <v>21</v>
      </c>
      <c r="D50" s="1" t="s">
        <v>140</v>
      </c>
      <c r="E50" s="1" t="s">
        <v>180</v>
      </c>
      <c r="F50" s="1">
        <v>340.0</v>
      </c>
      <c r="G50" s="5">
        <v>0.19791666666666666</v>
      </c>
      <c r="H50" s="1">
        <v>10.0</v>
      </c>
      <c r="I50" s="5">
        <v>0.2604166666666667</v>
      </c>
      <c r="J50" s="1" t="str">
        <f t="array" ref="J50">XLOOKUP(B50,cat!B:B,cat!C:C)</f>
        <v>D</v>
      </c>
      <c r="K50" s="1">
        <f t="array" ref="K50">XLOOKUP(B50,cat!B:B,cat!D:D)</f>
        <v>173</v>
      </c>
      <c r="L50" s="7">
        <f t="shared" si="1"/>
        <v>0.0625</v>
      </c>
      <c r="M50" s="1" t="str">
        <f t="shared" si="2"/>
        <v/>
      </c>
      <c r="P50" s="9"/>
      <c r="Q50" s="9">
        <f t="shared" si="3"/>
        <v>0</v>
      </c>
      <c r="R50" s="1" t="str">
        <f t="shared" si="4"/>
        <v>VLG</v>
      </c>
      <c r="S50" s="1" t="str">
        <f>IF($D50="LEBL", IF(COUNTIF('Paises ECAC'!B:B, C50)&gt;0, "ECAC","NO ECAC"), "")</f>
        <v/>
      </c>
    </row>
    <row r="51" ht="14.25" customHeight="1">
      <c r="A51" s="1" t="s">
        <v>181</v>
      </c>
      <c r="B51" s="1" t="s">
        <v>182</v>
      </c>
      <c r="C51" s="1" t="s">
        <v>183</v>
      </c>
      <c r="D51" s="1" t="s">
        <v>21</v>
      </c>
      <c r="E51" s="1" t="s">
        <v>184</v>
      </c>
      <c r="F51" s="1">
        <v>380.0</v>
      </c>
      <c r="G51" s="5">
        <v>0.9548611111111112</v>
      </c>
      <c r="H51" s="1">
        <v>10.0</v>
      </c>
      <c r="I51" s="5">
        <v>0.2048611111111111</v>
      </c>
      <c r="J51" s="1" t="str">
        <f t="array" ref="J51">XLOOKUP(B51,cat!B:B,cat!C:C)</f>
        <v>B</v>
      </c>
      <c r="K51" s="1">
        <f t="array" ref="K51">XLOOKUP(B51,cat!B:B,cat!D:D)</f>
        <v>284</v>
      </c>
      <c r="L51" s="7">
        <f t="shared" si="1"/>
        <v>0.25</v>
      </c>
      <c r="M51" s="7">
        <f t="shared" si="2"/>
        <v>0.2303472222</v>
      </c>
      <c r="P51" s="9"/>
      <c r="Q51" s="9">
        <f t="shared" si="3"/>
        <v>4975.5</v>
      </c>
      <c r="R51" s="1" t="str">
        <f t="shared" si="4"/>
        <v>QTR</v>
      </c>
      <c r="S51" s="1" t="str">
        <f>IF($D51="LEBL", IF(COUNTIF('Paises ECAC'!B:B, C51)&gt;0, "ECAC","NO ECAC"), "")</f>
        <v>NO ECAC</v>
      </c>
    </row>
    <row r="52" ht="14.25" customHeight="1">
      <c r="A52" s="1" t="s">
        <v>185</v>
      </c>
      <c r="B52" s="1" t="s">
        <v>30</v>
      </c>
      <c r="C52" s="1" t="s">
        <v>21</v>
      </c>
      <c r="D52" s="1" t="s">
        <v>116</v>
      </c>
      <c r="E52" s="1" t="s">
        <v>186</v>
      </c>
      <c r="F52" s="1">
        <v>340.0</v>
      </c>
      <c r="G52" s="5">
        <v>0.20833333333333334</v>
      </c>
      <c r="H52" s="1">
        <v>12.0</v>
      </c>
      <c r="I52" s="5">
        <v>0.2638888888888889</v>
      </c>
      <c r="J52" s="1" t="str">
        <f t="array" ref="J52">XLOOKUP(B52,cat!B:B,cat!C:C)</f>
        <v>D</v>
      </c>
      <c r="K52" s="1">
        <f t="array" ref="K52">XLOOKUP(B52,cat!B:B,cat!D:D)</f>
        <v>173</v>
      </c>
      <c r="L52" s="7">
        <f t="shared" si="1"/>
        <v>0.05555555556</v>
      </c>
      <c r="M52" s="1" t="str">
        <f t="shared" si="2"/>
        <v/>
      </c>
      <c r="P52" s="9"/>
      <c r="Q52" s="9">
        <f t="shared" si="3"/>
        <v>0</v>
      </c>
      <c r="R52" s="1" t="str">
        <f t="shared" si="4"/>
        <v>VLG</v>
      </c>
      <c r="S52" s="1" t="str">
        <f>IF($D52="LEBL", IF(COUNTIF('Paises ECAC'!B:B, C52)&gt;0, "ECAC","NO ECAC"), "")</f>
        <v/>
      </c>
    </row>
    <row r="53" ht="14.25" customHeight="1">
      <c r="A53" s="1" t="s">
        <v>187</v>
      </c>
      <c r="B53" s="1" t="s">
        <v>35</v>
      </c>
      <c r="C53" s="1" t="s">
        <v>21</v>
      </c>
      <c r="D53" s="1" t="s">
        <v>143</v>
      </c>
      <c r="E53" s="1" t="s">
        <v>188</v>
      </c>
      <c r="F53" s="1">
        <v>190.0</v>
      </c>
      <c r="G53" s="5">
        <v>0.2048611111111111</v>
      </c>
      <c r="H53" s="1">
        <v>10.0</v>
      </c>
      <c r="I53" s="5">
        <v>0.2326388888888889</v>
      </c>
      <c r="J53" s="1" t="str">
        <f t="array" ref="J53">XLOOKUP(B53,cat!B:B,cat!C:C)</f>
        <v>D</v>
      </c>
      <c r="K53" s="1">
        <f t="array" ref="K53">XLOOKUP(B53,cat!B:B,cat!D:D)</f>
        <v>207</v>
      </c>
      <c r="L53" s="7">
        <f t="shared" si="1"/>
        <v>0.02777777778</v>
      </c>
      <c r="M53" s="1" t="str">
        <f t="shared" si="2"/>
        <v/>
      </c>
      <c r="P53" s="9"/>
      <c r="Q53" s="9">
        <f t="shared" si="3"/>
        <v>0</v>
      </c>
      <c r="R53" s="1" t="str">
        <f t="shared" si="4"/>
        <v>VLG</v>
      </c>
      <c r="S53" s="1" t="str">
        <f>IF($D53="LEBL", IF(COUNTIF('Paises ECAC'!B:B, C53)&gt;0, "ECAC","NO ECAC"), "")</f>
        <v/>
      </c>
    </row>
    <row r="54" ht="14.25" customHeight="1">
      <c r="A54" s="1" t="s">
        <v>189</v>
      </c>
      <c r="B54" s="1" t="s">
        <v>35</v>
      </c>
      <c r="C54" s="1" t="s">
        <v>21</v>
      </c>
      <c r="D54" s="1" t="s">
        <v>100</v>
      </c>
      <c r="E54" s="1" t="s">
        <v>190</v>
      </c>
      <c r="F54" s="1">
        <v>340.0</v>
      </c>
      <c r="G54" s="5">
        <v>0.20833333333333334</v>
      </c>
      <c r="H54" s="1">
        <v>10.0</v>
      </c>
      <c r="I54" s="5">
        <v>0.2743055555555556</v>
      </c>
      <c r="J54" s="1" t="str">
        <f t="array" ref="J54">XLOOKUP(B54,cat!B:B,cat!C:C)</f>
        <v>D</v>
      </c>
      <c r="K54" s="1">
        <f t="array" ref="K54">XLOOKUP(B54,cat!B:B,cat!D:D)</f>
        <v>207</v>
      </c>
      <c r="L54" s="7">
        <f t="shared" si="1"/>
        <v>0.06597222222</v>
      </c>
      <c r="M54" s="1" t="str">
        <f t="shared" si="2"/>
        <v/>
      </c>
      <c r="P54" s="9"/>
      <c r="Q54" s="9">
        <f t="shared" si="3"/>
        <v>0</v>
      </c>
      <c r="R54" s="1" t="str">
        <f t="shared" si="4"/>
        <v>VLG</v>
      </c>
      <c r="S54" s="1" t="str">
        <f>IF($D54="LEBL", IF(COUNTIF('Paises ECAC'!B:B, C54)&gt;0, "ECAC","NO ECAC"), "")</f>
        <v/>
      </c>
    </row>
    <row r="55" ht="14.25" customHeight="1">
      <c r="A55" s="1" t="s">
        <v>191</v>
      </c>
      <c r="B55" s="1" t="s">
        <v>35</v>
      </c>
      <c r="C55" s="1" t="s">
        <v>21</v>
      </c>
      <c r="D55" s="1" t="s">
        <v>192</v>
      </c>
      <c r="E55" s="1" t="s">
        <v>193</v>
      </c>
      <c r="F55" s="1">
        <v>350.0</v>
      </c>
      <c r="G55" s="5">
        <v>0.20694444444444443</v>
      </c>
      <c r="H55" s="1">
        <v>10.0</v>
      </c>
      <c r="I55" s="5">
        <v>0.2638888888888889</v>
      </c>
      <c r="J55" s="1" t="str">
        <f t="array" ref="J55">XLOOKUP(B55,cat!B:B,cat!C:C)</f>
        <v>D</v>
      </c>
      <c r="K55" s="1">
        <f t="array" ref="K55">XLOOKUP(B55,cat!B:B,cat!D:D)</f>
        <v>207</v>
      </c>
      <c r="L55" s="7">
        <f t="shared" si="1"/>
        <v>0.05694444444</v>
      </c>
      <c r="M55" s="1" t="str">
        <f t="shared" si="2"/>
        <v/>
      </c>
      <c r="P55" s="9"/>
      <c r="Q55" s="9">
        <f t="shared" si="3"/>
        <v>0</v>
      </c>
      <c r="R55" s="1" t="str">
        <f t="shared" si="4"/>
        <v>VLG</v>
      </c>
      <c r="S55" s="1" t="str">
        <f>IF($D55="LEBL", IF(COUNTIF('Paises ECAC'!B:B, C55)&gt;0, "ECAC","NO ECAC"), "")</f>
        <v/>
      </c>
    </row>
    <row r="56" ht="14.25" customHeight="1">
      <c r="A56" s="1" t="s">
        <v>194</v>
      </c>
      <c r="B56" s="1" t="s">
        <v>195</v>
      </c>
      <c r="C56" s="1" t="s">
        <v>196</v>
      </c>
      <c r="D56" s="1" t="s">
        <v>21</v>
      </c>
      <c r="E56" s="1" t="s">
        <v>197</v>
      </c>
      <c r="F56" s="1">
        <v>410.0</v>
      </c>
      <c r="G56" s="5">
        <v>0.9298611111111111</v>
      </c>
      <c r="H56" s="1">
        <v>19.0</v>
      </c>
      <c r="I56" s="5">
        <v>0.21180555555555555</v>
      </c>
      <c r="J56" s="1" t="str">
        <f t="array" ref="J56">XLOOKUP(B56,cat!B:B,cat!C:C)</f>
        <v>B</v>
      </c>
      <c r="K56" s="1">
        <f t="array" ref="K56">XLOOKUP(B56,cat!B:B,cat!D:D)</f>
        <v>281</v>
      </c>
      <c r="L56" s="7">
        <f t="shared" si="1"/>
        <v>0.2819444444</v>
      </c>
      <c r="M56" s="7">
        <f t="shared" si="2"/>
        <v>0.2560416667</v>
      </c>
      <c r="P56" s="9"/>
      <c r="Q56" s="9">
        <f t="shared" si="3"/>
        <v>5530.5</v>
      </c>
      <c r="R56" s="1" t="str">
        <f t="shared" si="4"/>
        <v>DAL</v>
      </c>
      <c r="S56" s="1" t="str">
        <f>IF($D56="LEBL", IF(COUNTIF('Paises ECAC'!B:B, C56)&gt;0, "ECAC","NO ECAC"), "")</f>
        <v>NO ECAC</v>
      </c>
    </row>
    <row r="57" ht="14.25" customHeight="1">
      <c r="A57" s="1" t="s">
        <v>198</v>
      </c>
      <c r="B57" s="1" t="s">
        <v>35</v>
      </c>
      <c r="C57" s="1" t="s">
        <v>21</v>
      </c>
      <c r="D57" s="1" t="s">
        <v>199</v>
      </c>
      <c r="E57" s="1" t="s">
        <v>200</v>
      </c>
      <c r="F57" s="1">
        <v>360.0</v>
      </c>
      <c r="G57" s="5">
        <v>0.20902777777777778</v>
      </c>
      <c r="H57" s="1">
        <v>11.0</v>
      </c>
      <c r="I57" s="5">
        <v>0.28125</v>
      </c>
      <c r="J57" s="1" t="str">
        <f t="array" ref="J57">XLOOKUP(B57,cat!B:B,cat!C:C)</f>
        <v>D</v>
      </c>
      <c r="K57" s="1">
        <f t="array" ref="K57">XLOOKUP(B57,cat!B:B,cat!D:D)</f>
        <v>207</v>
      </c>
      <c r="L57" s="7">
        <f t="shared" si="1"/>
        <v>0.07222222222</v>
      </c>
      <c r="M57" s="1" t="str">
        <f t="shared" si="2"/>
        <v/>
      </c>
      <c r="P57" s="9"/>
      <c r="Q57" s="9">
        <f t="shared" si="3"/>
        <v>0</v>
      </c>
      <c r="R57" s="1" t="str">
        <f t="shared" si="4"/>
        <v>VLG</v>
      </c>
      <c r="S57" s="1" t="str">
        <f>IF($D57="LEBL", IF(COUNTIF('Paises ECAC'!B:B, C57)&gt;0, "ECAC","NO ECAC"), "")</f>
        <v/>
      </c>
    </row>
    <row r="58" ht="14.25" customHeight="1">
      <c r="A58" s="1" t="s">
        <v>201</v>
      </c>
      <c r="B58" s="1" t="s">
        <v>30</v>
      </c>
      <c r="C58" s="1" t="s">
        <v>21</v>
      </c>
      <c r="D58" s="1" t="s">
        <v>20</v>
      </c>
      <c r="E58" s="1" t="s">
        <v>202</v>
      </c>
      <c r="F58" s="1">
        <v>330.0</v>
      </c>
      <c r="G58" s="5">
        <v>0.2125</v>
      </c>
      <c r="H58" s="1">
        <v>10.0</v>
      </c>
      <c r="I58" s="5">
        <v>0.2708333333333333</v>
      </c>
      <c r="J58" s="1" t="str">
        <f t="array" ref="J58">XLOOKUP(B58,cat!B:B,cat!C:C)</f>
        <v>D</v>
      </c>
      <c r="K58" s="1">
        <f t="array" ref="K58">XLOOKUP(B58,cat!B:B,cat!D:D)</f>
        <v>173</v>
      </c>
      <c r="L58" s="7">
        <f t="shared" si="1"/>
        <v>0.05833333333</v>
      </c>
      <c r="M58" s="1" t="str">
        <f t="shared" si="2"/>
        <v/>
      </c>
      <c r="P58" s="9"/>
      <c r="Q58" s="9">
        <f t="shared" si="3"/>
        <v>0</v>
      </c>
      <c r="R58" s="1" t="str">
        <f t="shared" si="4"/>
        <v>VLG</v>
      </c>
      <c r="S58" s="1" t="str">
        <f>IF($D58="LEBL", IF(COUNTIF('Paises ECAC'!B:B, C58)&gt;0, "ECAC","NO ECAC"), "")</f>
        <v/>
      </c>
    </row>
    <row r="59" ht="14.25" customHeight="1">
      <c r="A59" s="1" t="s">
        <v>203</v>
      </c>
      <c r="B59" s="1" t="s">
        <v>30</v>
      </c>
      <c r="C59" s="1" t="s">
        <v>21</v>
      </c>
      <c r="D59" s="1" t="s">
        <v>158</v>
      </c>
      <c r="E59" s="1" t="s">
        <v>32</v>
      </c>
      <c r="F59" s="1">
        <v>340.0</v>
      </c>
      <c r="G59" s="5">
        <v>0.2152777777777778</v>
      </c>
      <c r="H59" s="1">
        <v>10.0</v>
      </c>
      <c r="I59" s="5">
        <v>0.2777777777777778</v>
      </c>
      <c r="J59" s="1" t="str">
        <f t="array" ref="J59">XLOOKUP(B59,cat!B:B,cat!C:C)</f>
        <v>D</v>
      </c>
      <c r="K59" s="1">
        <f t="array" ref="K59">XLOOKUP(B59,cat!B:B,cat!D:D)</f>
        <v>173</v>
      </c>
      <c r="L59" s="7">
        <f t="shared" si="1"/>
        <v>0.0625</v>
      </c>
      <c r="M59" s="1" t="str">
        <f t="shared" si="2"/>
        <v/>
      </c>
      <c r="P59" s="9"/>
      <c r="Q59" s="9">
        <f t="shared" si="3"/>
        <v>0</v>
      </c>
      <c r="R59" s="1" t="str">
        <f t="shared" si="4"/>
        <v>VLG</v>
      </c>
      <c r="S59" s="1" t="str">
        <f>IF($D59="LEBL", IF(COUNTIF('Paises ECAC'!B:B, C59)&gt;0, "ECAC","NO ECAC"), "")</f>
        <v/>
      </c>
    </row>
    <row r="60" ht="14.25" customHeight="1">
      <c r="A60" s="1" t="s">
        <v>204</v>
      </c>
      <c r="B60" s="1" t="s">
        <v>30</v>
      </c>
      <c r="C60" s="1" t="s">
        <v>21</v>
      </c>
      <c r="D60" s="1" t="s">
        <v>205</v>
      </c>
      <c r="E60" s="1" t="s">
        <v>206</v>
      </c>
      <c r="F60" s="1">
        <v>290.0</v>
      </c>
      <c r="G60" s="5">
        <v>0.2152777777777778</v>
      </c>
      <c r="H60" s="1">
        <v>12.0</v>
      </c>
      <c r="I60" s="5">
        <v>0.25</v>
      </c>
      <c r="J60" s="1" t="str">
        <f t="array" ref="J60">XLOOKUP(B60,cat!B:B,cat!C:C)</f>
        <v>D</v>
      </c>
      <c r="K60" s="1">
        <f t="array" ref="K60">XLOOKUP(B60,cat!B:B,cat!D:D)</f>
        <v>173</v>
      </c>
      <c r="L60" s="7">
        <f t="shared" si="1"/>
        <v>0.03472222222</v>
      </c>
      <c r="M60" s="1" t="str">
        <f t="shared" si="2"/>
        <v/>
      </c>
      <c r="P60" s="9"/>
      <c r="Q60" s="9">
        <f t="shared" si="3"/>
        <v>0</v>
      </c>
      <c r="R60" s="1" t="str">
        <f t="shared" si="4"/>
        <v>VLG</v>
      </c>
      <c r="S60" s="1" t="str">
        <f>IF($D60="LEBL", IF(COUNTIF('Paises ECAC'!B:B, C60)&gt;0, "ECAC","NO ECAC"), "")</f>
        <v/>
      </c>
    </row>
    <row r="61" ht="14.25" customHeight="1">
      <c r="A61" s="1" t="s">
        <v>207</v>
      </c>
      <c r="B61" s="1" t="s">
        <v>19</v>
      </c>
      <c r="C61" s="1" t="s">
        <v>192</v>
      </c>
      <c r="D61" s="1" t="s">
        <v>21</v>
      </c>
      <c r="E61" s="1" t="s">
        <v>208</v>
      </c>
      <c r="F61" s="1">
        <v>380.0</v>
      </c>
      <c r="G61" s="5">
        <v>0.16597222222222222</v>
      </c>
      <c r="H61" s="1">
        <v>12.0</v>
      </c>
      <c r="I61" s="5">
        <v>0.2152777777777778</v>
      </c>
      <c r="J61" s="1" t="str">
        <f t="array" ref="J61">XLOOKUP(B61,cat!B:B,cat!C:C)</f>
        <v>D</v>
      </c>
      <c r="K61" s="1">
        <f t="array" ref="K61">XLOOKUP(B61,cat!B:B,cat!D:D)</f>
        <v>184</v>
      </c>
      <c r="L61" s="7">
        <f t="shared" si="1"/>
        <v>0.04930555556</v>
      </c>
      <c r="M61" s="7">
        <f t="shared" si="2"/>
        <v>0.02826388889</v>
      </c>
      <c r="P61" s="9"/>
      <c r="Q61" s="9">
        <f t="shared" si="3"/>
        <v>563.0166667</v>
      </c>
      <c r="R61" s="1" t="str">
        <f t="shared" si="4"/>
        <v>RYR</v>
      </c>
      <c r="S61" s="1" t="str">
        <f>IF($D61="LEBL", IF(COUNTIF('Paises ECAC'!B:B, C61)&gt;0, "ECAC","NO ECAC"), "")</f>
        <v>ECAC</v>
      </c>
    </row>
    <row r="62" ht="14.25" customHeight="1">
      <c r="A62" s="1" t="s">
        <v>209</v>
      </c>
      <c r="B62" s="1" t="s">
        <v>25</v>
      </c>
      <c r="C62" s="1" t="s">
        <v>21</v>
      </c>
      <c r="D62" s="1" t="s">
        <v>210</v>
      </c>
      <c r="E62" s="1" t="s">
        <v>64</v>
      </c>
      <c r="F62" s="1">
        <v>300.0</v>
      </c>
      <c r="G62" s="5">
        <v>0.21458333333333332</v>
      </c>
      <c r="H62" s="1">
        <v>9.0</v>
      </c>
      <c r="I62" s="5">
        <v>0.2534722222222222</v>
      </c>
      <c r="J62" s="1" t="str">
        <f t="array" ref="J62">XLOOKUP(B62,cat!B:B,cat!C:C)</f>
        <v>D</v>
      </c>
      <c r="K62" s="1">
        <f t="array" ref="K62">XLOOKUP(B62,cat!B:B,cat!D:D)</f>
        <v>180</v>
      </c>
      <c r="L62" s="7">
        <f t="shared" si="1"/>
        <v>0.03888888889</v>
      </c>
      <c r="M62" s="1" t="str">
        <f t="shared" si="2"/>
        <v/>
      </c>
      <c r="P62" s="9"/>
      <c r="Q62" s="9">
        <f t="shared" si="3"/>
        <v>0</v>
      </c>
      <c r="R62" s="1" t="str">
        <f t="shared" si="4"/>
        <v>VLG</v>
      </c>
      <c r="S62" s="1" t="str">
        <f>IF($D62="LEBL", IF(COUNTIF('Paises ECAC'!B:B, C62)&gt;0, "ECAC","NO ECAC"), "")</f>
        <v/>
      </c>
    </row>
    <row r="63" ht="14.25" customHeight="1">
      <c r="A63" s="1" t="s">
        <v>211</v>
      </c>
      <c r="B63" s="1" t="s">
        <v>212</v>
      </c>
      <c r="C63" s="1" t="s">
        <v>21</v>
      </c>
      <c r="D63" s="1" t="s">
        <v>126</v>
      </c>
      <c r="E63" s="1" t="s">
        <v>213</v>
      </c>
      <c r="F63" s="1">
        <v>350.0</v>
      </c>
      <c r="G63" s="5">
        <v>0.2048611111111111</v>
      </c>
      <c r="H63" s="1">
        <v>10.0</v>
      </c>
      <c r="I63" s="5">
        <v>0.3368055555555556</v>
      </c>
      <c r="J63" s="1" t="str">
        <f t="array" ref="J63">XLOOKUP(B63,cat!B:B,cat!C:C)</f>
        <v>D</v>
      </c>
      <c r="K63" s="1">
        <f t="array" ref="K63">XLOOKUP(B63,cat!B:B,cat!D:D)</f>
        <v>200</v>
      </c>
      <c r="L63" s="7">
        <f t="shared" si="1"/>
        <v>0.1319444444</v>
      </c>
      <c r="M63" s="1" t="str">
        <f t="shared" si="2"/>
        <v/>
      </c>
      <c r="P63" s="9"/>
      <c r="Q63" s="9">
        <f t="shared" si="3"/>
        <v>0</v>
      </c>
      <c r="R63" s="1" t="str">
        <f t="shared" si="4"/>
        <v>VLG</v>
      </c>
      <c r="S63" s="1" t="str">
        <f>IF($D63="LEBL", IF(COUNTIF('Paises ECAC'!B:B, C63)&gt;0, "ECAC","NO ECAC"), "")</f>
        <v/>
      </c>
    </row>
    <row r="64" ht="14.25" customHeight="1">
      <c r="A64" s="1" t="s">
        <v>214</v>
      </c>
      <c r="B64" s="1" t="s">
        <v>122</v>
      </c>
      <c r="C64" s="1" t="s">
        <v>215</v>
      </c>
      <c r="D64" s="1" t="s">
        <v>21</v>
      </c>
      <c r="E64" s="1" t="s">
        <v>216</v>
      </c>
      <c r="F64" s="1">
        <v>390.0</v>
      </c>
      <c r="G64" s="5">
        <v>0.7013888888888888</v>
      </c>
      <c r="H64" s="1">
        <v>10.0</v>
      </c>
      <c r="I64" s="5">
        <v>0.2152777777777778</v>
      </c>
      <c r="J64" s="1" t="str">
        <f t="array" ref="J64">XLOOKUP(B64,cat!B:B,cat!C:C)</f>
        <v>B</v>
      </c>
      <c r="K64" s="1">
        <f t="array" ref="K64">XLOOKUP(B64,cat!B:B,cat!D:D)</f>
        <v>297</v>
      </c>
      <c r="L64" s="7">
        <f t="shared" si="1"/>
        <v>0.5138888889</v>
      </c>
      <c r="M64" s="7">
        <f t="shared" si="2"/>
        <v>0.4942361111</v>
      </c>
      <c r="P64" s="9"/>
      <c r="Q64" s="9">
        <f t="shared" si="3"/>
        <v>10675.5</v>
      </c>
      <c r="R64" s="1" t="str">
        <f t="shared" si="4"/>
        <v>CCA</v>
      </c>
      <c r="S64" s="1" t="str">
        <f>IF($D64="LEBL", IF(COUNTIF('Paises ECAC'!B:B, C64)&gt;0, "ECAC","NO ECAC"), "")</f>
        <v>NO ECAC</v>
      </c>
    </row>
    <row r="65" ht="14.25" customHeight="1">
      <c r="A65" s="1" t="s">
        <v>217</v>
      </c>
      <c r="B65" s="1" t="s">
        <v>35</v>
      </c>
      <c r="C65" s="1" t="s">
        <v>21</v>
      </c>
      <c r="D65" s="1" t="s">
        <v>218</v>
      </c>
      <c r="E65" s="1" t="s">
        <v>219</v>
      </c>
      <c r="F65" s="1">
        <v>290.0</v>
      </c>
      <c r="G65" s="5">
        <v>0.21597222222222223</v>
      </c>
      <c r="H65" s="1">
        <v>11.0</v>
      </c>
      <c r="I65" s="5">
        <v>0.25</v>
      </c>
      <c r="J65" s="1" t="str">
        <f t="array" ref="J65">XLOOKUP(B65,cat!B:B,cat!C:C)</f>
        <v>D</v>
      </c>
      <c r="K65" s="1">
        <f t="array" ref="K65">XLOOKUP(B65,cat!B:B,cat!D:D)</f>
        <v>207</v>
      </c>
      <c r="L65" s="7">
        <f t="shared" si="1"/>
        <v>0.03402777778</v>
      </c>
      <c r="M65" s="1" t="str">
        <f t="shared" si="2"/>
        <v/>
      </c>
      <c r="P65" s="9"/>
      <c r="Q65" s="9">
        <f t="shared" si="3"/>
        <v>0</v>
      </c>
      <c r="R65" s="1" t="str">
        <f t="shared" si="4"/>
        <v>VLG</v>
      </c>
      <c r="S65" s="1" t="str">
        <f>IF($D65="LEBL", IF(COUNTIF('Paises ECAC'!B:B, C65)&gt;0, "ECAC","NO ECAC"), "")</f>
        <v/>
      </c>
    </row>
    <row r="66" ht="14.25" customHeight="1">
      <c r="A66" s="1" t="s">
        <v>220</v>
      </c>
      <c r="B66" s="1" t="s">
        <v>30</v>
      </c>
      <c r="C66" s="1" t="s">
        <v>21</v>
      </c>
      <c r="D66" s="1" t="s">
        <v>221</v>
      </c>
      <c r="E66" s="1" t="s">
        <v>222</v>
      </c>
      <c r="F66" s="1">
        <v>360.0</v>
      </c>
      <c r="G66" s="5">
        <v>0.21736111111111112</v>
      </c>
      <c r="H66" s="1">
        <v>13.0</v>
      </c>
      <c r="I66" s="5">
        <v>0.2881944444444444</v>
      </c>
      <c r="J66" s="1" t="str">
        <f t="array" ref="J66">XLOOKUP(B66,cat!B:B,cat!C:C)</f>
        <v>D</v>
      </c>
      <c r="K66" s="1">
        <f t="array" ref="K66">XLOOKUP(B66,cat!B:B,cat!D:D)</f>
        <v>173</v>
      </c>
      <c r="L66" s="7">
        <f t="shared" si="1"/>
        <v>0.07083333333</v>
      </c>
      <c r="M66" s="1" t="str">
        <f t="shared" si="2"/>
        <v/>
      </c>
      <c r="P66" s="9"/>
      <c r="Q66" s="9">
        <f t="shared" si="3"/>
        <v>0</v>
      </c>
      <c r="R66" s="1" t="str">
        <f t="shared" si="4"/>
        <v>VLG</v>
      </c>
      <c r="S66" s="1" t="str">
        <f>IF($D66="LEBL", IF(COUNTIF('Paises ECAC'!B:B, C66)&gt;0, "ECAC","NO ECAC"), "")</f>
        <v/>
      </c>
    </row>
    <row r="67" ht="14.25" customHeight="1">
      <c r="A67" s="1" t="s">
        <v>223</v>
      </c>
      <c r="B67" s="1" t="s">
        <v>25</v>
      </c>
      <c r="C67" s="1" t="s">
        <v>21</v>
      </c>
      <c r="D67" s="1" t="s">
        <v>224</v>
      </c>
      <c r="E67" s="1" t="s">
        <v>225</v>
      </c>
      <c r="F67" s="1">
        <v>300.0</v>
      </c>
      <c r="G67" s="5">
        <v>0.21666666666666667</v>
      </c>
      <c r="H67" s="1">
        <v>12.0</v>
      </c>
      <c r="I67" s="5">
        <v>0.2673611111111111</v>
      </c>
      <c r="J67" s="1" t="str">
        <f t="array" ref="J67">XLOOKUP(B67,cat!B:B,cat!C:C)</f>
        <v>D</v>
      </c>
      <c r="K67" s="1">
        <f t="array" ref="K67">XLOOKUP(B67,cat!B:B,cat!D:D)</f>
        <v>180</v>
      </c>
      <c r="L67" s="7">
        <f t="shared" si="1"/>
        <v>0.05069444444</v>
      </c>
      <c r="M67" s="1" t="str">
        <f t="shared" si="2"/>
        <v/>
      </c>
      <c r="P67" s="9"/>
      <c r="Q67" s="9">
        <f t="shared" si="3"/>
        <v>0</v>
      </c>
      <c r="R67" s="1" t="str">
        <f t="shared" si="4"/>
        <v>VLG</v>
      </c>
      <c r="S67" s="1" t="str">
        <f>IF($D67="LEBL", IF(COUNTIF('Paises ECAC'!B:B, C67)&gt;0, "ECAC","NO ECAC"), "")</f>
        <v/>
      </c>
    </row>
    <row r="68" ht="14.25" customHeight="1">
      <c r="A68" s="1" t="s">
        <v>226</v>
      </c>
      <c r="B68" s="1" t="s">
        <v>212</v>
      </c>
      <c r="C68" s="1" t="s">
        <v>21</v>
      </c>
      <c r="D68" s="1" t="s">
        <v>227</v>
      </c>
      <c r="E68" s="1" t="s">
        <v>228</v>
      </c>
      <c r="F68" s="1">
        <v>340.0</v>
      </c>
      <c r="G68" s="5">
        <v>0.21319444444444444</v>
      </c>
      <c r="H68" s="1">
        <v>11.0</v>
      </c>
      <c r="I68" s="5">
        <v>0.2986111111111111</v>
      </c>
      <c r="J68" s="1" t="str">
        <f t="array" ref="J68">XLOOKUP(B68,cat!B:B,cat!C:C)</f>
        <v>D</v>
      </c>
      <c r="K68" s="1">
        <f t="array" ref="K68">XLOOKUP(B68,cat!B:B,cat!D:D)</f>
        <v>200</v>
      </c>
      <c r="L68" s="7">
        <f t="shared" si="1"/>
        <v>0.08541666667</v>
      </c>
      <c r="M68" s="1" t="str">
        <f t="shared" si="2"/>
        <v/>
      </c>
      <c r="P68" s="9"/>
      <c r="Q68" s="9">
        <f t="shared" si="3"/>
        <v>0</v>
      </c>
      <c r="R68" s="1" t="str">
        <f t="shared" si="4"/>
        <v>DLH</v>
      </c>
      <c r="S68" s="1" t="str">
        <f>IF($D68="LEBL", IF(COUNTIF('Paises ECAC'!B:B, C68)&gt;0, "ECAC","NO ECAC"), "")</f>
        <v/>
      </c>
    </row>
    <row r="69" ht="14.25" customHeight="1">
      <c r="A69" s="1" t="s">
        <v>229</v>
      </c>
      <c r="B69" s="1" t="s">
        <v>25</v>
      </c>
      <c r="C69" s="1" t="s">
        <v>97</v>
      </c>
      <c r="D69" s="1" t="s">
        <v>21</v>
      </c>
      <c r="E69" s="1" t="s">
        <v>230</v>
      </c>
      <c r="F69" s="1">
        <v>290.0</v>
      </c>
      <c r="G69" s="5">
        <v>0.17083333333333334</v>
      </c>
      <c r="H69" s="1">
        <v>12.0</v>
      </c>
      <c r="I69" s="5">
        <v>0.21875</v>
      </c>
      <c r="J69" s="1" t="str">
        <f t="array" ref="J69">XLOOKUP(B69,cat!B:B,cat!C:C)</f>
        <v>D</v>
      </c>
      <c r="K69" s="1">
        <f t="array" ref="K69">XLOOKUP(B69,cat!B:B,cat!D:D)</f>
        <v>180</v>
      </c>
      <c r="L69" s="7">
        <f t="shared" si="1"/>
        <v>0.04791666667</v>
      </c>
      <c r="M69" s="7">
        <f t="shared" si="2"/>
        <v>0.026875</v>
      </c>
      <c r="P69" s="9"/>
      <c r="Q69" s="9">
        <f t="shared" si="3"/>
        <v>535.35</v>
      </c>
      <c r="R69" s="1" t="str">
        <f t="shared" si="4"/>
        <v>EJU</v>
      </c>
      <c r="S69" s="1" t="str">
        <f>IF($D69="LEBL", IF(COUNTIF('Paises ECAC'!B:B, C69)&gt;0, "ECAC","NO ECAC"), "")</f>
        <v>ECAC</v>
      </c>
    </row>
    <row r="70" ht="14.25" customHeight="1">
      <c r="A70" s="1" t="s">
        <v>231</v>
      </c>
      <c r="B70" s="1" t="s">
        <v>136</v>
      </c>
      <c r="C70" s="1" t="s">
        <v>21</v>
      </c>
      <c r="D70" s="1" t="s">
        <v>221</v>
      </c>
      <c r="E70" s="1" t="s">
        <v>232</v>
      </c>
      <c r="F70" s="1">
        <v>380.0</v>
      </c>
      <c r="G70" s="5">
        <v>0.22291666666666668</v>
      </c>
      <c r="H70" s="1">
        <v>21.0</v>
      </c>
      <c r="I70" s="5">
        <v>0.2986111111111111</v>
      </c>
      <c r="J70" s="1" t="str">
        <f t="array" ref="J70">XLOOKUP(B70,cat!B:B,cat!C:C)</f>
        <v>D</v>
      </c>
      <c r="K70" s="1">
        <f t="array" ref="K70">XLOOKUP(B70,cat!B:B,cat!D:D)</f>
        <v>144</v>
      </c>
      <c r="L70" s="7">
        <f t="shared" si="1"/>
        <v>0.07569444444</v>
      </c>
      <c r="M70" s="1" t="str">
        <f t="shared" si="2"/>
        <v/>
      </c>
      <c r="P70" s="9"/>
      <c r="Q70" s="9">
        <f t="shared" si="3"/>
        <v>0</v>
      </c>
      <c r="R70" s="1" t="str">
        <f t="shared" si="4"/>
        <v>EJU</v>
      </c>
      <c r="S70" s="1" t="str">
        <f>IF($D70="LEBL", IF(COUNTIF('Paises ECAC'!B:B, C70)&gt;0, "ECAC","NO ECAC"), "")</f>
        <v/>
      </c>
    </row>
    <row r="71" ht="14.25" customHeight="1">
      <c r="A71" s="1" t="s">
        <v>233</v>
      </c>
      <c r="B71" s="1" t="s">
        <v>25</v>
      </c>
      <c r="C71" s="1" t="s">
        <v>21</v>
      </c>
      <c r="D71" s="1" t="s">
        <v>234</v>
      </c>
      <c r="E71" s="1" t="s">
        <v>235</v>
      </c>
      <c r="F71" s="1">
        <v>290.0</v>
      </c>
      <c r="G71" s="5">
        <v>0.21666666666666667</v>
      </c>
      <c r="H71" s="1">
        <v>12.0</v>
      </c>
      <c r="I71" s="5">
        <v>0.2534722222222222</v>
      </c>
      <c r="J71" s="1" t="str">
        <f t="array" ref="J71">XLOOKUP(B71,cat!B:B,cat!C:C)</f>
        <v>D</v>
      </c>
      <c r="K71" s="1">
        <f t="array" ref="K71">XLOOKUP(B71,cat!B:B,cat!D:D)</f>
        <v>180</v>
      </c>
      <c r="L71" s="7">
        <f t="shared" si="1"/>
        <v>0.03680555556</v>
      </c>
      <c r="M71" s="1" t="str">
        <f t="shared" si="2"/>
        <v/>
      </c>
      <c r="P71" s="9"/>
      <c r="Q71" s="9">
        <f t="shared" si="3"/>
        <v>0</v>
      </c>
      <c r="R71" s="1" t="str">
        <f t="shared" si="4"/>
        <v>IBE</v>
      </c>
      <c r="S71" s="1" t="str">
        <f>IF($D71="LEBL", IF(COUNTIF('Paises ECAC'!B:B, C71)&gt;0, "ECAC","NO ECAC"), "")</f>
        <v/>
      </c>
    </row>
    <row r="72" ht="14.25" customHeight="1">
      <c r="A72" s="1" t="s">
        <v>236</v>
      </c>
      <c r="B72" s="1" t="s">
        <v>136</v>
      </c>
      <c r="C72" s="1" t="s">
        <v>21</v>
      </c>
      <c r="D72" s="1" t="s">
        <v>237</v>
      </c>
      <c r="E72" s="1" t="s">
        <v>238</v>
      </c>
      <c r="F72" s="1">
        <v>340.0</v>
      </c>
      <c r="G72" s="5">
        <v>0.22569444444444445</v>
      </c>
      <c r="H72" s="1">
        <v>0.0</v>
      </c>
      <c r="I72" s="5">
        <v>0.28125</v>
      </c>
      <c r="J72" s="1" t="str">
        <f t="array" ref="J72">XLOOKUP(B72,cat!B:B,cat!C:C)</f>
        <v>D</v>
      </c>
      <c r="K72" s="1">
        <f t="array" ref="K72">XLOOKUP(B72,cat!B:B,cat!D:D)</f>
        <v>144</v>
      </c>
      <c r="L72" s="7">
        <f t="shared" si="1"/>
        <v>0.05555555556</v>
      </c>
      <c r="M72" s="1" t="str">
        <f t="shared" si="2"/>
        <v/>
      </c>
      <c r="P72" s="9"/>
      <c r="Q72" s="9">
        <f t="shared" si="3"/>
        <v>0</v>
      </c>
      <c r="R72" s="1" t="str">
        <f t="shared" si="4"/>
        <v>EJU</v>
      </c>
      <c r="S72" s="1" t="str">
        <f>IF($D72="LEBL", IF(COUNTIF('Paises ECAC'!B:B, C72)&gt;0, "ECAC","NO ECAC"), "")</f>
        <v/>
      </c>
    </row>
    <row r="73" ht="14.25" customHeight="1">
      <c r="A73" s="1" t="s">
        <v>239</v>
      </c>
      <c r="B73" s="1" t="s">
        <v>30</v>
      </c>
      <c r="C73" s="1" t="s">
        <v>21</v>
      </c>
      <c r="D73" s="1" t="s">
        <v>240</v>
      </c>
      <c r="E73" s="1" t="s">
        <v>241</v>
      </c>
      <c r="F73" s="1">
        <v>370.0</v>
      </c>
      <c r="G73" s="5">
        <v>0.22013888888888888</v>
      </c>
      <c r="H73" s="1">
        <v>9.0</v>
      </c>
      <c r="I73" s="5">
        <v>0.3541666666666667</v>
      </c>
      <c r="J73" s="1" t="str">
        <f t="array" ref="J73">XLOOKUP(B73,cat!B:B,cat!C:C)</f>
        <v>D</v>
      </c>
      <c r="K73" s="1">
        <f t="array" ref="K73">XLOOKUP(B73,cat!B:B,cat!D:D)</f>
        <v>173</v>
      </c>
      <c r="L73" s="7">
        <f t="shared" si="1"/>
        <v>0.1340277778</v>
      </c>
      <c r="M73" s="1" t="str">
        <f t="shared" si="2"/>
        <v/>
      </c>
      <c r="P73" s="9"/>
      <c r="Q73" s="9">
        <f t="shared" si="3"/>
        <v>0</v>
      </c>
      <c r="R73" s="1" t="str">
        <f t="shared" si="4"/>
        <v>VLG</v>
      </c>
      <c r="S73" s="1" t="str">
        <f>IF($D73="LEBL", IF(COUNTIF('Paises ECAC'!B:B, C73)&gt;0, "ECAC","NO ECAC"), "")</f>
        <v/>
      </c>
    </row>
    <row r="74" ht="14.25" customHeight="1">
      <c r="A74" s="1" t="s">
        <v>242</v>
      </c>
      <c r="B74" s="1" t="s">
        <v>30</v>
      </c>
      <c r="C74" s="1" t="s">
        <v>156</v>
      </c>
      <c r="D74" s="1" t="s">
        <v>21</v>
      </c>
      <c r="E74" s="1" t="s">
        <v>243</v>
      </c>
      <c r="F74" s="1">
        <v>180.0</v>
      </c>
      <c r="G74" s="5">
        <v>0.20972222222222223</v>
      </c>
      <c r="H74" s="1">
        <v>17.0</v>
      </c>
      <c r="I74" s="5">
        <v>0.2222222222222222</v>
      </c>
      <c r="J74" s="1" t="str">
        <f t="array" ref="J74">XLOOKUP(B74,cat!B:B,cat!C:C)</f>
        <v>D</v>
      </c>
      <c r="K74" s="1">
        <f t="array" ref="K74">XLOOKUP(B74,cat!B:B,cat!D:D)</f>
        <v>173</v>
      </c>
      <c r="L74" s="7">
        <f t="shared" si="1"/>
        <v>0.0125</v>
      </c>
      <c r="M74" s="7">
        <f t="shared" si="2"/>
        <v>0.0006944444444</v>
      </c>
      <c r="P74" s="9"/>
      <c r="Q74" s="9">
        <f t="shared" si="3"/>
        <v>13.83333333</v>
      </c>
      <c r="R74" s="1" t="str">
        <f t="shared" si="4"/>
        <v>VLG</v>
      </c>
      <c r="S74" s="1" t="str">
        <f>IF($D74="LEBL", IF(COUNTIF('Paises ECAC'!B:B, C74)&gt;0, "ECAC","NO ECAC"), "")</f>
        <v>ECAC</v>
      </c>
    </row>
    <row r="75" ht="14.25" customHeight="1">
      <c r="A75" s="1" t="s">
        <v>244</v>
      </c>
      <c r="B75" s="1" t="s">
        <v>35</v>
      </c>
      <c r="C75" s="1" t="s">
        <v>21</v>
      </c>
      <c r="D75" s="1" t="s">
        <v>245</v>
      </c>
      <c r="E75" s="1" t="s">
        <v>246</v>
      </c>
      <c r="F75" s="1">
        <v>190.0</v>
      </c>
      <c r="G75" s="5">
        <v>0.2222222222222222</v>
      </c>
      <c r="H75" s="1">
        <v>10.0</v>
      </c>
      <c r="I75" s="5">
        <v>0.2465277777777778</v>
      </c>
      <c r="J75" s="1" t="str">
        <f t="array" ref="J75">XLOOKUP(B75,cat!B:B,cat!C:C)</f>
        <v>D</v>
      </c>
      <c r="K75" s="1">
        <f t="array" ref="K75">XLOOKUP(B75,cat!B:B,cat!D:D)</f>
        <v>207</v>
      </c>
      <c r="L75" s="7">
        <f t="shared" si="1"/>
        <v>0.02430555556</v>
      </c>
      <c r="M75" s="1" t="str">
        <f t="shared" si="2"/>
        <v/>
      </c>
      <c r="P75" s="9"/>
      <c r="Q75" s="9">
        <f t="shared" si="3"/>
        <v>0</v>
      </c>
      <c r="R75" s="1" t="str">
        <f t="shared" si="4"/>
        <v>VLG</v>
      </c>
      <c r="S75" s="1" t="str">
        <f>IF($D75="LEBL", IF(COUNTIF('Paises ECAC'!B:B, C75)&gt;0, "ECAC","NO ECAC"), "")</f>
        <v/>
      </c>
    </row>
    <row r="76" ht="14.25" customHeight="1">
      <c r="A76" s="1" t="s">
        <v>247</v>
      </c>
      <c r="B76" s="1" t="s">
        <v>30</v>
      </c>
      <c r="C76" s="1" t="s">
        <v>21</v>
      </c>
      <c r="D76" s="1" t="s">
        <v>248</v>
      </c>
      <c r="E76" s="1" t="s">
        <v>249</v>
      </c>
      <c r="F76" s="1">
        <v>380.0</v>
      </c>
      <c r="G76" s="5">
        <v>0.22361111111111112</v>
      </c>
      <c r="H76" s="1">
        <v>12.0</v>
      </c>
      <c r="I76" s="5">
        <v>0.2916666666666667</v>
      </c>
      <c r="J76" s="1" t="str">
        <f t="array" ref="J76">XLOOKUP(B76,cat!B:B,cat!C:C)</f>
        <v>D</v>
      </c>
      <c r="K76" s="1">
        <f t="array" ref="K76">XLOOKUP(B76,cat!B:B,cat!D:D)</f>
        <v>173</v>
      </c>
      <c r="L76" s="7">
        <f t="shared" si="1"/>
        <v>0.06805555556</v>
      </c>
      <c r="M76" s="1" t="str">
        <f t="shared" si="2"/>
        <v/>
      </c>
      <c r="P76" s="9"/>
      <c r="Q76" s="9">
        <f t="shared" si="3"/>
        <v>0</v>
      </c>
      <c r="R76" s="1" t="str">
        <f t="shared" si="4"/>
        <v>VLG</v>
      </c>
      <c r="S76" s="1" t="str">
        <f>IF($D76="LEBL", IF(COUNTIF('Paises ECAC'!B:B, C76)&gt;0, "ECAC","NO ECAC"), "")</f>
        <v/>
      </c>
    </row>
    <row r="77" ht="14.25" customHeight="1">
      <c r="A77" s="1" t="s">
        <v>250</v>
      </c>
      <c r="B77" s="1" t="s">
        <v>30</v>
      </c>
      <c r="C77" s="1" t="s">
        <v>21</v>
      </c>
      <c r="D77" s="1" t="s">
        <v>251</v>
      </c>
      <c r="E77" s="1" t="s">
        <v>252</v>
      </c>
      <c r="F77" s="1">
        <v>350.0</v>
      </c>
      <c r="G77" s="5">
        <v>0.2222222222222222</v>
      </c>
      <c r="H77" s="1">
        <v>10.0</v>
      </c>
      <c r="I77" s="5">
        <v>0.2673611111111111</v>
      </c>
      <c r="J77" s="1" t="str">
        <f t="array" ref="J77">XLOOKUP(B77,cat!B:B,cat!C:C)</f>
        <v>D</v>
      </c>
      <c r="K77" s="1">
        <f t="array" ref="K77">XLOOKUP(B77,cat!B:B,cat!D:D)</f>
        <v>173</v>
      </c>
      <c r="L77" s="7">
        <f t="shared" si="1"/>
        <v>0.04513888889</v>
      </c>
      <c r="M77" s="1" t="str">
        <f t="shared" si="2"/>
        <v/>
      </c>
      <c r="P77" s="9"/>
      <c r="Q77" s="9">
        <f t="shared" si="3"/>
        <v>0</v>
      </c>
      <c r="R77" s="1" t="str">
        <f t="shared" si="4"/>
        <v>VLG</v>
      </c>
      <c r="S77" s="1" t="str">
        <f>IF($D77="LEBL", IF(COUNTIF('Paises ECAC'!B:B, C77)&gt;0, "ECAC","NO ECAC"), "")</f>
        <v/>
      </c>
    </row>
    <row r="78" ht="14.25" customHeight="1">
      <c r="A78" s="1" t="s">
        <v>253</v>
      </c>
      <c r="B78" s="1" t="s">
        <v>35</v>
      </c>
      <c r="C78" s="1" t="s">
        <v>21</v>
      </c>
      <c r="D78" s="1" t="s">
        <v>137</v>
      </c>
      <c r="E78" s="1" t="s">
        <v>254</v>
      </c>
      <c r="F78" s="1">
        <v>320.0</v>
      </c>
      <c r="G78" s="5">
        <v>0.22708333333333333</v>
      </c>
      <c r="H78" s="1">
        <v>11.0</v>
      </c>
      <c r="I78" s="5">
        <v>0.2777777777777778</v>
      </c>
      <c r="J78" s="1" t="str">
        <f t="array" ref="J78">XLOOKUP(B78,cat!B:B,cat!C:C)</f>
        <v>D</v>
      </c>
      <c r="K78" s="1">
        <f t="array" ref="K78">XLOOKUP(B78,cat!B:B,cat!D:D)</f>
        <v>207</v>
      </c>
      <c r="L78" s="7">
        <f t="shared" si="1"/>
        <v>0.05069444444</v>
      </c>
      <c r="M78" s="1" t="str">
        <f t="shared" si="2"/>
        <v/>
      </c>
      <c r="P78" s="9"/>
      <c r="Q78" s="9">
        <f t="shared" si="3"/>
        <v>0</v>
      </c>
      <c r="R78" s="1" t="str">
        <f t="shared" si="4"/>
        <v>VLG</v>
      </c>
      <c r="S78" s="1" t="str">
        <f>IF($D78="LEBL", IF(COUNTIF('Paises ECAC'!B:B, C78)&gt;0, "ECAC","NO ECAC"), "")</f>
        <v/>
      </c>
    </row>
    <row r="79" ht="14.25" customHeight="1">
      <c r="A79" s="1" t="s">
        <v>255</v>
      </c>
      <c r="B79" s="1" t="s">
        <v>35</v>
      </c>
      <c r="C79" s="1" t="s">
        <v>21</v>
      </c>
      <c r="D79" s="1" t="s">
        <v>166</v>
      </c>
      <c r="E79" s="1" t="s">
        <v>256</v>
      </c>
      <c r="F79" s="1">
        <v>350.0</v>
      </c>
      <c r="G79" s="5">
        <v>0.22291666666666668</v>
      </c>
      <c r="H79" s="1">
        <v>11.0</v>
      </c>
      <c r="I79" s="5">
        <v>0.3506944444444444</v>
      </c>
      <c r="J79" s="1" t="str">
        <f t="array" ref="J79">XLOOKUP(B79,cat!B:B,cat!C:C)</f>
        <v>D</v>
      </c>
      <c r="K79" s="1">
        <f t="array" ref="K79">XLOOKUP(B79,cat!B:B,cat!D:D)</f>
        <v>207</v>
      </c>
      <c r="L79" s="7">
        <f t="shared" si="1"/>
        <v>0.1277777778</v>
      </c>
      <c r="M79" s="1" t="str">
        <f t="shared" si="2"/>
        <v/>
      </c>
      <c r="P79" s="9"/>
      <c r="Q79" s="9">
        <f t="shared" si="3"/>
        <v>0</v>
      </c>
      <c r="R79" s="1" t="str">
        <f t="shared" si="4"/>
        <v>VLG</v>
      </c>
      <c r="S79" s="1" t="str">
        <f>IF($D79="LEBL", IF(COUNTIF('Paises ECAC'!B:B, C79)&gt;0, "ECAC","NO ECAC"), "")</f>
        <v/>
      </c>
    </row>
    <row r="80" ht="14.25" customHeight="1">
      <c r="A80" s="1" t="s">
        <v>257</v>
      </c>
      <c r="B80" s="1" t="s">
        <v>30</v>
      </c>
      <c r="C80" s="1" t="s">
        <v>21</v>
      </c>
      <c r="D80" s="1" t="s">
        <v>258</v>
      </c>
      <c r="E80" s="1" t="s">
        <v>259</v>
      </c>
      <c r="F80" s="1">
        <v>330.0</v>
      </c>
      <c r="G80" s="5">
        <v>0.22777777777777777</v>
      </c>
      <c r="H80" s="1">
        <v>18.0</v>
      </c>
      <c r="I80" s="5">
        <v>0.2708333333333333</v>
      </c>
      <c r="J80" s="1" t="str">
        <f t="array" ref="J80">XLOOKUP(B80,cat!B:B,cat!C:C)</f>
        <v>D</v>
      </c>
      <c r="K80" s="1">
        <f t="array" ref="K80">XLOOKUP(B80,cat!B:B,cat!D:D)</f>
        <v>173</v>
      </c>
      <c r="L80" s="7">
        <f t="shared" si="1"/>
        <v>0.04305555556</v>
      </c>
      <c r="M80" s="1" t="str">
        <f t="shared" si="2"/>
        <v/>
      </c>
      <c r="P80" s="9"/>
      <c r="Q80" s="9">
        <f t="shared" si="3"/>
        <v>0</v>
      </c>
      <c r="R80" s="1" t="str">
        <f t="shared" si="4"/>
        <v>VLG</v>
      </c>
      <c r="S80" s="1" t="str">
        <f>IF($D80="LEBL", IF(COUNTIF('Paises ECAC'!B:B, C80)&gt;0, "ECAC","NO ECAC"), "")</f>
        <v/>
      </c>
    </row>
    <row r="81" ht="14.25" customHeight="1">
      <c r="A81" s="1" t="s">
        <v>260</v>
      </c>
      <c r="B81" s="1" t="s">
        <v>40</v>
      </c>
      <c r="C81" s="1" t="s">
        <v>113</v>
      </c>
      <c r="D81" s="1" t="s">
        <v>21</v>
      </c>
      <c r="E81" s="1" t="s">
        <v>261</v>
      </c>
      <c r="F81" s="1">
        <v>360.0</v>
      </c>
      <c r="G81" s="5">
        <v>0.1701388888888889</v>
      </c>
      <c r="H81" s="1">
        <v>15.0</v>
      </c>
      <c r="I81" s="5">
        <v>0.22916666666666666</v>
      </c>
      <c r="J81" s="1" t="str">
        <f t="array" ref="J81">XLOOKUP(B81,cat!B:B,cat!C:C)</f>
        <v>D</v>
      </c>
      <c r="K81" s="1">
        <f t="array" ref="K81">XLOOKUP(B81,cat!B:B,cat!D:D)</f>
        <v>186</v>
      </c>
      <c r="L81" s="7">
        <f t="shared" si="1"/>
        <v>0.05902777778</v>
      </c>
      <c r="M81" s="7">
        <f t="shared" si="2"/>
        <v>0.03590277778</v>
      </c>
      <c r="P81" s="9"/>
      <c r="Q81" s="9">
        <f t="shared" si="3"/>
        <v>715.1833333</v>
      </c>
      <c r="R81" s="1" t="str">
        <f t="shared" si="4"/>
        <v>RYR</v>
      </c>
      <c r="S81" s="1" t="str">
        <f>IF($D81="LEBL", IF(COUNTIF('Paises ECAC'!B:B, C81)&gt;0, "ECAC","NO ECAC"), "")</f>
        <v>ECAC</v>
      </c>
    </row>
    <row r="82" ht="14.25" customHeight="1">
      <c r="A82" s="1" t="s">
        <v>262</v>
      </c>
      <c r="B82" s="1" t="s">
        <v>35</v>
      </c>
      <c r="C82" s="1" t="s">
        <v>21</v>
      </c>
      <c r="D82" s="1" t="s">
        <v>41</v>
      </c>
      <c r="E82" s="1" t="s">
        <v>263</v>
      </c>
      <c r="F82" s="1">
        <v>340.0</v>
      </c>
      <c r="G82" s="5">
        <v>0.2222222222222222</v>
      </c>
      <c r="H82" s="1">
        <v>10.0</v>
      </c>
      <c r="I82" s="5">
        <v>0.3229166666666667</v>
      </c>
      <c r="J82" s="1" t="str">
        <f t="array" ref="J82">XLOOKUP(B82,cat!B:B,cat!C:C)</f>
        <v>D</v>
      </c>
      <c r="K82" s="1">
        <f t="array" ref="K82">XLOOKUP(B82,cat!B:B,cat!D:D)</f>
        <v>207</v>
      </c>
      <c r="L82" s="7">
        <f t="shared" si="1"/>
        <v>0.1006944444</v>
      </c>
      <c r="M82" s="1" t="str">
        <f t="shared" si="2"/>
        <v/>
      </c>
      <c r="P82" s="9"/>
      <c r="Q82" s="9">
        <f t="shared" si="3"/>
        <v>0</v>
      </c>
      <c r="R82" s="1" t="str">
        <f t="shared" si="4"/>
        <v>VLG</v>
      </c>
      <c r="S82" s="1" t="str">
        <f>IF($D82="LEBL", IF(COUNTIF('Paises ECAC'!B:B, C82)&gt;0, "ECAC","NO ECAC"), "")</f>
        <v/>
      </c>
    </row>
    <row r="83" ht="14.25" customHeight="1">
      <c r="A83" s="1" t="s">
        <v>264</v>
      </c>
      <c r="B83" s="1" t="s">
        <v>30</v>
      </c>
      <c r="C83" s="1" t="s">
        <v>21</v>
      </c>
      <c r="D83" s="1" t="s">
        <v>169</v>
      </c>
      <c r="E83" s="1" t="s">
        <v>265</v>
      </c>
      <c r="F83" s="1">
        <v>360.0</v>
      </c>
      <c r="G83" s="5">
        <v>0.22916666666666666</v>
      </c>
      <c r="H83" s="1">
        <v>10.0</v>
      </c>
      <c r="I83" s="5">
        <v>0.3055555555555556</v>
      </c>
      <c r="J83" s="1" t="str">
        <f t="array" ref="J83">XLOOKUP(B83,cat!B:B,cat!C:C)</f>
        <v>D</v>
      </c>
      <c r="K83" s="1">
        <f t="array" ref="K83">XLOOKUP(B83,cat!B:B,cat!D:D)</f>
        <v>173</v>
      </c>
      <c r="L83" s="7">
        <f t="shared" si="1"/>
        <v>0.07638888889</v>
      </c>
      <c r="M83" s="1" t="str">
        <f t="shared" si="2"/>
        <v/>
      </c>
      <c r="P83" s="9"/>
      <c r="Q83" s="9">
        <f t="shared" si="3"/>
        <v>0</v>
      </c>
      <c r="R83" s="1" t="str">
        <f t="shared" si="4"/>
        <v>VLG</v>
      </c>
      <c r="S83" s="1" t="str">
        <f>IF($D83="LEBL", IF(COUNTIF('Paises ECAC'!B:B, C83)&gt;0, "ECAC","NO ECAC"), "")</f>
        <v/>
      </c>
    </row>
    <row r="84" ht="14.25" customHeight="1">
      <c r="A84" s="1" t="s">
        <v>266</v>
      </c>
      <c r="B84" s="1" t="s">
        <v>30</v>
      </c>
      <c r="C84" s="1" t="s">
        <v>21</v>
      </c>
      <c r="D84" s="1" t="s">
        <v>267</v>
      </c>
      <c r="E84" s="1" t="s">
        <v>86</v>
      </c>
      <c r="F84" s="1">
        <v>340.0</v>
      </c>
      <c r="G84" s="5">
        <v>0.22847222222222222</v>
      </c>
      <c r="H84" s="1">
        <v>9.0</v>
      </c>
      <c r="I84" s="5">
        <v>0.2986111111111111</v>
      </c>
      <c r="J84" s="1" t="str">
        <f t="array" ref="J84">XLOOKUP(B84,cat!B:B,cat!C:C)</f>
        <v>D</v>
      </c>
      <c r="K84" s="1">
        <f t="array" ref="K84">XLOOKUP(B84,cat!B:B,cat!D:D)</f>
        <v>173</v>
      </c>
      <c r="L84" s="7">
        <f t="shared" si="1"/>
        <v>0.07013888889</v>
      </c>
      <c r="M84" s="1" t="str">
        <f t="shared" si="2"/>
        <v/>
      </c>
      <c r="P84" s="9"/>
      <c r="Q84" s="9">
        <f t="shared" si="3"/>
        <v>0</v>
      </c>
      <c r="R84" s="1" t="str">
        <f t="shared" si="4"/>
        <v>VLG</v>
      </c>
      <c r="S84" s="1" t="str">
        <f>IF($D84="LEBL", IF(COUNTIF('Paises ECAC'!B:B, C84)&gt;0, "ECAC","NO ECAC"), "")</f>
        <v/>
      </c>
    </row>
    <row r="85" ht="14.25" customHeight="1">
      <c r="A85" s="1" t="s">
        <v>268</v>
      </c>
      <c r="B85" s="1" t="s">
        <v>35</v>
      </c>
      <c r="C85" s="1" t="s">
        <v>21</v>
      </c>
      <c r="D85" s="1" t="s">
        <v>36</v>
      </c>
      <c r="E85" s="1" t="s">
        <v>269</v>
      </c>
      <c r="F85" s="1">
        <v>350.0</v>
      </c>
      <c r="G85" s="5">
        <v>0.2361111111111111</v>
      </c>
      <c r="H85" s="1">
        <v>10.0</v>
      </c>
      <c r="I85" s="5">
        <v>0.34375</v>
      </c>
      <c r="J85" s="1" t="str">
        <f t="array" ref="J85">XLOOKUP(B85,cat!B:B,cat!C:C)</f>
        <v>D</v>
      </c>
      <c r="K85" s="1">
        <f t="array" ref="K85">XLOOKUP(B85,cat!B:B,cat!D:D)</f>
        <v>207</v>
      </c>
      <c r="L85" s="7">
        <f t="shared" si="1"/>
        <v>0.1076388889</v>
      </c>
      <c r="M85" s="1" t="str">
        <f t="shared" si="2"/>
        <v/>
      </c>
      <c r="P85" s="9"/>
      <c r="Q85" s="9">
        <f t="shared" si="3"/>
        <v>0</v>
      </c>
      <c r="R85" s="1" t="str">
        <f t="shared" si="4"/>
        <v>VLG</v>
      </c>
      <c r="S85" s="1" t="str">
        <f>IF($D85="LEBL", IF(COUNTIF('Paises ECAC'!B:B, C85)&gt;0, "ECAC","NO ECAC"), "")</f>
        <v/>
      </c>
    </row>
    <row r="86" ht="14.25" customHeight="1">
      <c r="A86" s="1" t="s">
        <v>270</v>
      </c>
      <c r="B86" s="1" t="s">
        <v>35</v>
      </c>
      <c r="C86" s="1" t="s">
        <v>21</v>
      </c>
      <c r="D86" s="1" t="s">
        <v>271</v>
      </c>
      <c r="E86" s="1" t="s">
        <v>272</v>
      </c>
      <c r="F86" s="1">
        <v>340.0</v>
      </c>
      <c r="G86" s="5">
        <v>0.22916666666666666</v>
      </c>
      <c r="H86" s="1">
        <v>10.0</v>
      </c>
      <c r="I86" s="5">
        <v>0.2986111111111111</v>
      </c>
      <c r="J86" s="1" t="str">
        <f t="array" ref="J86">XLOOKUP(B86,cat!B:B,cat!C:C)</f>
        <v>D</v>
      </c>
      <c r="K86" s="1">
        <f t="array" ref="K86">XLOOKUP(B86,cat!B:B,cat!D:D)</f>
        <v>207</v>
      </c>
      <c r="L86" s="7">
        <f t="shared" si="1"/>
        <v>0.06944444444</v>
      </c>
      <c r="M86" s="1" t="str">
        <f t="shared" si="2"/>
        <v/>
      </c>
      <c r="P86" s="9"/>
      <c r="Q86" s="9">
        <f t="shared" si="3"/>
        <v>0</v>
      </c>
      <c r="R86" s="1" t="str">
        <f t="shared" si="4"/>
        <v>VLG</v>
      </c>
      <c r="S86" s="1" t="str">
        <f>IF($D86="LEBL", IF(COUNTIF('Paises ECAC'!B:B, C86)&gt;0, "ECAC","NO ECAC"), "")</f>
        <v/>
      </c>
    </row>
    <row r="87" ht="14.25" customHeight="1">
      <c r="A87" s="1" t="s">
        <v>273</v>
      </c>
      <c r="B87" s="1" t="s">
        <v>30</v>
      </c>
      <c r="C87" s="1" t="s">
        <v>21</v>
      </c>
      <c r="D87" s="1" t="s">
        <v>274</v>
      </c>
      <c r="E87" s="1" t="s">
        <v>275</v>
      </c>
      <c r="F87" s="1">
        <v>380.0</v>
      </c>
      <c r="G87" s="5">
        <v>0.2375</v>
      </c>
      <c r="H87" s="1">
        <v>12.0</v>
      </c>
      <c r="I87" s="5">
        <v>0.3090277777777778</v>
      </c>
      <c r="J87" s="1" t="str">
        <f t="array" ref="J87">XLOOKUP(B87,cat!B:B,cat!C:C)</f>
        <v>D</v>
      </c>
      <c r="K87" s="1">
        <f t="array" ref="K87">XLOOKUP(B87,cat!B:B,cat!D:D)</f>
        <v>173</v>
      </c>
      <c r="L87" s="7">
        <f t="shared" si="1"/>
        <v>0.07152777778</v>
      </c>
      <c r="M87" s="1" t="str">
        <f t="shared" si="2"/>
        <v/>
      </c>
      <c r="P87" s="9"/>
      <c r="Q87" s="9">
        <f t="shared" si="3"/>
        <v>0</v>
      </c>
      <c r="R87" s="1" t="str">
        <f t="shared" si="4"/>
        <v>VLG</v>
      </c>
      <c r="S87" s="1" t="str">
        <f>IF($D87="LEBL", IF(COUNTIF('Paises ECAC'!B:B, C87)&gt;0, "ECAC","NO ECAC"), "")</f>
        <v/>
      </c>
    </row>
    <row r="88" ht="14.25" customHeight="1">
      <c r="A88" s="1" t="s">
        <v>276</v>
      </c>
      <c r="B88" s="1" t="s">
        <v>30</v>
      </c>
      <c r="C88" s="1" t="s">
        <v>245</v>
      </c>
      <c r="D88" s="1" t="s">
        <v>21</v>
      </c>
      <c r="E88" s="1" t="s">
        <v>277</v>
      </c>
      <c r="F88" s="1">
        <v>180.0</v>
      </c>
      <c r="G88" s="5">
        <v>0.21597222222222223</v>
      </c>
      <c r="H88" s="1">
        <v>7.0</v>
      </c>
      <c r="I88" s="5">
        <v>0.2361111111111111</v>
      </c>
      <c r="J88" s="1" t="str">
        <f t="array" ref="J88">XLOOKUP(B88,cat!B:B,cat!C:C)</f>
        <v>D</v>
      </c>
      <c r="K88" s="1">
        <f t="array" ref="K88">XLOOKUP(B88,cat!B:B,cat!D:D)</f>
        <v>173</v>
      </c>
      <c r="L88" s="7">
        <f t="shared" si="1"/>
        <v>0.02013888889</v>
      </c>
      <c r="M88" s="7">
        <f t="shared" si="2"/>
        <v>0.002569444444</v>
      </c>
      <c r="P88" s="9"/>
      <c r="Q88" s="9">
        <f t="shared" si="3"/>
        <v>51.18333333</v>
      </c>
      <c r="R88" s="1" t="str">
        <f t="shared" si="4"/>
        <v>VLG</v>
      </c>
      <c r="S88" s="1" t="str">
        <f>IF($D88="LEBL", IF(COUNTIF('Paises ECAC'!B:B, C88)&gt;0, "ECAC","NO ECAC"), "")</f>
        <v>ECAC</v>
      </c>
    </row>
    <row r="89" ht="14.25" customHeight="1">
      <c r="A89" s="1" t="s">
        <v>278</v>
      </c>
      <c r="B89" s="1" t="s">
        <v>35</v>
      </c>
      <c r="C89" s="1" t="s">
        <v>21</v>
      </c>
      <c r="D89" s="1" t="s">
        <v>279</v>
      </c>
      <c r="E89" s="1" t="s">
        <v>280</v>
      </c>
      <c r="F89" s="1">
        <v>320.0</v>
      </c>
      <c r="G89" s="5">
        <v>0.22916666666666666</v>
      </c>
      <c r="H89" s="1">
        <v>10.0</v>
      </c>
      <c r="I89" s="5">
        <v>0.28125</v>
      </c>
      <c r="J89" s="1" t="str">
        <f t="array" ref="J89">XLOOKUP(B89,cat!B:B,cat!C:C)</f>
        <v>D</v>
      </c>
      <c r="K89" s="1">
        <f t="array" ref="K89">XLOOKUP(B89,cat!B:B,cat!D:D)</f>
        <v>207</v>
      </c>
      <c r="L89" s="7">
        <f t="shared" si="1"/>
        <v>0.05208333333</v>
      </c>
      <c r="M89" s="1" t="str">
        <f t="shared" si="2"/>
        <v/>
      </c>
      <c r="P89" s="9"/>
      <c r="Q89" s="9">
        <f t="shared" si="3"/>
        <v>0</v>
      </c>
      <c r="R89" s="1" t="str">
        <f t="shared" si="4"/>
        <v>VLG</v>
      </c>
      <c r="S89" s="1" t="str">
        <f>IF($D89="LEBL", IF(COUNTIF('Paises ECAC'!B:B, C89)&gt;0, "ECAC","NO ECAC"), "")</f>
        <v/>
      </c>
    </row>
    <row r="90" ht="14.25" customHeight="1">
      <c r="A90" s="1" t="s">
        <v>281</v>
      </c>
      <c r="B90" s="1" t="s">
        <v>30</v>
      </c>
      <c r="C90" s="1" t="s">
        <v>282</v>
      </c>
      <c r="D90" s="1" t="s">
        <v>21</v>
      </c>
      <c r="E90" s="1" t="s">
        <v>283</v>
      </c>
      <c r="F90" s="1">
        <v>260.0</v>
      </c>
      <c r="G90" s="5">
        <v>0.20416666666666666</v>
      </c>
      <c r="H90" s="1">
        <v>9.0</v>
      </c>
      <c r="I90" s="5">
        <v>0.2361111111111111</v>
      </c>
      <c r="J90" s="1" t="str">
        <f t="array" ref="J90">XLOOKUP(B90,cat!B:B,cat!C:C)</f>
        <v>D</v>
      </c>
      <c r="K90" s="1">
        <f t="array" ref="K90">XLOOKUP(B90,cat!B:B,cat!D:D)</f>
        <v>173</v>
      </c>
      <c r="L90" s="7">
        <f t="shared" si="1"/>
        <v>0.03194444444</v>
      </c>
      <c r="M90" s="7">
        <f t="shared" si="2"/>
        <v>0.01298611111</v>
      </c>
      <c r="P90" s="9"/>
      <c r="Q90" s="9">
        <f t="shared" si="3"/>
        <v>258.6833333</v>
      </c>
      <c r="R90" s="1" t="str">
        <f t="shared" si="4"/>
        <v>VLG</v>
      </c>
      <c r="S90" s="1" t="str">
        <f>IF($D90="LEBL", IF(COUNTIF('Paises ECAC'!B:B, C90)&gt;0, "ECAC","NO ECAC"), "")</f>
        <v>ECAC</v>
      </c>
    </row>
    <row r="91" ht="14.25" customHeight="1">
      <c r="A91" s="1" t="s">
        <v>284</v>
      </c>
      <c r="B91" s="1" t="s">
        <v>30</v>
      </c>
      <c r="C91" s="1" t="s">
        <v>21</v>
      </c>
      <c r="D91" s="1" t="s">
        <v>74</v>
      </c>
      <c r="E91" s="1" t="s">
        <v>285</v>
      </c>
      <c r="F91" s="1">
        <v>340.0</v>
      </c>
      <c r="G91" s="5">
        <v>0.23472222222222222</v>
      </c>
      <c r="H91" s="1">
        <v>8.0</v>
      </c>
      <c r="I91" s="5">
        <v>0.2916666666666667</v>
      </c>
      <c r="J91" s="1" t="str">
        <f t="array" ref="J91">XLOOKUP(B91,cat!B:B,cat!C:C)</f>
        <v>D</v>
      </c>
      <c r="K91" s="1">
        <f t="array" ref="K91">XLOOKUP(B91,cat!B:B,cat!D:D)</f>
        <v>173</v>
      </c>
      <c r="L91" s="7">
        <f t="shared" si="1"/>
        <v>0.05694444444</v>
      </c>
      <c r="M91" s="1" t="str">
        <f t="shared" si="2"/>
        <v/>
      </c>
      <c r="P91" s="9"/>
      <c r="Q91" s="9">
        <f t="shared" si="3"/>
        <v>0</v>
      </c>
      <c r="R91" s="1" t="str">
        <f t="shared" si="4"/>
        <v>VLG</v>
      </c>
      <c r="S91" s="1" t="str">
        <f>IF($D91="LEBL", IF(COUNTIF('Paises ECAC'!B:B, C91)&gt;0, "ECAC","NO ECAC"), "")</f>
        <v/>
      </c>
    </row>
    <row r="92" ht="14.25" customHeight="1">
      <c r="A92" s="1" t="s">
        <v>286</v>
      </c>
      <c r="B92" s="1" t="s">
        <v>212</v>
      </c>
      <c r="C92" s="1" t="s">
        <v>21</v>
      </c>
      <c r="D92" s="1" t="s">
        <v>287</v>
      </c>
      <c r="E92" s="1" t="s">
        <v>288</v>
      </c>
      <c r="F92" s="1">
        <v>340.0</v>
      </c>
      <c r="G92" s="5">
        <v>0.23680555555555555</v>
      </c>
      <c r="H92" s="1">
        <v>11.0</v>
      </c>
      <c r="I92" s="5">
        <v>0.3125</v>
      </c>
      <c r="J92" s="1" t="str">
        <f t="array" ref="J92">XLOOKUP(B92,cat!B:B,cat!C:C)</f>
        <v>D</v>
      </c>
      <c r="K92" s="1">
        <f t="array" ref="K92">XLOOKUP(B92,cat!B:B,cat!D:D)</f>
        <v>200</v>
      </c>
      <c r="L92" s="7">
        <f t="shared" si="1"/>
        <v>0.07569444444</v>
      </c>
      <c r="M92" s="1" t="str">
        <f t="shared" si="2"/>
        <v/>
      </c>
      <c r="P92" s="9"/>
      <c r="Q92" s="9">
        <f t="shared" si="3"/>
        <v>0</v>
      </c>
      <c r="R92" s="1" t="str">
        <f t="shared" si="4"/>
        <v>VLG</v>
      </c>
      <c r="S92" s="1" t="str">
        <f>IF($D92="LEBL", IF(COUNTIF('Paises ECAC'!B:B, C92)&gt;0, "ECAC","NO ECAC"), "")</f>
        <v/>
      </c>
    </row>
    <row r="93" ht="14.25" customHeight="1">
      <c r="A93" s="1" t="s">
        <v>289</v>
      </c>
      <c r="B93" s="1" t="s">
        <v>212</v>
      </c>
      <c r="C93" s="1" t="s">
        <v>290</v>
      </c>
      <c r="D93" s="1" t="s">
        <v>21</v>
      </c>
      <c r="E93" s="1" t="s">
        <v>291</v>
      </c>
      <c r="F93" s="1">
        <v>350.0</v>
      </c>
      <c r="G93" s="5">
        <v>0.13194444444444445</v>
      </c>
      <c r="H93" s="1">
        <v>10.0</v>
      </c>
      <c r="I93" s="5">
        <v>0.23958333333333334</v>
      </c>
      <c r="J93" s="1" t="str">
        <f t="array" ref="J93">XLOOKUP(B93,cat!B:B,cat!C:C)</f>
        <v>D</v>
      </c>
      <c r="K93" s="1">
        <f t="array" ref="K93">XLOOKUP(B93,cat!B:B,cat!D:D)</f>
        <v>200</v>
      </c>
      <c r="L93" s="7">
        <f t="shared" si="1"/>
        <v>0.1076388889</v>
      </c>
      <c r="M93" s="7">
        <f t="shared" si="2"/>
        <v>0.08798611111</v>
      </c>
      <c r="P93" s="9"/>
      <c r="Q93" s="9">
        <f t="shared" si="3"/>
        <v>1752.683333</v>
      </c>
      <c r="R93" s="1" t="str">
        <f t="shared" si="4"/>
        <v>WMT</v>
      </c>
      <c r="S93" s="1" t="str">
        <f>IF($D93="LEBL", IF(COUNTIF('Paises ECAC'!B:B, C93)&gt;0, "ECAC","NO ECAC"), "")</f>
        <v>ECAC</v>
      </c>
    </row>
    <row r="94" ht="14.25" customHeight="1">
      <c r="A94" s="1" t="s">
        <v>292</v>
      </c>
      <c r="B94" s="1" t="s">
        <v>19</v>
      </c>
      <c r="C94" s="1" t="s">
        <v>21</v>
      </c>
      <c r="D94" s="1" t="s">
        <v>199</v>
      </c>
      <c r="E94" s="1" t="s">
        <v>22</v>
      </c>
      <c r="F94" s="1">
        <v>340.0</v>
      </c>
      <c r="G94" s="5">
        <v>0.24305555555555555</v>
      </c>
      <c r="H94" s="1">
        <v>20.0</v>
      </c>
      <c r="I94" s="5">
        <v>0.3090277777777778</v>
      </c>
      <c r="J94" s="1" t="str">
        <f t="array" ref="J94">XLOOKUP(B94,cat!B:B,cat!C:C)</f>
        <v>D</v>
      </c>
      <c r="K94" s="1">
        <f t="array" ref="K94">XLOOKUP(B94,cat!B:B,cat!D:D)</f>
        <v>184</v>
      </c>
      <c r="L94" s="7">
        <f t="shared" si="1"/>
        <v>0.06597222222</v>
      </c>
      <c r="M94" s="1" t="str">
        <f t="shared" si="2"/>
        <v/>
      </c>
      <c r="P94" s="9"/>
      <c r="Q94" s="9">
        <f t="shared" si="3"/>
        <v>0</v>
      </c>
      <c r="R94" s="1" t="str">
        <f t="shared" si="4"/>
        <v>RYR</v>
      </c>
      <c r="S94" s="1" t="str">
        <f>IF($D94="LEBL", IF(COUNTIF('Paises ECAC'!B:B, C94)&gt;0, "ECAC","NO ECAC"), "")</f>
        <v/>
      </c>
    </row>
    <row r="95" ht="14.25" customHeight="1">
      <c r="A95" s="1" t="s">
        <v>293</v>
      </c>
      <c r="B95" s="1" t="s">
        <v>294</v>
      </c>
      <c r="C95" s="1" t="s">
        <v>295</v>
      </c>
      <c r="D95" s="1" t="s">
        <v>21</v>
      </c>
      <c r="E95" s="1" t="s">
        <v>296</v>
      </c>
      <c r="F95" s="1">
        <v>370.0</v>
      </c>
      <c r="G95" s="5">
        <v>0.9444444444444444</v>
      </c>
      <c r="H95" s="1">
        <v>10.0</v>
      </c>
      <c r="I95" s="5">
        <v>0.23958333333333334</v>
      </c>
      <c r="J95" s="1" t="str">
        <f t="array" ref="J95">XLOOKUP(B95,cat!B:B,cat!C:C)</f>
        <v>B</v>
      </c>
      <c r="K95" s="1">
        <f t="array" ref="K95">XLOOKUP(B95,cat!B:B,cat!D:D)</f>
        <v>331</v>
      </c>
      <c r="L95" s="7">
        <f t="shared" si="1"/>
        <v>0.2951388889</v>
      </c>
      <c r="M95" s="7">
        <f t="shared" si="2"/>
        <v>0.2754861111</v>
      </c>
      <c r="P95" s="9"/>
      <c r="Q95" s="9">
        <f t="shared" si="3"/>
        <v>5950.5</v>
      </c>
      <c r="R95" s="1" t="str">
        <f t="shared" si="4"/>
        <v>ACA</v>
      </c>
      <c r="S95" s="1" t="str">
        <f>IF($D95="LEBL", IF(COUNTIF('Paises ECAC'!B:B, C95)&gt;0, "ECAC","NO ECAC"), "")</f>
        <v>NO ECAC</v>
      </c>
    </row>
    <row r="96" ht="14.25" customHeight="1">
      <c r="A96" s="1" t="s">
        <v>297</v>
      </c>
      <c r="B96" s="1" t="s">
        <v>35</v>
      </c>
      <c r="C96" s="1" t="s">
        <v>21</v>
      </c>
      <c r="D96" s="1" t="s">
        <v>298</v>
      </c>
      <c r="E96" s="1" t="s">
        <v>299</v>
      </c>
      <c r="F96" s="1">
        <v>330.0</v>
      </c>
      <c r="G96" s="5">
        <v>0.2388888888888889</v>
      </c>
      <c r="H96" s="1">
        <v>9.0</v>
      </c>
      <c r="I96" s="5">
        <v>0.2916666666666667</v>
      </c>
      <c r="J96" s="1" t="str">
        <f t="array" ref="J96">XLOOKUP(B96,cat!B:B,cat!C:C)</f>
        <v>D</v>
      </c>
      <c r="K96" s="1">
        <f t="array" ref="K96">XLOOKUP(B96,cat!B:B,cat!D:D)</f>
        <v>207</v>
      </c>
      <c r="L96" s="7">
        <f t="shared" si="1"/>
        <v>0.05277777778</v>
      </c>
      <c r="M96" s="1" t="str">
        <f t="shared" si="2"/>
        <v/>
      </c>
      <c r="P96" s="9"/>
      <c r="Q96" s="9">
        <f t="shared" si="3"/>
        <v>0</v>
      </c>
      <c r="R96" s="1" t="str">
        <f t="shared" si="4"/>
        <v>VLG</v>
      </c>
      <c r="S96" s="1" t="str">
        <f>IF($D96="LEBL", IF(COUNTIF('Paises ECAC'!B:B, C96)&gt;0, "ECAC","NO ECAC"), "")</f>
        <v/>
      </c>
    </row>
    <row r="97" ht="14.25" customHeight="1">
      <c r="A97" s="1" t="s">
        <v>300</v>
      </c>
      <c r="B97" s="1" t="s">
        <v>30</v>
      </c>
      <c r="C97" s="1" t="s">
        <v>21</v>
      </c>
      <c r="D97" s="1" t="s">
        <v>301</v>
      </c>
      <c r="E97" s="1" t="s">
        <v>302</v>
      </c>
      <c r="F97" s="1">
        <v>370.0</v>
      </c>
      <c r="G97" s="5">
        <v>0.2423611111111111</v>
      </c>
      <c r="H97" s="1">
        <v>9.0</v>
      </c>
      <c r="I97" s="5">
        <v>0.3541666666666667</v>
      </c>
      <c r="J97" s="1" t="str">
        <f t="array" ref="J97">XLOOKUP(B97,cat!B:B,cat!C:C)</f>
        <v>D</v>
      </c>
      <c r="K97" s="1">
        <f t="array" ref="K97">XLOOKUP(B97,cat!B:B,cat!D:D)</f>
        <v>173</v>
      </c>
      <c r="L97" s="7">
        <f t="shared" si="1"/>
        <v>0.1118055556</v>
      </c>
      <c r="M97" s="1" t="str">
        <f t="shared" si="2"/>
        <v/>
      </c>
      <c r="P97" s="9"/>
      <c r="Q97" s="9">
        <f t="shared" si="3"/>
        <v>0</v>
      </c>
      <c r="R97" s="1" t="str">
        <f t="shared" si="4"/>
        <v>VLG</v>
      </c>
      <c r="S97" s="1" t="str">
        <f>IF($D97="LEBL", IF(COUNTIF('Paises ECAC'!B:B, C97)&gt;0, "ECAC","NO ECAC"), "")</f>
        <v/>
      </c>
    </row>
    <row r="98" ht="14.25" customHeight="1">
      <c r="A98" s="1" t="s">
        <v>303</v>
      </c>
      <c r="B98" s="1" t="s">
        <v>35</v>
      </c>
      <c r="C98" s="1" t="s">
        <v>21</v>
      </c>
      <c r="D98" s="1" t="s">
        <v>304</v>
      </c>
      <c r="E98" s="1" t="s">
        <v>305</v>
      </c>
      <c r="F98" s="1">
        <v>340.0</v>
      </c>
      <c r="G98" s="5">
        <v>0.24861111111111112</v>
      </c>
      <c r="H98" s="1">
        <v>8.0</v>
      </c>
      <c r="I98" s="5">
        <v>0.3333333333333333</v>
      </c>
      <c r="J98" s="1" t="str">
        <f t="array" ref="J98">XLOOKUP(B98,cat!B:B,cat!C:C)</f>
        <v>D</v>
      </c>
      <c r="K98" s="1">
        <f t="array" ref="K98">XLOOKUP(B98,cat!B:B,cat!D:D)</f>
        <v>207</v>
      </c>
      <c r="L98" s="7">
        <f t="shared" si="1"/>
        <v>0.08472222222</v>
      </c>
      <c r="M98" s="1" t="str">
        <f t="shared" si="2"/>
        <v/>
      </c>
      <c r="P98" s="9"/>
      <c r="Q98" s="9">
        <f t="shared" si="3"/>
        <v>0</v>
      </c>
      <c r="R98" s="1" t="str">
        <f t="shared" si="4"/>
        <v>VLG</v>
      </c>
      <c r="S98" s="1" t="str">
        <f>IF($D98="LEBL", IF(COUNTIF('Paises ECAC'!B:B, C98)&gt;0, "ECAC","NO ECAC"), "")</f>
        <v/>
      </c>
    </row>
    <row r="99" ht="14.25" customHeight="1">
      <c r="A99" s="1" t="s">
        <v>306</v>
      </c>
      <c r="B99" s="1" t="s">
        <v>122</v>
      </c>
      <c r="C99" s="1" t="s">
        <v>307</v>
      </c>
      <c r="D99" s="1" t="s">
        <v>21</v>
      </c>
      <c r="E99" s="1" t="s">
        <v>308</v>
      </c>
      <c r="F99" s="1">
        <v>390.0</v>
      </c>
      <c r="G99" s="5">
        <v>0.7916666666666666</v>
      </c>
      <c r="H99" s="1">
        <v>10.0</v>
      </c>
      <c r="I99" s="5">
        <v>0.2465277777777778</v>
      </c>
      <c r="J99" s="1" t="str">
        <f t="array" ref="J99">XLOOKUP(B99,cat!B:B,cat!C:C)</f>
        <v>B</v>
      </c>
      <c r="K99" s="1">
        <f t="array" ref="K99">XLOOKUP(B99,cat!B:B,cat!D:D)</f>
        <v>297</v>
      </c>
      <c r="L99" s="7">
        <f t="shared" si="1"/>
        <v>0.4548611111</v>
      </c>
      <c r="M99" s="7">
        <f t="shared" si="2"/>
        <v>0.4352083333</v>
      </c>
      <c r="P99" s="9"/>
      <c r="Q99" s="9">
        <f t="shared" si="3"/>
        <v>9400.5</v>
      </c>
      <c r="R99" s="1" t="str">
        <f t="shared" si="4"/>
        <v>CCA</v>
      </c>
      <c r="S99" s="1" t="str">
        <f>IF($D99="LEBL", IF(COUNTIF('Paises ECAC'!B:B, C99)&gt;0, "ECAC","NO ECAC"), "")</f>
        <v>NO ECAC</v>
      </c>
    </row>
    <row r="100" ht="14.25" customHeight="1">
      <c r="A100" s="1" t="s">
        <v>309</v>
      </c>
      <c r="B100" s="1" t="s">
        <v>136</v>
      </c>
      <c r="C100" s="1" t="s">
        <v>21</v>
      </c>
      <c r="D100" s="1" t="s">
        <v>310</v>
      </c>
      <c r="E100" s="1" t="s">
        <v>311</v>
      </c>
      <c r="F100" s="1">
        <v>290.0</v>
      </c>
      <c r="G100" s="5">
        <v>0.2465277777777778</v>
      </c>
      <c r="H100" s="1">
        <v>10.0</v>
      </c>
      <c r="I100" s="5">
        <v>0.2777777777777778</v>
      </c>
      <c r="J100" s="1" t="str">
        <f t="array" ref="J100">XLOOKUP(B100,cat!B:B,cat!C:C)</f>
        <v>D</v>
      </c>
      <c r="K100" s="1">
        <f t="array" ref="K100">XLOOKUP(B100,cat!B:B,cat!D:D)</f>
        <v>144</v>
      </c>
      <c r="L100" s="7">
        <f t="shared" si="1"/>
        <v>0.03125</v>
      </c>
      <c r="M100" s="1" t="str">
        <f t="shared" si="2"/>
        <v/>
      </c>
      <c r="P100" s="9"/>
      <c r="Q100" s="9">
        <f t="shared" si="3"/>
        <v>0</v>
      </c>
      <c r="R100" s="1" t="str">
        <f t="shared" si="4"/>
        <v>VLG</v>
      </c>
      <c r="S100" s="1" t="str">
        <f>IF($D100="LEBL", IF(COUNTIF('Paises ECAC'!B:B, C100)&gt;0, "ECAC","NO ECAC"), "")</f>
        <v/>
      </c>
    </row>
    <row r="101" ht="14.25" customHeight="1">
      <c r="A101" s="1" t="s">
        <v>312</v>
      </c>
      <c r="B101" s="1" t="s">
        <v>19</v>
      </c>
      <c r="C101" s="1" t="s">
        <v>156</v>
      </c>
      <c r="D101" s="1" t="s">
        <v>21</v>
      </c>
      <c r="E101" s="1" t="s">
        <v>313</v>
      </c>
      <c r="F101" s="1">
        <v>180.0</v>
      </c>
      <c r="G101" s="5">
        <v>0.22361111111111112</v>
      </c>
      <c r="H101" s="1">
        <v>17.0</v>
      </c>
      <c r="I101" s="5">
        <v>0.2465277777777778</v>
      </c>
      <c r="J101" s="1" t="str">
        <f t="array" ref="J101">XLOOKUP(B101,cat!B:B,cat!C:C)</f>
        <v>D</v>
      </c>
      <c r="K101" s="1">
        <f t="array" ref="K101">XLOOKUP(B101,cat!B:B,cat!D:D)</f>
        <v>184</v>
      </c>
      <c r="L101" s="7">
        <f t="shared" si="1"/>
        <v>0.02291666667</v>
      </c>
      <c r="M101" s="7">
        <f t="shared" si="2"/>
        <v>0.01111111111</v>
      </c>
      <c r="P101" s="9"/>
      <c r="Q101" s="9">
        <f t="shared" si="3"/>
        <v>221.3333333</v>
      </c>
      <c r="R101" s="1" t="str">
        <f t="shared" si="4"/>
        <v>AEA</v>
      </c>
      <c r="S101" s="1" t="str">
        <f>IF($D101="LEBL", IF(COUNTIF('Paises ECAC'!B:B, C101)&gt;0, "ECAC","NO ECAC"), "")</f>
        <v>ECAC</v>
      </c>
    </row>
    <row r="102" ht="14.25" customHeight="1">
      <c r="A102" s="1" t="s">
        <v>314</v>
      </c>
      <c r="B102" s="1" t="s">
        <v>30</v>
      </c>
      <c r="C102" s="1" t="s">
        <v>74</v>
      </c>
      <c r="D102" s="1" t="s">
        <v>21</v>
      </c>
      <c r="E102" s="1" t="s">
        <v>315</v>
      </c>
      <c r="F102" s="1">
        <v>370.0</v>
      </c>
      <c r="G102" s="5">
        <v>0.20208333333333334</v>
      </c>
      <c r="H102" s="1">
        <v>16.0</v>
      </c>
      <c r="I102" s="5">
        <v>0.2465277777777778</v>
      </c>
      <c r="J102" s="1" t="str">
        <f t="array" ref="J102">XLOOKUP(B102,cat!B:B,cat!C:C)</f>
        <v>D</v>
      </c>
      <c r="K102" s="1">
        <f t="array" ref="K102">XLOOKUP(B102,cat!B:B,cat!D:D)</f>
        <v>173</v>
      </c>
      <c r="L102" s="7">
        <f t="shared" si="1"/>
        <v>0.04444444444</v>
      </c>
      <c r="M102" s="7">
        <f t="shared" si="2"/>
        <v>0.020625</v>
      </c>
      <c r="P102" s="9"/>
      <c r="Q102" s="9">
        <f t="shared" si="3"/>
        <v>410.85</v>
      </c>
      <c r="R102" s="1" t="str">
        <f t="shared" si="4"/>
        <v>VLG</v>
      </c>
      <c r="S102" s="1" t="str">
        <f>IF($D102="LEBL", IF(COUNTIF('Paises ECAC'!B:B, C102)&gt;0, "ECAC","NO ECAC"), "")</f>
        <v>ECAC</v>
      </c>
    </row>
    <row r="103" ht="14.25" customHeight="1">
      <c r="A103" s="1" t="s">
        <v>316</v>
      </c>
      <c r="B103" s="1" t="s">
        <v>30</v>
      </c>
      <c r="C103" s="1" t="s">
        <v>21</v>
      </c>
      <c r="D103" s="1" t="s">
        <v>143</v>
      </c>
      <c r="E103" s="1" t="s">
        <v>103</v>
      </c>
      <c r="F103" s="1">
        <v>190.0</v>
      </c>
      <c r="G103" s="5">
        <v>0.24930555555555556</v>
      </c>
      <c r="H103" s="1">
        <v>9.0</v>
      </c>
      <c r="I103" s="5">
        <v>0.2708333333333333</v>
      </c>
      <c r="J103" s="1" t="str">
        <f t="array" ref="J103">XLOOKUP(B103,cat!B:B,cat!C:C)</f>
        <v>D</v>
      </c>
      <c r="K103" s="1">
        <f t="array" ref="K103">XLOOKUP(B103,cat!B:B,cat!D:D)</f>
        <v>173</v>
      </c>
      <c r="L103" s="7">
        <f t="shared" si="1"/>
        <v>0.02152777778</v>
      </c>
      <c r="M103" s="1" t="str">
        <f t="shared" si="2"/>
        <v/>
      </c>
      <c r="P103" s="9"/>
      <c r="Q103" s="9">
        <f t="shared" si="3"/>
        <v>0</v>
      </c>
      <c r="R103" s="1" t="str">
        <f t="shared" si="4"/>
        <v>VLG</v>
      </c>
      <c r="S103" s="1" t="str">
        <f>IF($D103="LEBL", IF(COUNTIF('Paises ECAC'!B:B, C103)&gt;0, "ECAC","NO ECAC"), "")</f>
        <v/>
      </c>
    </row>
    <row r="104" ht="14.25" customHeight="1">
      <c r="A104" s="1" t="s">
        <v>317</v>
      </c>
      <c r="B104" s="1" t="s">
        <v>30</v>
      </c>
      <c r="C104" s="1" t="s">
        <v>21</v>
      </c>
      <c r="D104" s="1" t="s">
        <v>53</v>
      </c>
      <c r="E104" s="1" t="s">
        <v>318</v>
      </c>
      <c r="F104" s="1">
        <v>380.0</v>
      </c>
      <c r="G104" s="5">
        <v>0.24722222222222223</v>
      </c>
      <c r="H104" s="1">
        <v>10.0</v>
      </c>
      <c r="I104" s="5">
        <v>0.3368055555555556</v>
      </c>
      <c r="J104" s="1" t="str">
        <f t="array" ref="J104">XLOOKUP(B104,cat!B:B,cat!C:C)</f>
        <v>D</v>
      </c>
      <c r="K104" s="1">
        <f t="array" ref="K104">XLOOKUP(B104,cat!B:B,cat!D:D)</f>
        <v>173</v>
      </c>
      <c r="L104" s="7">
        <f t="shared" si="1"/>
        <v>0.08958333333</v>
      </c>
      <c r="M104" s="1" t="str">
        <f t="shared" si="2"/>
        <v/>
      </c>
      <c r="P104" s="9"/>
      <c r="Q104" s="9">
        <f t="shared" si="3"/>
        <v>0</v>
      </c>
      <c r="R104" s="1" t="str">
        <f t="shared" si="4"/>
        <v>VLG</v>
      </c>
      <c r="S104" s="1" t="str">
        <f>IF($D104="LEBL", IF(COUNTIF('Paises ECAC'!B:B, C104)&gt;0, "ECAC","NO ECAC"), "")</f>
        <v/>
      </c>
    </row>
    <row r="105" ht="14.25" customHeight="1">
      <c r="A105" s="1" t="s">
        <v>319</v>
      </c>
      <c r="B105" s="1" t="s">
        <v>30</v>
      </c>
      <c r="C105" s="1" t="s">
        <v>192</v>
      </c>
      <c r="D105" s="1" t="s">
        <v>21</v>
      </c>
      <c r="E105" s="1" t="s">
        <v>320</v>
      </c>
      <c r="F105" s="1">
        <v>360.0</v>
      </c>
      <c r="G105" s="5">
        <v>0.19791666666666666</v>
      </c>
      <c r="H105" s="1">
        <v>15.0</v>
      </c>
      <c r="I105" s="5">
        <v>0.25</v>
      </c>
      <c r="J105" s="1" t="str">
        <f t="array" ref="J105">XLOOKUP(B105,cat!B:B,cat!C:C)</f>
        <v>D</v>
      </c>
      <c r="K105" s="1">
        <f t="array" ref="K105">XLOOKUP(B105,cat!B:B,cat!D:D)</f>
        <v>173</v>
      </c>
      <c r="L105" s="7">
        <f t="shared" si="1"/>
        <v>0.05208333333</v>
      </c>
      <c r="M105" s="7">
        <f t="shared" si="2"/>
        <v>0.02895833333</v>
      </c>
      <c r="P105" s="9"/>
      <c r="Q105" s="9">
        <f t="shared" si="3"/>
        <v>576.85</v>
      </c>
      <c r="R105" s="1" t="str">
        <f t="shared" si="4"/>
        <v>VLG</v>
      </c>
      <c r="S105" s="1" t="str">
        <f>IF($D105="LEBL", IF(COUNTIF('Paises ECAC'!B:B, C105)&gt;0, "ECAC","NO ECAC"), "")</f>
        <v>ECAC</v>
      </c>
    </row>
    <row r="106" ht="14.25" customHeight="1">
      <c r="A106" s="1" t="s">
        <v>321</v>
      </c>
      <c r="B106" s="1" t="s">
        <v>30</v>
      </c>
      <c r="C106" s="1" t="s">
        <v>322</v>
      </c>
      <c r="D106" s="1" t="s">
        <v>21</v>
      </c>
      <c r="E106" s="1" t="s">
        <v>323</v>
      </c>
      <c r="F106" s="1">
        <v>340.0</v>
      </c>
      <c r="G106" s="5">
        <v>0.20069444444444445</v>
      </c>
      <c r="H106" s="1">
        <v>10.0</v>
      </c>
      <c r="I106" s="5">
        <v>0.25</v>
      </c>
      <c r="J106" s="1" t="str">
        <f t="array" ref="J106">XLOOKUP(B106,cat!B:B,cat!C:C)</f>
        <v>D</v>
      </c>
      <c r="K106" s="1">
        <f t="array" ref="K106">XLOOKUP(B106,cat!B:B,cat!D:D)</f>
        <v>173</v>
      </c>
      <c r="L106" s="7">
        <f t="shared" si="1"/>
        <v>0.04930555556</v>
      </c>
      <c r="M106" s="7">
        <f t="shared" si="2"/>
        <v>0.02965277778</v>
      </c>
      <c r="P106" s="9"/>
      <c r="Q106" s="9">
        <f t="shared" si="3"/>
        <v>590.6833333</v>
      </c>
      <c r="R106" s="1" t="str">
        <f t="shared" si="4"/>
        <v>VLG</v>
      </c>
      <c r="S106" s="1" t="str">
        <f>IF($D106="LEBL", IF(COUNTIF('Paises ECAC'!B:B, C106)&gt;0, "ECAC","NO ECAC"), "")</f>
        <v>ECAC</v>
      </c>
    </row>
    <row r="107" ht="14.25" customHeight="1">
      <c r="A107" s="1" t="s">
        <v>324</v>
      </c>
      <c r="B107" s="1" t="s">
        <v>30</v>
      </c>
      <c r="C107" s="1" t="s">
        <v>21</v>
      </c>
      <c r="D107" s="1" t="s">
        <v>274</v>
      </c>
      <c r="E107" s="1" t="s">
        <v>325</v>
      </c>
      <c r="F107" s="1">
        <v>360.0</v>
      </c>
      <c r="G107" s="5">
        <v>0.2520833333333333</v>
      </c>
      <c r="H107" s="1">
        <v>13.0</v>
      </c>
      <c r="I107" s="5">
        <v>0.3298611111111111</v>
      </c>
      <c r="J107" s="1" t="str">
        <f t="array" ref="J107">XLOOKUP(B107,cat!B:B,cat!C:C)</f>
        <v>D</v>
      </c>
      <c r="K107" s="1">
        <f t="array" ref="K107">XLOOKUP(B107,cat!B:B,cat!D:D)</f>
        <v>173</v>
      </c>
      <c r="L107" s="7">
        <f t="shared" si="1"/>
        <v>0.07777777778</v>
      </c>
      <c r="M107" s="1" t="str">
        <f t="shared" si="2"/>
        <v/>
      </c>
      <c r="P107" s="9"/>
      <c r="Q107" s="9">
        <f t="shared" si="3"/>
        <v>0</v>
      </c>
      <c r="R107" s="1" t="str">
        <f t="shared" si="4"/>
        <v>BAW</v>
      </c>
      <c r="S107" s="1" t="str">
        <f>IF($D107="LEBL", IF(COUNTIF('Paises ECAC'!B:B, C107)&gt;0, "ECAC","NO ECAC"), "")</f>
        <v/>
      </c>
    </row>
    <row r="108" ht="14.25" customHeight="1">
      <c r="A108" s="1" t="s">
        <v>326</v>
      </c>
      <c r="B108" s="1" t="s">
        <v>30</v>
      </c>
      <c r="C108" s="1" t="s">
        <v>156</v>
      </c>
      <c r="D108" s="1" t="s">
        <v>21</v>
      </c>
      <c r="E108" s="1" t="s">
        <v>327</v>
      </c>
      <c r="F108" s="1">
        <v>180.0</v>
      </c>
      <c r="G108" s="5">
        <v>0.2375</v>
      </c>
      <c r="H108" s="1">
        <v>17.0</v>
      </c>
      <c r="I108" s="5">
        <v>0.25</v>
      </c>
      <c r="J108" s="1" t="str">
        <f t="array" ref="J108">XLOOKUP(B108,cat!B:B,cat!C:C)</f>
        <v>D</v>
      </c>
      <c r="K108" s="1">
        <f t="array" ref="K108">XLOOKUP(B108,cat!B:B,cat!D:D)</f>
        <v>173</v>
      </c>
      <c r="L108" s="7">
        <f t="shared" si="1"/>
        <v>0.0125</v>
      </c>
      <c r="M108" s="7">
        <f t="shared" si="2"/>
        <v>0.0006944444444</v>
      </c>
      <c r="P108" s="9"/>
      <c r="Q108" s="9">
        <f t="shared" si="3"/>
        <v>13.83333333</v>
      </c>
      <c r="R108" s="1" t="str">
        <f t="shared" si="4"/>
        <v>VLG</v>
      </c>
      <c r="S108" s="1" t="str">
        <f>IF($D108="LEBL", IF(COUNTIF('Paises ECAC'!B:B, C108)&gt;0, "ECAC","NO ECAC"), "")</f>
        <v>ECAC</v>
      </c>
    </row>
    <row r="109" ht="14.25" customHeight="1">
      <c r="A109" s="1" t="s">
        <v>328</v>
      </c>
      <c r="B109" s="1" t="s">
        <v>30</v>
      </c>
      <c r="C109" s="1" t="s">
        <v>21</v>
      </c>
      <c r="D109" s="1" t="s">
        <v>329</v>
      </c>
      <c r="E109" s="1" t="s">
        <v>330</v>
      </c>
      <c r="F109" s="1">
        <v>330.0</v>
      </c>
      <c r="G109" s="5">
        <v>0.23680555555555555</v>
      </c>
      <c r="H109" s="1">
        <v>16.0</v>
      </c>
      <c r="I109" s="5">
        <v>0.3020833333333333</v>
      </c>
      <c r="J109" s="1" t="str">
        <f t="array" ref="J109">XLOOKUP(B109,cat!B:B,cat!C:C)</f>
        <v>D</v>
      </c>
      <c r="K109" s="1">
        <f t="array" ref="K109">XLOOKUP(B109,cat!B:B,cat!D:D)</f>
        <v>173</v>
      </c>
      <c r="L109" s="7">
        <f t="shared" si="1"/>
        <v>0.06527777778</v>
      </c>
      <c r="M109" s="1" t="str">
        <f t="shared" si="2"/>
        <v/>
      </c>
      <c r="P109" s="9"/>
      <c r="Q109" s="9">
        <f t="shared" si="3"/>
        <v>0</v>
      </c>
      <c r="R109" s="1" t="str">
        <f t="shared" si="4"/>
        <v>VLG</v>
      </c>
      <c r="S109" s="1" t="str">
        <f>IF($D109="LEBL", IF(COUNTIF('Paises ECAC'!B:B, C109)&gt;0, "ECAC","NO ECAC"), "")</f>
        <v/>
      </c>
    </row>
    <row r="110" ht="14.25" customHeight="1">
      <c r="A110" s="1" t="s">
        <v>331</v>
      </c>
      <c r="B110" s="1" t="s">
        <v>30</v>
      </c>
      <c r="C110" s="1" t="s">
        <v>332</v>
      </c>
      <c r="D110" s="1" t="s">
        <v>21</v>
      </c>
      <c r="E110" s="1" t="s">
        <v>333</v>
      </c>
      <c r="F110" s="1">
        <v>360.0</v>
      </c>
      <c r="G110" s="5">
        <v>0.11458333333333333</v>
      </c>
      <c r="H110" s="1">
        <v>15.0</v>
      </c>
      <c r="I110" s="5">
        <v>0.25</v>
      </c>
      <c r="J110" s="1" t="str">
        <f t="array" ref="J110">XLOOKUP(B110,cat!B:B,cat!C:C)</f>
        <v>D</v>
      </c>
      <c r="K110" s="1">
        <f t="array" ref="K110">XLOOKUP(B110,cat!B:B,cat!D:D)</f>
        <v>173</v>
      </c>
      <c r="L110" s="7">
        <f t="shared" si="1"/>
        <v>0.1354166667</v>
      </c>
      <c r="M110" s="7">
        <f t="shared" si="2"/>
        <v>0.1122916667</v>
      </c>
      <c r="P110" s="9"/>
      <c r="Q110" s="9">
        <f t="shared" si="3"/>
        <v>2236.85</v>
      </c>
      <c r="R110" s="1" t="str">
        <f t="shared" si="4"/>
        <v>FIA</v>
      </c>
      <c r="S110" s="1" t="str">
        <f>IF($D110="LEBL", IF(COUNTIF('Paises ECAC'!B:B, C110)&gt;0, "ECAC","NO ECAC"), "")</f>
        <v>ECAC</v>
      </c>
    </row>
    <row r="111" ht="14.25" customHeight="1">
      <c r="A111" s="1" t="s">
        <v>334</v>
      </c>
      <c r="B111" s="1" t="s">
        <v>136</v>
      </c>
      <c r="C111" s="1" t="s">
        <v>21</v>
      </c>
      <c r="D111" s="1" t="s">
        <v>335</v>
      </c>
      <c r="E111" s="1" t="s">
        <v>336</v>
      </c>
      <c r="F111" s="1">
        <v>360.0</v>
      </c>
      <c r="G111" s="5">
        <v>0.25416666666666665</v>
      </c>
      <c r="H111" s="1">
        <v>21.0</v>
      </c>
      <c r="I111" s="5">
        <v>0.3263888888888889</v>
      </c>
      <c r="J111" s="1" t="str">
        <f t="array" ref="J111">XLOOKUP(B111,cat!B:B,cat!C:C)</f>
        <v>D</v>
      </c>
      <c r="K111" s="1">
        <f t="array" ref="K111">XLOOKUP(B111,cat!B:B,cat!D:D)</f>
        <v>144</v>
      </c>
      <c r="L111" s="7">
        <f t="shared" si="1"/>
        <v>0.07222222222</v>
      </c>
      <c r="M111" s="1" t="str">
        <f t="shared" si="2"/>
        <v/>
      </c>
      <c r="P111" s="9"/>
      <c r="Q111" s="9">
        <f t="shared" si="3"/>
        <v>0</v>
      </c>
      <c r="R111" s="1" t="str">
        <f t="shared" si="4"/>
        <v>EJU</v>
      </c>
      <c r="S111" s="1" t="str">
        <f>IF($D111="LEBL", IF(COUNTIF('Paises ECAC'!B:B, C111)&gt;0, "ECAC","NO ECAC"), "")</f>
        <v/>
      </c>
    </row>
    <row r="112" ht="14.25" customHeight="1">
      <c r="A112" s="1" t="s">
        <v>337</v>
      </c>
      <c r="B112" s="1" t="s">
        <v>40</v>
      </c>
      <c r="C112" s="1" t="s">
        <v>338</v>
      </c>
      <c r="D112" s="1" t="s">
        <v>21</v>
      </c>
      <c r="E112" s="1" t="s">
        <v>339</v>
      </c>
      <c r="F112" s="1">
        <v>380.0</v>
      </c>
      <c r="G112" s="5">
        <v>0.12152777777777778</v>
      </c>
      <c r="H112" s="1">
        <v>10.0</v>
      </c>
      <c r="I112" s="5">
        <v>0.2534722222222222</v>
      </c>
      <c r="J112" s="1" t="str">
        <f t="array" ref="J112">XLOOKUP(B112,cat!B:B,cat!C:C)</f>
        <v>D</v>
      </c>
      <c r="K112" s="1">
        <f t="array" ref="K112">XLOOKUP(B112,cat!B:B,cat!D:D)</f>
        <v>186</v>
      </c>
      <c r="L112" s="7">
        <f t="shared" si="1"/>
        <v>0.1319444444</v>
      </c>
      <c r="M112" s="7">
        <f t="shared" si="2"/>
        <v>0.1122916667</v>
      </c>
      <c r="P112" s="9"/>
      <c r="Q112" s="9">
        <f t="shared" si="3"/>
        <v>2236.85</v>
      </c>
      <c r="R112" s="1" t="str">
        <f t="shared" si="4"/>
        <v>RYR</v>
      </c>
      <c r="S112" s="1" t="str">
        <f>IF($D112="LEBL", IF(COUNTIF('Paises ECAC'!B:B, C112)&gt;0, "ECAC","NO ECAC"), "")</f>
        <v>ECAC</v>
      </c>
    </row>
    <row r="113" ht="14.25" customHeight="1">
      <c r="A113" s="1" t="s">
        <v>340</v>
      </c>
      <c r="B113" s="1" t="s">
        <v>25</v>
      </c>
      <c r="C113" s="1" t="s">
        <v>287</v>
      </c>
      <c r="D113" s="1" t="s">
        <v>21</v>
      </c>
      <c r="E113" s="1" t="s">
        <v>341</v>
      </c>
      <c r="F113" s="1">
        <v>370.0</v>
      </c>
      <c r="G113" s="5">
        <v>0.19027777777777777</v>
      </c>
      <c r="H113" s="1">
        <v>12.0</v>
      </c>
      <c r="I113" s="5">
        <v>0.2534722222222222</v>
      </c>
      <c r="J113" s="1" t="str">
        <f t="array" ref="J113">XLOOKUP(B113,cat!B:B,cat!C:C)</f>
        <v>D</v>
      </c>
      <c r="K113" s="1">
        <f t="array" ref="K113">XLOOKUP(B113,cat!B:B,cat!D:D)</f>
        <v>180</v>
      </c>
      <c r="L113" s="7">
        <f t="shared" si="1"/>
        <v>0.06319444444</v>
      </c>
      <c r="M113" s="7">
        <f t="shared" si="2"/>
        <v>0.04215277778</v>
      </c>
      <c r="P113" s="9"/>
      <c r="Q113" s="9">
        <f t="shared" si="3"/>
        <v>839.6833333</v>
      </c>
      <c r="R113" s="1" t="str">
        <f t="shared" si="4"/>
        <v>LHX</v>
      </c>
      <c r="S113" s="1" t="str">
        <f>IF($D113="LEBL", IF(COUNTIF('Paises ECAC'!B:B, C113)&gt;0, "ECAC","NO ECAC"), "")</f>
        <v>ECAC</v>
      </c>
    </row>
    <row r="114" ht="14.25" customHeight="1">
      <c r="A114" s="1" t="s">
        <v>342</v>
      </c>
      <c r="B114" s="1" t="s">
        <v>19</v>
      </c>
      <c r="C114" s="1" t="s">
        <v>21</v>
      </c>
      <c r="D114" s="1" t="s">
        <v>343</v>
      </c>
      <c r="E114" s="1" t="s">
        <v>344</v>
      </c>
      <c r="F114" s="1">
        <v>390.0</v>
      </c>
      <c r="G114" s="5">
        <v>0.24722222222222223</v>
      </c>
      <c r="H114" s="1">
        <v>10.0</v>
      </c>
      <c r="I114" s="5">
        <v>0.3715277777777778</v>
      </c>
      <c r="J114" s="1" t="str">
        <f t="array" ref="J114">XLOOKUP(B114,cat!B:B,cat!C:C)</f>
        <v>D</v>
      </c>
      <c r="K114" s="1">
        <f t="array" ref="K114">XLOOKUP(B114,cat!B:B,cat!D:D)</f>
        <v>184</v>
      </c>
      <c r="L114" s="7">
        <f t="shared" si="1"/>
        <v>0.1243055556</v>
      </c>
      <c r="M114" s="1" t="str">
        <f t="shared" si="2"/>
        <v/>
      </c>
      <c r="P114" s="9"/>
      <c r="Q114" s="9">
        <f t="shared" si="3"/>
        <v>0</v>
      </c>
      <c r="R114" s="1" t="str">
        <f t="shared" si="4"/>
        <v>THY</v>
      </c>
      <c r="S114" s="1" t="str">
        <f>IF($D114="LEBL", IF(COUNTIF('Paises ECAC'!B:B, C114)&gt;0, "ECAC","NO ECAC"), "")</f>
        <v/>
      </c>
    </row>
    <row r="115" ht="14.25" customHeight="1">
      <c r="A115" s="1" t="s">
        <v>345</v>
      </c>
      <c r="B115" s="1" t="s">
        <v>19</v>
      </c>
      <c r="C115" s="1" t="s">
        <v>322</v>
      </c>
      <c r="D115" s="1" t="s">
        <v>21</v>
      </c>
      <c r="E115" s="1" t="s">
        <v>346</v>
      </c>
      <c r="F115" s="1">
        <v>380.0</v>
      </c>
      <c r="G115" s="5">
        <v>0.19236111111111112</v>
      </c>
      <c r="H115" s="1">
        <v>10.0</v>
      </c>
      <c r="I115" s="5">
        <v>0.2534722222222222</v>
      </c>
      <c r="J115" s="1" t="str">
        <f t="array" ref="J115">XLOOKUP(B115,cat!B:B,cat!C:C)</f>
        <v>D</v>
      </c>
      <c r="K115" s="1">
        <f t="array" ref="K115">XLOOKUP(B115,cat!B:B,cat!D:D)</f>
        <v>184</v>
      </c>
      <c r="L115" s="7">
        <f t="shared" si="1"/>
        <v>0.06111111111</v>
      </c>
      <c r="M115" s="7">
        <f t="shared" si="2"/>
        <v>0.04145833333</v>
      </c>
      <c r="P115" s="9"/>
      <c r="Q115" s="9">
        <f t="shared" si="3"/>
        <v>825.85</v>
      </c>
      <c r="R115" s="1" t="str">
        <f t="shared" si="4"/>
        <v>RYR</v>
      </c>
      <c r="S115" s="1" t="str">
        <f>IF($D115="LEBL", IF(COUNTIF('Paises ECAC'!B:B, C115)&gt;0, "ECAC","NO ECAC"), "")</f>
        <v>ECAC</v>
      </c>
    </row>
    <row r="116" ht="14.25" customHeight="1">
      <c r="A116" s="1" t="s">
        <v>347</v>
      </c>
      <c r="B116" s="1" t="s">
        <v>35</v>
      </c>
      <c r="C116" s="1" t="s">
        <v>21</v>
      </c>
      <c r="D116" s="1" t="s">
        <v>287</v>
      </c>
      <c r="E116" s="1" t="s">
        <v>348</v>
      </c>
      <c r="F116" s="1">
        <v>360.0</v>
      </c>
      <c r="G116" s="5">
        <v>0.25</v>
      </c>
      <c r="H116" s="1">
        <v>10.0</v>
      </c>
      <c r="I116" s="5">
        <v>0.3263888888888889</v>
      </c>
      <c r="J116" s="1" t="str">
        <f t="array" ref="J116">XLOOKUP(B116,cat!B:B,cat!C:C)</f>
        <v>D</v>
      </c>
      <c r="K116" s="1">
        <f t="array" ref="K116">XLOOKUP(B116,cat!B:B,cat!D:D)</f>
        <v>207</v>
      </c>
      <c r="L116" s="7">
        <f t="shared" si="1"/>
        <v>0.07638888889</v>
      </c>
      <c r="M116" s="1" t="str">
        <f t="shared" si="2"/>
        <v/>
      </c>
      <c r="P116" s="9"/>
      <c r="Q116" s="9">
        <f t="shared" si="3"/>
        <v>0</v>
      </c>
      <c r="R116" s="1" t="str">
        <f t="shared" si="4"/>
        <v>DLH</v>
      </c>
      <c r="S116" s="1" t="str">
        <f>IF($D116="LEBL", IF(COUNTIF('Paises ECAC'!B:B, C116)&gt;0, "ECAC","NO ECAC"), "")</f>
        <v/>
      </c>
    </row>
    <row r="117" ht="14.25" customHeight="1">
      <c r="A117" s="1" t="s">
        <v>349</v>
      </c>
      <c r="B117" s="1" t="s">
        <v>19</v>
      </c>
      <c r="C117" s="1" t="s">
        <v>169</v>
      </c>
      <c r="D117" s="1" t="s">
        <v>21</v>
      </c>
      <c r="E117" s="1" t="s">
        <v>350</v>
      </c>
      <c r="F117" s="1">
        <v>390.0</v>
      </c>
      <c r="G117" s="5">
        <v>0.175</v>
      </c>
      <c r="H117" s="1">
        <v>15.0</v>
      </c>
      <c r="I117" s="5">
        <v>0.2534722222222222</v>
      </c>
      <c r="J117" s="1" t="str">
        <f t="array" ref="J117">XLOOKUP(B117,cat!B:B,cat!C:C)</f>
        <v>D</v>
      </c>
      <c r="K117" s="1">
        <f t="array" ref="K117">XLOOKUP(B117,cat!B:B,cat!D:D)</f>
        <v>184</v>
      </c>
      <c r="L117" s="7">
        <f t="shared" si="1"/>
        <v>0.07847222222</v>
      </c>
      <c r="M117" s="7">
        <f t="shared" si="2"/>
        <v>0.05534722222</v>
      </c>
      <c r="P117" s="9"/>
      <c r="Q117" s="9">
        <f t="shared" si="3"/>
        <v>1102.516667</v>
      </c>
      <c r="R117" s="1" t="str">
        <f t="shared" si="4"/>
        <v>TRA</v>
      </c>
      <c r="S117" s="1" t="str">
        <f>IF($D117="LEBL", IF(COUNTIF('Paises ECAC'!B:B, C117)&gt;0, "ECAC","NO ECAC"), "")</f>
        <v>ECAC</v>
      </c>
    </row>
    <row r="118" ht="14.25" customHeight="1">
      <c r="A118" s="1" t="s">
        <v>351</v>
      </c>
      <c r="B118" s="1" t="s">
        <v>122</v>
      </c>
      <c r="C118" s="1" t="s">
        <v>352</v>
      </c>
      <c r="D118" s="1" t="s">
        <v>21</v>
      </c>
      <c r="E118" s="1" t="s">
        <v>353</v>
      </c>
      <c r="F118" s="1">
        <v>400.0</v>
      </c>
      <c r="G118" s="5">
        <v>0.6909722222222222</v>
      </c>
      <c r="H118" s="1">
        <v>10.0</v>
      </c>
      <c r="I118" s="5">
        <v>0.2534722222222222</v>
      </c>
      <c r="J118" s="1" t="str">
        <f t="array" ref="J118">XLOOKUP(B118,cat!B:B,cat!C:C)</f>
        <v>B</v>
      </c>
      <c r="K118" s="1">
        <f t="array" ref="K118">XLOOKUP(B118,cat!B:B,cat!D:D)</f>
        <v>297</v>
      </c>
      <c r="L118" s="7">
        <f t="shared" si="1"/>
        <v>0.5625</v>
      </c>
      <c r="M118" s="7">
        <f t="shared" si="2"/>
        <v>0.5428472222</v>
      </c>
      <c r="P118" s="9"/>
      <c r="Q118" s="9">
        <f t="shared" si="3"/>
        <v>11725.5</v>
      </c>
      <c r="R118" s="1" t="str">
        <f t="shared" si="4"/>
        <v>CPA</v>
      </c>
      <c r="S118" s="1" t="str">
        <f>IF($D118="LEBL", IF(COUNTIF('Paises ECAC'!B:B, C118)&gt;0, "ECAC","NO ECAC"), "")</f>
        <v>NO ECAC</v>
      </c>
    </row>
    <row r="119" ht="14.25" customHeight="1">
      <c r="A119" s="1" t="s">
        <v>354</v>
      </c>
      <c r="B119" s="1" t="s">
        <v>30</v>
      </c>
      <c r="C119" s="1" t="s">
        <v>21</v>
      </c>
      <c r="D119" s="1" t="s">
        <v>355</v>
      </c>
      <c r="E119" s="1" t="s">
        <v>356</v>
      </c>
      <c r="F119" s="1">
        <v>390.0</v>
      </c>
      <c r="G119" s="5">
        <v>0.25625</v>
      </c>
      <c r="H119" s="1">
        <v>9.0</v>
      </c>
      <c r="I119" s="5">
        <v>0.3368055555555556</v>
      </c>
      <c r="J119" s="1" t="str">
        <f t="array" ref="J119">XLOOKUP(B119,cat!B:B,cat!C:C)</f>
        <v>D</v>
      </c>
      <c r="K119" s="1">
        <f t="array" ref="K119">XLOOKUP(B119,cat!B:B,cat!D:D)</f>
        <v>173</v>
      </c>
      <c r="L119" s="7">
        <f t="shared" si="1"/>
        <v>0.08055555556</v>
      </c>
      <c r="M119" s="1" t="str">
        <f t="shared" si="2"/>
        <v/>
      </c>
      <c r="P119" s="9"/>
      <c r="Q119" s="9">
        <f t="shared" si="3"/>
        <v>0</v>
      </c>
      <c r="R119" s="1" t="str">
        <f t="shared" si="4"/>
        <v>VLG</v>
      </c>
      <c r="S119" s="1" t="str">
        <f>IF($D119="LEBL", IF(COUNTIF('Paises ECAC'!B:B, C119)&gt;0, "ECAC","NO ECAC"), "")</f>
        <v/>
      </c>
    </row>
    <row r="120" ht="14.25" customHeight="1">
      <c r="A120" s="1" t="s">
        <v>357</v>
      </c>
      <c r="B120" s="1" t="s">
        <v>19</v>
      </c>
      <c r="C120" s="1" t="s">
        <v>156</v>
      </c>
      <c r="D120" s="1" t="s">
        <v>21</v>
      </c>
      <c r="E120" s="1" t="s">
        <v>358</v>
      </c>
      <c r="F120" s="1">
        <v>180.0</v>
      </c>
      <c r="G120" s="5">
        <v>0.24027777777777778</v>
      </c>
      <c r="H120" s="1">
        <v>16.0</v>
      </c>
      <c r="I120" s="5">
        <v>0.2569444444444444</v>
      </c>
      <c r="J120" s="1" t="str">
        <f t="array" ref="J120">XLOOKUP(B120,cat!B:B,cat!C:C)</f>
        <v>D</v>
      </c>
      <c r="K120" s="1">
        <f t="array" ref="K120">XLOOKUP(B120,cat!B:B,cat!D:D)</f>
        <v>184</v>
      </c>
      <c r="L120" s="7">
        <f t="shared" si="1"/>
        <v>0.01666666667</v>
      </c>
      <c r="M120" s="7">
        <f t="shared" si="2"/>
        <v>0.005555555556</v>
      </c>
      <c r="P120" s="9"/>
      <c r="Q120" s="9">
        <f t="shared" si="3"/>
        <v>110.6666667</v>
      </c>
      <c r="R120" s="1" t="str">
        <f t="shared" si="4"/>
        <v>RYR</v>
      </c>
      <c r="S120" s="1" t="str">
        <f>IF($D120="LEBL", IF(COUNTIF('Paises ECAC'!B:B, C120)&gt;0, "ECAC","NO ECAC"), "")</f>
        <v>ECAC</v>
      </c>
    </row>
    <row r="121" ht="14.25" customHeight="1">
      <c r="A121" s="1" t="s">
        <v>359</v>
      </c>
      <c r="B121" s="1" t="s">
        <v>19</v>
      </c>
      <c r="C121" s="1" t="s">
        <v>21</v>
      </c>
      <c r="D121" s="1" t="s">
        <v>20</v>
      </c>
      <c r="E121" s="1" t="s">
        <v>360</v>
      </c>
      <c r="F121" s="1">
        <v>330.0</v>
      </c>
      <c r="G121" s="5">
        <v>0.25555555555555554</v>
      </c>
      <c r="H121" s="1">
        <v>0.0</v>
      </c>
      <c r="I121" s="5">
        <v>0.3159722222222222</v>
      </c>
      <c r="J121" s="1" t="str">
        <f t="array" ref="J121">XLOOKUP(B121,cat!B:B,cat!C:C)</f>
        <v>D</v>
      </c>
      <c r="K121" s="1">
        <f t="array" ref="K121">XLOOKUP(B121,cat!B:B,cat!D:D)</f>
        <v>184</v>
      </c>
      <c r="L121" s="7">
        <f t="shared" si="1"/>
        <v>0.06041666667</v>
      </c>
      <c r="M121" s="1" t="str">
        <f t="shared" si="2"/>
        <v/>
      </c>
      <c r="P121" s="9"/>
      <c r="Q121" s="9">
        <f t="shared" si="3"/>
        <v>0</v>
      </c>
      <c r="R121" s="1" t="str">
        <f t="shared" si="4"/>
        <v>RYR</v>
      </c>
      <c r="S121" s="1" t="str">
        <f>IF($D121="LEBL", IF(COUNTIF('Paises ECAC'!B:B, C121)&gt;0, "ECAC","NO ECAC"), "")</f>
        <v/>
      </c>
    </row>
    <row r="122" ht="14.25" customHeight="1">
      <c r="A122" s="1" t="s">
        <v>361</v>
      </c>
      <c r="B122" s="1" t="s">
        <v>25</v>
      </c>
      <c r="C122" s="1" t="s">
        <v>21</v>
      </c>
      <c r="D122" s="1" t="s">
        <v>245</v>
      </c>
      <c r="E122" s="1" t="s">
        <v>362</v>
      </c>
      <c r="F122" s="1">
        <v>190.0</v>
      </c>
      <c r="G122" s="5">
        <v>0.2534722222222222</v>
      </c>
      <c r="H122" s="1">
        <v>9.0</v>
      </c>
      <c r="I122" s="5">
        <v>0.2847222222222222</v>
      </c>
      <c r="J122" s="1" t="str">
        <f t="array" ref="J122">XLOOKUP(B122,cat!B:B,cat!C:C)</f>
        <v>D</v>
      </c>
      <c r="K122" s="1">
        <f t="array" ref="K122">XLOOKUP(B122,cat!B:B,cat!D:D)</f>
        <v>180</v>
      </c>
      <c r="L122" s="7">
        <f t="shared" si="1"/>
        <v>0.03125</v>
      </c>
      <c r="M122" s="1" t="str">
        <f t="shared" si="2"/>
        <v/>
      </c>
      <c r="P122" s="9"/>
      <c r="Q122" s="9">
        <f t="shared" si="3"/>
        <v>0</v>
      </c>
      <c r="R122" s="1" t="str">
        <f t="shared" si="4"/>
        <v>VLG</v>
      </c>
      <c r="S122" s="1" t="str">
        <f>IF($D122="LEBL", IF(COUNTIF('Paises ECAC'!B:B, C122)&gt;0, "ECAC","NO ECAC"), "")</f>
        <v/>
      </c>
    </row>
    <row r="123" ht="14.25" customHeight="1">
      <c r="A123" s="1" t="s">
        <v>363</v>
      </c>
      <c r="B123" s="1" t="s">
        <v>30</v>
      </c>
      <c r="C123" s="1" t="s">
        <v>53</v>
      </c>
      <c r="D123" s="1" t="s">
        <v>21</v>
      </c>
      <c r="E123" s="1" t="s">
        <v>364</v>
      </c>
      <c r="F123" s="1">
        <v>370.0</v>
      </c>
      <c r="G123" s="5">
        <v>0.18333333333333332</v>
      </c>
      <c r="H123" s="1">
        <v>16.0</v>
      </c>
      <c r="I123" s="5">
        <v>0.2569444444444444</v>
      </c>
      <c r="J123" s="1" t="str">
        <f t="array" ref="J123">XLOOKUP(B123,cat!B:B,cat!C:C)</f>
        <v>D</v>
      </c>
      <c r="K123" s="1">
        <f t="array" ref="K123">XLOOKUP(B123,cat!B:B,cat!D:D)</f>
        <v>173</v>
      </c>
      <c r="L123" s="7">
        <f t="shared" si="1"/>
        <v>0.07361111111</v>
      </c>
      <c r="M123" s="7">
        <f t="shared" si="2"/>
        <v>0.04979166667</v>
      </c>
      <c r="P123" s="9"/>
      <c r="Q123" s="9">
        <f t="shared" si="3"/>
        <v>991.85</v>
      </c>
      <c r="R123" s="1" t="str">
        <f t="shared" si="4"/>
        <v>EWG</v>
      </c>
      <c r="S123" s="1" t="str">
        <f>IF($D123="LEBL", IF(COUNTIF('Paises ECAC'!B:B, C123)&gt;0, "ECAC","NO ECAC"), "")</f>
        <v>ECAC</v>
      </c>
    </row>
    <row r="124" ht="14.25" customHeight="1">
      <c r="A124" s="1" t="s">
        <v>365</v>
      </c>
      <c r="B124" s="1" t="s">
        <v>366</v>
      </c>
      <c r="C124" s="1" t="s">
        <v>133</v>
      </c>
      <c r="D124" s="1" t="s">
        <v>21</v>
      </c>
      <c r="E124" s="1" t="s">
        <v>367</v>
      </c>
      <c r="F124" s="1">
        <v>370.0</v>
      </c>
      <c r="G124" s="5">
        <v>0.9166666666666666</v>
      </c>
      <c r="H124" s="1">
        <v>30.0</v>
      </c>
      <c r="I124" s="5">
        <v>0.2569444444444444</v>
      </c>
      <c r="J124" s="1" t="str">
        <f t="array" ref="J124">XLOOKUP(B124,cat!B:B,cat!C:C)</f>
        <v>C</v>
      </c>
      <c r="K124" s="1">
        <f t="array" ref="K124">XLOOKUP(B124,cat!B:B,cat!D:D)</f>
        <v>245</v>
      </c>
      <c r="L124" s="7">
        <f t="shared" si="1"/>
        <v>0.3402777778</v>
      </c>
      <c r="M124" s="7">
        <f t="shared" si="2"/>
        <v>0.3067361111</v>
      </c>
      <c r="P124" s="9"/>
      <c r="Q124" s="9">
        <f t="shared" si="3"/>
        <v>6404.65</v>
      </c>
      <c r="R124" s="1" t="str">
        <f t="shared" si="4"/>
        <v>DAL</v>
      </c>
      <c r="S124" s="1" t="str">
        <f>IF($D124="LEBL", IF(COUNTIF('Paises ECAC'!B:B, C124)&gt;0, "ECAC","NO ECAC"), "")</f>
        <v>NO ECAC</v>
      </c>
    </row>
    <row r="125" ht="14.25" customHeight="1">
      <c r="A125" s="1" t="s">
        <v>368</v>
      </c>
      <c r="B125" s="1" t="s">
        <v>136</v>
      </c>
      <c r="C125" s="1" t="s">
        <v>21</v>
      </c>
      <c r="D125" s="1" t="s">
        <v>369</v>
      </c>
      <c r="E125" s="1" t="s">
        <v>370</v>
      </c>
      <c r="F125" s="1">
        <v>340.0</v>
      </c>
      <c r="G125" s="5">
        <v>0.2611111111111111</v>
      </c>
      <c r="H125" s="1">
        <v>16.0</v>
      </c>
      <c r="I125" s="5">
        <v>0.3090277777777778</v>
      </c>
      <c r="J125" s="1" t="str">
        <f t="array" ref="J125">XLOOKUP(B125,cat!B:B,cat!C:C)</f>
        <v>D</v>
      </c>
      <c r="K125" s="1">
        <f t="array" ref="K125">XLOOKUP(B125,cat!B:B,cat!D:D)</f>
        <v>144</v>
      </c>
      <c r="L125" s="7">
        <f t="shared" si="1"/>
        <v>0.04791666667</v>
      </c>
      <c r="M125" s="1" t="str">
        <f t="shared" si="2"/>
        <v/>
      </c>
      <c r="P125" s="9"/>
      <c r="Q125" s="9">
        <f t="shared" si="3"/>
        <v>0</v>
      </c>
      <c r="R125" s="1" t="str">
        <f t="shared" si="4"/>
        <v>VLG</v>
      </c>
      <c r="S125" s="1" t="str">
        <f>IF($D125="LEBL", IF(COUNTIF('Paises ECAC'!B:B, C125)&gt;0, "ECAC","NO ECAC"), "")</f>
        <v/>
      </c>
    </row>
    <row r="126" ht="14.25" customHeight="1">
      <c r="A126" s="1" t="s">
        <v>371</v>
      </c>
      <c r="B126" s="1" t="s">
        <v>19</v>
      </c>
      <c r="C126" s="1" t="s">
        <v>21</v>
      </c>
      <c r="D126" s="1" t="s">
        <v>240</v>
      </c>
      <c r="E126" s="1" t="s">
        <v>372</v>
      </c>
      <c r="F126" s="1">
        <v>380.0</v>
      </c>
      <c r="G126" s="5">
        <v>0.26458333333333334</v>
      </c>
      <c r="H126" s="1">
        <v>20.0</v>
      </c>
      <c r="I126" s="5">
        <v>0.3888888888888889</v>
      </c>
      <c r="J126" s="1" t="str">
        <f t="array" ref="J126">XLOOKUP(B126,cat!B:B,cat!C:C)</f>
        <v>D</v>
      </c>
      <c r="K126" s="1">
        <f t="array" ref="K126">XLOOKUP(B126,cat!B:B,cat!D:D)</f>
        <v>184</v>
      </c>
      <c r="L126" s="7">
        <f t="shared" si="1"/>
        <v>0.1243055556</v>
      </c>
      <c r="M126" s="1" t="str">
        <f t="shared" si="2"/>
        <v/>
      </c>
      <c r="P126" s="9"/>
      <c r="Q126" s="9">
        <f t="shared" si="3"/>
        <v>0</v>
      </c>
      <c r="R126" s="1" t="str">
        <f t="shared" si="4"/>
        <v>NSZ</v>
      </c>
      <c r="S126" s="1" t="str">
        <f>IF($D126="LEBL", IF(COUNTIF('Paises ECAC'!B:B, C126)&gt;0, "ECAC","NO ECAC"), "")</f>
        <v/>
      </c>
    </row>
    <row r="127" ht="14.25" customHeight="1">
      <c r="A127" s="1" t="s">
        <v>373</v>
      </c>
      <c r="B127" s="1" t="s">
        <v>19</v>
      </c>
      <c r="C127" s="1" t="s">
        <v>374</v>
      </c>
      <c r="D127" s="1" t="s">
        <v>21</v>
      </c>
      <c r="E127" s="1" t="s">
        <v>375</v>
      </c>
      <c r="F127" s="1">
        <v>370.0</v>
      </c>
      <c r="G127" s="5">
        <v>0.1736111111111111</v>
      </c>
      <c r="H127" s="1">
        <v>10.0</v>
      </c>
      <c r="I127" s="5">
        <v>0.2604166666666667</v>
      </c>
      <c r="J127" s="1" t="str">
        <f t="array" ref="J127">XLOOKUP(B127,cat!B:B,cat!C:C)</f>
        <v>D</v>
      </c>
      <c r="K127" s="1">
        <f t="array" ref="K127">XLOOKUP(B127,cat!B:B,cat!D:D)</f>
        <v>184</v>
      </c>
      <c r="L127" s="7">
        <f t="shared" si="1"/>
        <v>0.08680555556</v>
      </c>
      <c r="M127" s="7">
        <f t="shared" si="2"/>
        <v>0.06715277778</v>
      </c>
      <c r="P127" s="9"/>
      <c r="Q127" s="9">
        <f t="shared" si="3"/>
        <v>1337.683333</v>
      </c>
      <c r="R127" s="1" t="str">
        <f t="shared" si="4"/>
        <v>RYR</v>
      </c>
      <c r="S127" s="1" t="str">
        <f>IF($D127="LEBL", IF(COUNTIF('Paises ECAC'!B:B, C127)&gt;0, "ECAC","NO ECAC"), "")</f>
        <v>ECAC</v>
      </c>
    </row>
    <row r="128" ht="14.25" customHeight="1">
      <c r="A128" s="1" t="s">
        <v>376</v>
      </c>
      <c r="B128" s="1" t="s">
        <v>212</v>
      </c>
      <c r="C128" s="1" t="s">
        <v>377</v>
      </c>
      <c r="D128" s="1" t="s">
        <v>21</v>
      </c>
      <c r="E128" s="1" t="s">
        <v>378</v>
      </c>
      <c r="F128" s="1">
        <v>350.0</v>
      </c>
      <c r="G128" s="5">
        <v>0.18680555555555556</v>
      </c>
      <c r="H128" s="1">
        <v>15.0</v>
      </c>
      <c r="I128" s="5">
        <v>0.2604166666666667</v>
      </c>
      <c r="J128" s="1" t="str">
        <f t="array" ref="J128">XLOOKUP(B128,cat!B:B,cat!C:C)</f>
        <v>D</v>
      </c>
      <c r="K128" s="1">
        <f t="array" ref="K128">XLOOKUP(B128,cat!B:B,cat!D:D)</f>
        <v>200</v>
      </c>
      <c r="L128" s="7">
        <f t="shared" si="1"/>
        <v>0.07361111111</v>
      </c>
      <c r="M128" s="7">
        <f t="shared" si="2"/>
        <v>0.05048611111</v>
      </c>
      <c r="P128" s="9"/>
      <c r="Q128" s="9">
        <f t="shared" si="3"/>
        <v>1005.683333</v>
      </c>
      <c r="R128" s="1" t="str">
        <f t="shared" si="4"/>
        <v>WMT</v>
      </c>
      <c r="S128" s="1" t="str">
        <f>IF($D128="LEBL", IF(COUNTIF('Paises ECAC'!B:B, C128)&gt;0, "ECAC","NO ECAC"), "")</f>
        <v>ECAC</v>
      </c>
    </row>
    <row r="129" ht="14.25" customHeight="1">
      <c r="A129" s="1" t="s">
        <v>379</v>
      </c>
      <c r="B129" s="1" t="s">
        <v>19</v>
      </c>
      <c r="C129" s="1" t="s">
        <v>21</v>
      </c>
      <c r="D129" s="1" t="s">
        <v>380</v>
      </c>
      <c r="E129" s="1" t="s">
        <v>381</v>
      </c>
      <c r="F129" s="1">
        <v>390.0</v>
      </c>
      <c r="G129" s="5">
        <v>0.2659722222222222</v>
      </c>
      <c r="H129" s="1">
        <v>20.0</v>
      </c>
      <c r="I129" s="5">
        <v>0.3854166666666667</v>
      </c>
      <c r="J129" s="1" t="str">
        <f t="array" ref="J129">XLOOKUP(B129,cat!B:B,cat!C:C)</f>
        <v>D</v>
      </c>
      <c r="K129" s="1">
        <f t="array" ref="K129">XLOOKUP(B129,cat!B:B,cat!D:D)</f>
        <v>184</v>
      </c>
      <c r="L129" s="7">
        <f t="shared" si="1"/>
        <v>0.1194444444</v>
      </c>
      <c r="M129" s="1" t="str">
        <f t="shared" si="2"/>
        <v/>
      </c>
      <c r="P129" s="9"/>
      <c r="Q129" s="9">
        <f t="shared" si="3"/>
        <v>0</v>
      </c>
      <c r="R129" s="1" t="str">
        <f t="shared" si="4"/>
        <v>NSZ</v>
      </c>
      <c r="S129" s="1" t="str">
        <f>IF($D129="LEBL", IF(COUNTIF('Paises ECAC'!B:B, C129)&gt;0, "ECAC","NO ECAC"), "")</f>
        <v/>
      </c>
    </row>
    <row r="130" ht="14.25" customHeight="1">
      <c r="A130" s="1" t="s">
        <v>382</v>
      </c>
      <c r="B130" s="1" t="s">
        <v>19</v>
      </c>
      <c r="C130" s="1" t="s">
        <v>143</v>
      </c>
      <c r="D130" s="1" t="s">
        <v>21</v>
      </c>
      <c r="E130" s="1" t="s">
        <v>144</v>
      </c>
      <c r="F130" s="1">
        <v>180.0</v>
      </c>
      <c r="G130" s="5">
        <v>0.2465277777777778</v>
      </c>
      <c r="H130" s="1">
        <v>10.0</v>
      </c>
      <c r="I130" s="5">
        <v>0.2638888888888889</v>
      </c>
      <c r="J130" s="1" t="str">
        <f t="array" ref="J130">XLOOKUP(B130,cat!B:B,cat!C:C)</f>
        <v>D</v>
      </c>
      <c r="K130" s="1">
        <f t="array" ref="K130">XLOOKUP(B130,cat!B:B,cat!D:D)</f>
        <v>184</v>
      </c>
      <c r="L130" s="7">
        <f t="shared" si="1"/>
        <v>0.01736111111</v>
      </c>
      <c r="M130" s="7">
        <f t="shared" si="2"/>
        <v>0.01041666667</v>
      </c>
      <c r="P130" s="9"/>
      <c r="Q130" s="9">
        <f t="shared" si="3"/>
        <v>207.5</v>
      </c>
      <c r="R130" s="1" t="str">
        <f t="shared" si="4"/>
        <v>RYR</v>
      </c>
      <c r="S130" s="1" t="str">
        <f>IF($D130="LEBL", IF(COUNTIF('Paises ECAC'!B:B, C130)&gt;0, "ECAC","NO ECAC"), "")</f>
        <v>ECAC</v>
      </c>
    </row>
    <row r="131" ht="14.25" customHeight="1">
      <c r="A131" s="1" t="s">
        <v>383</v>
      </c>
      <c r="B131" s="1" t="s">
        <v>182</v>
      </c>
      <c r="C131" s="1" t="s">
        <v>384</v>
      </c>
      <c r="D131" s="1" t="s">
        <v>21</v>
      </c>
      <c r="E131" s="1" t="s">
        <v>385</v>
      </c>
      <c r="F131" s="1">
        <v>400.0</v>
      </c>
      <c r="G131" s="5">
        <v>0.9513888888888888</v>
      </c>
      <c r="H131" s="1">
        <v>20.0</v>
      </c>
      <c r="I131" s="5">
        <v>0.2673611111111111</v>
      </c>
      <c r="J131" s="1" t="str">
        <f t="array" ref="J131">XLOOKUP(B131,cat!B:B,cat!C:C)</f>
        <v>B</v>
      </c>
      <c r="K131" s="1">
        <f t="array" ref="K131">XLOOKUP(B131,cat!B:B,cat!D:D)</f>
        <v>284</v>
      </c>
      <c r="L131" s="7">
        <f t="shared" si="1"/>
        <v>0.3159722222</v>
      </c>
      <c r="M131" s="7">
        <f t="shared" si="2"/>
        <v>0.289375</v>
      </c>
      <c r="P131" s="9"/>
      <c r="Q131" s="9">
        <f t="shared" si="3"/>
        <v>6250.5</v>
      </c>
      <c r="R131" s="1" t="str">
        <f t="shared" si="4"/>
        <v>UAL</v>
      </c>
      <c r="S131" s="1" t="str">
        <f>IF($D131="LEBL", IF(COUNTIF('Paises ECAC'!B:B, C131)&gt;0, "ECAC","NO ECAC"), "")</f>
        <v>NO ECAC</v>
      </c>
    </row>
    <row r="132" ht="14.25" customHeight="1">
      <c r="A132" s="1" t="s">
        <v>386</v>
      </c>
      <c r="B132" s="1" t="s">
        <v>19</v>
      </c>
      <c r="C132" s="1" t="s">
        <v>21</v>
      </c>
      <c r="D132" s="1" t="s">
        <v>192</v>
      </c>
      <c r="E132" s="1" t="s">
        <v>208</v>
      </c>
      <c r="F132" s="1">
        <v>370.0</v>
      </c>
      <c r="G132" s="5">
        <v>0.2708333333333333</v>
      </c>
      <c r="H132" s="1">
        <v>20.0</v>
      </c>
      <c r="I132" s="5">
        <v>0.3125</v>
      </c>
      <c r="J132" s="1" t="str">
        <f t="array" ref="J132">XLOOKUP(B132,cat!B:B,cat!C:C)</f>
        <v>D</v>
      </c>
      <c r="K132" s="1">
        <f t="array" ref="K132">XLOOKUP(B132,cat!B:B,cat!D:D)</f>
        <v>184</v>
      </c>
      <c r="L132" s="7">
        <f t="shared" si="1"/>
        <v>0.04166666667</v>
      </c>
      <c r="M132" s="1" t="str">
        <f t="shared" si="2"/>
        <v/>
      </c>
      <c r="P132" s="9"/>
      <c r="Q132" s="9">
        <f t="shared" si="3"/>
        <v>0</v>
      </c>
      <c r="R132" s="1" t="str">
        <f t="shared" si="4"/>
        <v>RYR</v>
      </c>
      <c r="S132" s="1" t="str">
        <f>IF($D132="LEBL", IF(COUNTIF('Paises ECAC'!B:B, C132)&gt;0, "ECAC","NO ECAC"), "")</f>
        <v/>
      </c>
    </row>
    <row r="133" ht="14.25" customHeight="1">
      <c r="A133" s="1" t="s">
        <v>387</v>
      </c>
      <c r="B133" s="1" t="s">
        <v>35</v>
      </c>
      <c r="C133" s="1" t="s">
        <v>234</v>
      </c>
      <c r="D133" s="1" t="s">
        <v>21</v>
      </c>
      <c r="E133" s="1" t="s">
        <v>388</v>
      </c>
      <c r="F133" s="1">
        <v>260.0</v>
      </c>
      <c r="G133" s="5">
        <v>0.2263888888888889</v>
      </c>
      <c r="H133" s="1">
        <v>16.0</v>
      </c>
      <c r="I133" s="5">
        <v>0.2673611111111111</v>
      </c>
      <c r="J133" s="1" t="str">
        <f t="array" ref="J133">XLOOKUP(B133,cat!B:B,cat!C:C)</f>
        <v>D</v>
      </c>
      <c r="K133" s="1">
        <f t="array" ref="K133">XLOOKUP(B133,cat!B:B,cat!D:D)</f>
        <v>207</v>
      </c>
      <c r="L133" s="7">
        <f t="shared" si="1"/>
        <v>0.04097222222</v>
      </c>
      <c r="M133" s="7">
        <f t="shared" si="2"/>
        <v>0.01715277778</v>
      </c>
      <c r="P133" s="9"/>
      <c r="Q133" s="9">
        <f t="shared" si="3"/>
        <v>341.6833333</v>
      </c>
      <c r="R133" s="1" t="str">
        <f t="shared" si="4"/>
        <v>IBE</v>
      </c>
      <c r="S133" s="1" t="str">
        <f>IF($D133="LEBL", IF(COUNTIF('Paises ECAC'!B:B, C133)&gt;0, "ECAC","NO ECAC"), "")</f>
        <v>ECAC</v>
      </c>
    </row>
    <row r="134" ht="14.25" customHeight="1">
      <c r="A134" s="1" t="s">
        <v>389</v>
      </c>
      <c r="B134" s="1" t="s">
        <v>19</v>
      </c>
      <c r="C134" s="1" t="s">
        <v>390</v>
      </c>
      <c r="D134" s="1" t="s">
        <v>21</v>
      </c>
      <c r="E134" s="1" t="s">
        <v>391</v>
      </c>
      <c r="F134" s="1">
        <v>370.0</v>
      </c>
      <c r="G134" s="5">
        <v>0.1326388888888889</v>
      </c>
      <c r="H134" s="1">
        <v>9.0</v>
      </c>
      <c r="I134" s="5">
        <v>0.2673611111111111</v>
      </c>
      <c r="J134" s="1" t="str">
        <f t="array" ref="J134">XLOOKUP(B134,cat!B:B,cat!C:C)</f>
        <v>D</v>
      </c>
      <c r="K134" s="1">
        <f t="array" ref="K134">XLOOKUP(B134,cat!B:B,cat!D:D)</f>
        <v>184</v>
      </c>
      <c r="L134" s="7">
        <f t="shared" si="1"/>
        <v>0.1347222222</v>
      </c>
      <c r="M134" s="7">
        <f t="shared" si="2"/>
        <v>0.1157638889</v>
      </c>
      <c r="P134" s="9"/>
      <c r="Q134" s="9">
        <f t="shared" si="3"/>
        <v>2306.016667</v>
      </c>
      <c r="R134" s="1" t="str">
        <f t="shared" si="4"/>
        <v>RYR</v>
      </c>
      <c r="S134" s="1" t="str">
        <f>IF($D134="LEBL", IF(COUNTIF('Paises ECAC'!B:B, C134)&gt;0, "ECAC","NO ECAC"), "")</f>
        <v>ECAC</v>
      </c>
    </row>
    <row r="135" ht="14.25" customHeight="1">
      <c r="A135" s="1" t="s">
        <v>392</v>
      </c>
      <c r="B135" s="1" t="s">
        <v>30</v>
      </c>
      <c r="C135" s="1" t="s">
        <v>218</v>
      </c>
      <c r="D135" s="1" t="s">
        <v>21</v>
      </c>
      <c r="E135" s="1" t="s">
        <v>393</v>
      </c>
      <c r="F135" s="1">
        <v>300.0</v>
      </c>
      <c r="G135" s="5">
        <v>0.23055555555555557</v>
      </c>
      <c r="H135" s="1">
        <v>7.0</v>
      </c>
      <c r="I135" s="5">
        <v>0.2673611111111111</v>
      </c>
      <c r="J135" s="1" t="str">
        <f t="array" ref="J135">XLOOKUP(B135,cat!B:B,cat!C:C)</f>
        <v>D</v>
      </c>
      <c r="K135" s="1">
        <f t="array" ref="K135">XLOOKUP(B135,cat!B:B,cat!D:D)</f>
        <v>173</v>
      </c>
      <c r="L135" s="7">
        <f t="shared" si="1"/>
        <v>0.03680555556</v>
      </c>
      <c r="M135" s="7">
        <f t="shared" si="2"/>
        <v>0.01923611111</v>
      </c>
      <c r="P135" s="9"/>
      <c r="Q135" s="9">
        <f t="shared" si="3"/>
        <v>383.1833333</v>
      </c>
      <c r="R135" s="1" t="str">
        <f t="shared" si="4"/>
        <v>VLG</v>
      </c>
      <c r="S135" s="1" t="str">
        <f>IF($D135="LEBL", IF(COUNTIF('Paises ECAC'!B:B, C135)&gt;0, "ECAC","NO ECAC"), "")</f>
        <v>ECAC</v>
      </c>
    </row>
    <row r="136" ht="14.25" customHeight="1">
      <c r="A136" s="1" t="s">
        <v>394</v>
      </c>
      <c r="B136" s="1" t="s">
        <v>212</v>
      </c>
      <c r="C136" s="1" t="s">
        <v>68</v>
      </c>
      <c r="D136" s="1" t="s">
        <v>21</v>
      </c>
      <c r="E136" s="1" t="s">
        <v>395</v>
      </c>
      <c r="F136" s="1">
        <v>370.0</v>
      </c>
      <c r="G136" s="5">
        <v>0.1673611111111111</v>
      </c>
      <c r="H136" s="1">
        <v>16.0</v>
      </c>
      <c r="I136" s="5">
        <v>0.2708333333333333</v>
      </c>
      <c r="J136" s="1" t="str">
        <f t="array" ref="J136">XLOOKUP(B136,cat!B:B,cat!C:C)</f>
        <v>D</v>
      </c>
      <c r="K136" s="1">
        <f t="array" ref="K136">XLOOKUP(B136,cat!B:B,cat!D:D)</f>
        <v>200</v>
      </c>
      <c r="L136" s="7">
        <f t="shared" si="1"/>
        <v>0.1034722222</v>
      </c>
      <c r="M136" s="7">
        <f t="shared" si="2"/>
        <v>0.07965277778</v>
      </c>
      <c r="P136" s="9"/>
      <c r="Q136" s="9">
        <f t="shared" si="3"/>
        <v>1586.683333</v>
      </c>
      <c r="R136" s="1" t="str">
        <f t="shared" si="4"/>
        <v>WZZ</v>
      </c>
      <c r="S136" s="1" t="str">
        <f>IF($D136="LEBL", IF(COUNTIF('Paises ECAC'!B:B, C136)&gt;0, "ECAC","NO ECAC"), "")</f>
        <v>ECAC</v>
      </c>
    </row>
    <row r="137" ht="14.25" customHeight="1">
      <c r="A137" s="1" t="s">
        <v>396</v>
      </c>
      <c r="B137" s="1" t="s">
        <v>40</v>
      </c>
      <c r="C137" s="1" t="s">
        <v>397</v>
      </c>
      <c r="D137" s="1" t="s">
        <v>21</v>
      </c>
      <c r="E137" s="1" t="s">
        <v>398</v>
      </c>
      <c r="F137" s="1">
        <v>350.0</v>
      </c>
      <c r="G137" s="5">
        <v>0.18263888888888888</v>
      </c>
      <c r="H137" s="1">
        <v>15.0</v>
      </c>
      <c r="I137" s="5">
        <v>0.2708333333333333</v>
      </c>
      <c r="J137" s="1" t="str">
        <f t="array" ref="J137">XLOOKUP(B137,cat!B:B,cat!C:C)</f>
        <v>D</v>
      </c>
      <c r="K137" s="1">
        <f t="array" ref="K137">XLOOKUP(B137,cat!B:B,cat!D:D)</f>
        <v>186</v>
      </c>
      <c r="L137" s="7">
        <f t="shared" si="1"/>
        <v>0.08819444444</v>
      </c>
      <c r="M137" s="7">
        <f t="shared" si="2"/>
        <v>0.06506944444</v>
      </c>
      <c r="P137" s="9"/>
      <c r="Q137" s="9">
        <f t="shared" si="3"/>
        <v>1296.183333</v>
      </c>
      <c r="R137" s="1" t="str">
        <f t="shared" si="4"/>
        <v>RYR</v>
      </c>
      <c r="S137" s="1" t="str">
        <f>IF($D137="LEBL", IF(COUNTIF('Paises ECAC'!B:B, C137)&gt;0, "ECAC","NO ECAC"), "")</f>
        <v>ECAC</v>
      </c>
    </row>
    <row r="138" ht="14.25" customHeight="1">
      <c r="A138" s="1" t="s">
        <v>399</v>
      </c>
      <c r="B138" s="1" t="s">
        <v>400</v>
      </c>
      <c r="C138" s="1" t="s">
        <v>169</v>
      </c>
      <c r="D138" s="1" t="s">
        <v>21</v>
      </c>
      <c r="E138" s="1" t="s">
        <v>401</v>
      </c>
      <c r="F138" s="1">
        <v>390.0</v>
      </c>
      <c r="G138" s="5">
        <v>0.2013888888888889</v>
      </c>
      <c r="H138" s="1">
        <v>18.0</v>
      </c>
      <c r="I138" s="5">
        <v>0.2708333333333333</v>
      </c>
      <c r="J138" s="1" t="str">
        <f t="array" ref="J138">XLOOKUP(B138,cat!B:B,cat!C:C)</f>
        <v>E</v>
      </c>
      <c r="K138" s="1">
        <f t="array" ref="K138">XLOOKUP(B138,cat!B:B,cat!D:D)</f>
        <v>104</v>
      </c>
      <c r="L138" s="7">
        <f t="shared" si="1"/>
        <v>0.06944444444</v>
      </c>
      <c r="M138" s="7">
        <f t="shared" si="2"/>
        <v>0.04423611111</v>
      </c>
      <c r="P138" s="9"/>
      <c r="Q138" s="9">
        <f t="shared" si="3"/>
        <v>477.75</v>
      </c>
      <c r="R138" s="1" t="str">
        <f t="shared" si="4"/>
        <v>KLM</v>
      </c>
      <c r="S138" s="1" t="str">
        <f>IF($D138="LEBL", IF(COUNTIF('Paises ECAC'!B:B, C138)&gt;0, "ECAC","NO ECAC"), "")</f>
        <v>ECAC</v>
      </c>
    </row>
    <row r="139" ht="14.25" customHeight="1">
      <c r="A139" s="1" t="s">
        <v>402</v>
      </c>
      <c r="B139" s="1" t="s">
        <v>25</v>
      </c>
      <c r="C139" s="1" t="s">
        <v>21</v>
      </c>
      <c r="D139" s="1" t="s">
        <v>97</v>
      </c>
      <c r="E139" s="1" t="s">
        <v>230</v>
      </c>
      <c r="F139" s="1">
        <v>300.0</v>
      </c>
      <c r="G139" s="5">
        <v>0.27708333333333335</v>
      </c>
      <c r="H139" s="1">
        <v>0.0</v>
      </c>
      <c r="I139" s="5">
        <v>0.3298611111111111</v>
      </c>
      <c r="J139" s="1" t="str">
        <f t="array" ref="J139">XLOOKUP(B139,cat!B:B,cat!C:C)</f>
        <v>D</v>
      </c>
      <c r="K139" s="1">
        <f t="array" ref="K139">XLOOKUP(B139,cat!B:B,cat!D:D)</f>
        <v>180</v>
      </c>
      <c r="L139" s="7">
        <f t="shared" si="1"/>
        <v>0.05277777778</v>
      </c>
      <c r="M139" s="1" t="str">
        <f t="shared" si="2"/>
        <v/>
      </c>
      <c r="P139" s="9"/>
      <c r="Q139" s="9">
        <f t="shared" si="3"/>
        <v>0</v>
      </c>
      <c r="R139" s="1" t="str">
        <f t="shared" si="4"/>
        <v>EJU</v>
      </c>
      <c r="S139" s="1" t="str">
        <f>IF($D139="LEBL", IF(COUNTIF('Paises ECAC'!B:B, C139)&gt;0, "ECAC","NO ECAC"), "")</f>
        <v/>
      </c>
    </row>
    <row r="140" ht="14.25" customHeight="1">
      <c r="A140" s="1" t="s">
        <v>403</v>
      </c>
      <c r="B140" s="1" t="s">
        <v>30</v>
      </c>
      <c r="C140" s="1" t="s">
        <v>21</v>
      </c>
      <c r="D140" s="1" t="s">
        <v>107</v>
      </c>
      <c r="E140" s="1" t="s">
        <v>404</v>
      </c>
      <c r="F140" s="1">
        <v>330.0</v>
      </c>
      <c r="G140" s="5">
        <v>0.2743055555555556</v>
      </c>
      <c r="H140" s="1">
        <v>11.0</v>
      </c>
      <c r="I140" s="5">
        <v>0.3333333333333333</v>
      </c>
      <c r="J140" s="1" t="str">
        <f t="array" ref="J140">XLOOKUP(B140,cat!B:B,cat!C:C)</f>
        <v>D</v>
      </c>
      <c r="K140" s="1">
        <f t="array" ref="K140">XLOOKUP(B140,cat!B:B,cat!D:D)</f>
        <v>173</v>
      </c>
      <c r="L140" s="7">
        <f t="shared" si="1"/>
        <v>0.05902777778</v>
      </c>
      <c r="M140" s="1" t="str">
        <f t="shared" si="2"/>
        <v/>
      </c>
      <c r="P140" s="9"/>
      <c r="Q140" s="9">
        <f t="shared" si="3"/>
        <v>0</v>
      </c>
      <c r="R140" s="1" t="str">
        <f t="shared" si="4"/>
        <v>VLG</v>
      </c>
      <c r="S140" s="1" t="str">
        <f>IF($D140="LEBL", IF(COUNTIF('Paises ECAC'!B:B, C140)&gt;0, "ECAC","NO ECAC"), "")</f>
        <v/>
      </c>
    </row>
    <row r="141" ht="14.25" customHeight="1">
      <c r="A141" s="1" t="s">
        <v>405</v>
      </c>
      <c r="B141" s="1" t="s">
        <v>132</v>
      </c>
      <c r="C141" s="1" t="s">
        <v>406</v>
      </c>
      <c r="D141" s="1" t="s">
        <v>21</v>
      </c>
      <c r="E141" s="1" t="s">
        <v>407</v>
      </c>
      <c r="F141" s="1">
        <v>390.0</v>
      </c>
      <c r="G141" s="5">
        <v>0.9756944444444444</v>
      </c>
      <c r="H141" s="1">
        <v>10.0</v>
      </c>
      <c r="I141" s="5">
        <v>0.2743055555555556</v>
      </c>
      <c r="J141" s="1" t="str">
        <f t="array" ref="J141">XLOOKUP(B141,cat!B:B,cat!C:C)</f>
        <v>B</v>
      </c>
      <c r="K141" s="1">
        <f t="array" ref="K141">XLOOKUP(B141,cat!B:B,cat!D:D)</f>
        <v>296</v>
      </c>
      <c r="L141" s="7">
        <f t="shared" si="1"/>
        <v>0.2986111111</v>
      </c>
      <c r="M141" s="7">
        <f t="shared" si="2"/>
        <v>0.2789583333</v>
      </c>
      <c r="P141" s="9"/>
      <c r="Q141" s="9">
        <f t="shared" si="3"/>
        <v>6025.5</v>
      </c>
      <c r="R141" s="1" t="str">
        <f t="shared" si="4"/>
        <v>UAL</v>
      </c>
      <c r="S141" s="1" t="str">
        <f>IF($D141="LEBL", IF(COUNTIF('Paises ECAC'!B:B, C141)&gt;0, "ECAC","NO ECAC"), "")</f>
        <v>NO ECAC</v>
      </c>
    </row>
    <row r="142" ht="14.25" customHeight="1">
      <c r="A142" s="1" t="s">
        <v>408</v>
      </c>
      <c r="B142" s="1" t="s">
        <v>30</v>
      </c>
      <c r="C142" s="1" t="s">
        <v>21</v>
      </c>
      <c r="D142" s="1" t="s">
        <v>282</v>
      </c>
      <c r="E142" s="1" t="s">
        <v>283</v>
      </c>
      <c r="F142" s="1">
        <v>270.0</v>
      </c>
      <c r="G142" s="5">
        <v>0.275</v>
      </c>
      <c r="H142" s="1">
        <v>11.0</v>
      </c>
      <c r="I142" s="5">
        <v>0.3055555555555556</v>
      </c>
      <c r="J142" s="1" t="str">
        <f t="array" ref="J142">XLOOKUP(B142,cat!B:B,cat!C:C)</f>
        <v>D</v>
      </c>
      <c r="K142" s="1">
        <f t="array" ref="K142">XLOOKUP(B142,cat!B:B,cat!D:D)</f>
        <v>173</v>
      </c>
      <c r="L142" s="7">
        <f t="shared" si="1"/>
        <v>0.03055555556</v>
      </c>
      <c r="M142" s="1" t="str">
        <f t="shared" si="2"/>
        <v/>
      </c>
      <c r="P142" s="9"/>
      <c r="Q142" s="9">
        <f t="shared" si="3"/>
        <v>0</v>
      </c>
      <c r="R142" s="1" t="str">
        <f t="shared" si="4"/>
        <v>VLG</v>
      </c>
      <c r="S142" s="1" t="str">
        <f>IF($D142="LEBL", IF(COUNTIF('Paises ECAC'!B:B, C142)&gt;0, "ECAC","NO ECAC"), "")</f>
        <v/>
      </c>
    </row>
    <row r="143" ht="14.25" customHeight="1">
      <c r="A143" s="1" t="s">
        <v>409</v>
      </c>
      <c r="B143" s="1" t="s">
        <v>410</v>
      </c>
      <c r="C143" s="1" t="s">
        <v>411</v>
      </c>
      <c r="D143" s="1" t="s">
        <v>21</v>
      </c>
      <c r="E143" s="1" t="s">
        <v>412</v>
      </c>
      <c r="F143" s="1">
        <v>380.0</v>
      </c>
      <c r="G143" s="5">
        <v>0.9826388888888888</v>
      </c>
      <c r="H143" s="1">
        <v>10.0</v>
      </c>
      <c r="I143" s="5">
        <v>0.2743055555555556</v>
      </c>
      <c r="J143" s="1" t="str">
        <f t="array" ref="J143">XLOOKUP(B143,cat!B:B,cat!C:C)</f>
        <v>B</v>
      </c>
      <c r="K143" s="1">
        <f t="array" ref="K143">XLOOKUP(B143,cat!B:B,cat!D:D)</f>
        <v>302</v>
      </c>
      <c r="L143" s="7">
        <f t="shared" si="1"/>
        <v>0.2916666667</v>
      </c>
      <c r="M143" s="7">
        <f t="shared" si="2"/>
        <v>0.2720138889</v>
      </c>
      <c r="P143" s="9"/>
      <c r="Q143" s="9">
        <f t="shared" si="3"/>
        <v>5875.5</v>
      </c>
      <c r="R143" s="1" t="str">
        <f t="shared" si="4"/>
        <v>UAE</v>
      </c>
      <c r="S143" s="1" t="str">
        <f>IF($D143="LEBL", IF(COUNTIF('Paises ECAC'!B:B, C143)&gt;0, "ECAC","NO ECAC"), "")</f>
        <v>NO ECAC</v>
      </c>
    </row>
    <row r="144" ht="14.25" customHeight="1">
      <c r="A144" s="1" t="s">
        <v>413</v>
      </c>
      <c r="B144" s="1" t="s">
        <v>182</v>
      </c>
      <c r="C144" s="1" t="s">
        <v>414</v>
      </c>
      <c r="D144" s="1" t="s">
        <v>21</v>
      </c>
      <c r="E144" s="1" t="s">
        <v>415</v>
      </c>
      <c r="F144" s="1">
        <v>410.0</v>
      </c>
      <c r="G144" s="5">
        <v>0.9965277777777778</v>
      </c>
      <c r="H144" s="1">
        <v>40.0</v>
      </c>
      <c r="I144" s="5">
        <v>0.2743055555555556</v>
      </c>
      <c r="J144" s="1" t="str">
        <f t="array" ref="J144">XLOOKUP(B144,cat!B:B,cat!C:C)</f>
        <v>B</v>
      </c>
      <c r="K144" s="1">
        <f t="array" ref="K144">XLOOKUP(B144,cat!B:B,cat!D:D)</f>
        <v>284</v>
      </c>
      <c r="L144" s="7">
        <f t="shared" si="1"/>
        <v>0.2777777778</v>
      </c>
      <c r="M144" s="7">
        <f t="shared" si="2"/>
        <v>0.2372916667</v>
      </c>
      <c r="P144" s="9"/>
      <c r="Q144" s="9">
        <f t="shared" si="3"/>
        <v>5125.5</v>
      </c>
      <c r="R144" s="1" t="str">
        <f t="shared" si="4"/>
        <v>AAL</v>
      </c>
      <c r="S144" s="1" t="str">
        <f>IF($D144="LEBL", IF(COUNTIF('Paises ECAC'!B:B, C144)&gt;0, "ECAC","NO ECAC"), "")</f>
        <v>NO ECAC</v>
      </c>
    </row>
    <row r="145" ht="14.25" customHeight="1">
      <c r="A145" s="1" t="s">
        <v>416</v>
      </c>
      <c r="B145" s="1" t="s">
        <v>30</v>
      </c>
      <c r="C145" s="1" t="s">
        <v>21</v>
      </c>
      <c r="D145" s="1" t="s">
        <v>156</v>
      </c>
      <c r="E145" s="1" t="s">
        <v>417</v>
      </c>
      <c r="F145" s="1">
        <v>170.0</v>
      </c>
      <c r="G145" s="5">
        <v>0.2743055555555556</v>
      </c>
      <c r="H145" s="1">
        <v>10.0</v>
      </c>
      <c r="I145" s="5">
        <v>0.2951388888888889</v>
      </c>
      <c r="J145" s="1" t="str">
        <f t="array" ref="J145">XLOOKUP(B145,cat!B:B,cat!C:C)</f>
        <v>D</v>
      </c>
      <c r="K145" s="1">
        <f t="array" ref="K145">XLOOKUP(B145,cat!B:B,cat!D:D)</f>
        <v>173</v>
      </c>
      <c r="L145" s="7">
        <f t="shared" si="1"/>
        <v>0.02083333333</v>
      </c>
      <c r="M145" s="1" t="str">
        <f t="shared" si="2"/>
        <v/>
      </c>
      <c r="P145" s="9"/>
      <c r="Q145" s="9">
        <f t="shared" si="3"/>
        <v>0</v>
      </c>
      <c r="R145" s="1" t="str">
        <f t="shared" si="4"/>
        <v>VLG</v>
      </c>
      <c r="S145" s="1" t="str">
        <f>IF($D145="LEBL", IF(COUNTIF('Paises ECAC'!B:B, C145)&gt;0, "ECAC","NO ECAC"), "")</f>
        <v/>
      </c>
    </row>
    <row r="146" ht="14.25" customHeight="1">
      <c r="A146" s="1" t="s">
        <v>418</v>
      </c>
      <c r="B146" s="1" t="s">
        <v>182</v>
      </c>
      <c r="C146" s="1" t="s">
        <v>234</v>
      </c>
      <c r="D146" s="1" t="s">
        <v>21</v>
      </c>
      <c r="E146" s="1" t="s">
        <v>419</v>
      </c>
      <c r="F146" s="1">
        <v>300.0</v>
      </c>
      <c r="G146" s="5">
        <v>0.2423611111111111</v>
      </c>
      <c r="H146" s="1">
        <v>19.0</v>
      </c>
      <c r="I146" s="5">
        <v>0.2777777777777778</v>
      </c>
      <c r="J146" s="1" t="str">
        <f t="array" ref="J146">XLOOKUP(B146,cat!B:B,cat!C:C)</f>
        <v>B</v>
      </c>
      <c r="K146" s="1">
        <f t="array" ref="K146">XLOOKUP(B146,cat!B:B,cat!D:D)</f>
        <v>284</v>
      </c>
      <c r="L146" s="7">
        <f t="shared" si="1"/>
        <v>0.03541666667</v>
      </c>
      <c r="M146" s="7">
        <f t="shared" si="2"/>
        <v>0.009513888889</v>
      </c>
      <c r="P146" s="9"/>
      <c r="Q146" s="9">
        <f t="shared" si="3"/>
        <v>205.5</v>
      </c>
      <c r="R146" s="1" t="str">
        <f t="shared" si="4"/>
        <v>AEA</v>
      </c>
      <c r="S146" s="1" t="str">
        <f>IF($D146="LEBL", IF(COUNTIF('Paises ECAC'!B:B, C146)&gt;0, "ECAC","NO ECAC"), "")</f>
        <v>ECAC</v>
      </c>
    </row>
    <row r="147" ht="14.25" customHeight="1">
      <c r="A147" s="1" t="s">
        <v>420</v>
      </c>
      <c r="B147" s="1" t="s">
        <v>19</v>
      </c>
      <c r="C147" s="1" t="s">
        <v>21</v>
      </c>
      <c r="D147" s="1" t="s">
        <v>153</v>
      </c>
      <c r="E147" s="1" t="s">
        <v>421</v>
      </c>
      <c r="F147" s="1">
        <v>340.0</v>
      </c>
      <c r="G147" s="5">
        <v>0.28125</v>
      </c>
      <c r="H147" s="1">
        <v>20.0</v>
      </c>
      <c r="I147" s="5">
        <v>0.3333333333333333</v>
      </c>
      <c r="J147" s="1" t="str">
        <f t="array" ref="J147">XLOOKUP(B147,cat!B:B,cat!C:C)</f>
        <v>D</v>
      </c>
      <c r="K147" s="1">
        <f t="array" ref="K147">XLOOKUP(B147,cat!B:B,cat!D:D)</f>
        <v>184</v>
      </c>
      <c r="L147" s="7">
        <f t="shared" si="1"/>
        <v>0.05208333333</v>
      </c>
      <c r="M147" s="1" t="str">
        <f t="shared" si="2"/>
        <v/>
      </c>
      <c r="P147" s="9"/>
      <c r="Q147" s="9">
        <f t="shared" si="3"/>
        <v>0</v>
      </c>
      <c r="R147" s="1" t="str">
        <f t="shared" si="4"/>
        <v>RYR</v>
      </c>
      <c r="S147" s="1" t="str">
        <f>IF($D147="LEBL", IF(COUNTIF('Paises ECAC'!B:B, C147)&gt;0, "ECAC","NO ECAC"), "")</f>
        <v/>
      </c>
    </row>
    <row r="148" ht="14.25" customHeight="1">
      <c r="A148" s="1" t="s">
        <v>422</v>
      </c>
      <c r="B148" s="1" t="s">
        <v>40</v>
      </c>
      <c r="C148" s="1" t="s">
        <v>88</v>
      </c>
      <c r="D148" s="1" t="s">
        <v>21</v>
      </c>
      <c r="E148" s="1" t="s">
        <v>423</v>
      </c>
      <c r="F148" s="1">
        <v>410.0</v>
      </c>
      <c r="G148" s="5">
        <v>0.18263888888888888</v>
      </c>
      <c r="H148" s="1">
        <v>10.0</v>
      </c>
      <c r="I148" s="5">
        <v>0.2777777777777778</v>
      </c>
      <c r="J148" s="1" t="str">
        <f t="array" ref="J148">XLOOKUP(B148,cat!B:B,cat!C:C)</f>
        <v>D</v>
      </c>
      <c r="K148" s="1">
        <f t="array" ref="K148">XLOOKUP(B148,cat!B:B,cat!D:D)</f>
        <v>186</v>
      </c>
      <c r="L148" s="7">
        <f t="shared" si="1"/>
        <v>0.09513888889</v>
      </c>
      <c r="M148" s="7">
        <f t="shared" si="2"/>
        <v>0.07548611111</v>
      </c>
      <c r="P148" s="9"/>
      <c r="Q148" s="9">
        <f t="shared" si="3"/>
        <v>1503.683333</v>
      </c>
      <c r="R148" s="1" t="str">
        <f t="shared" si="4"/>
        <v>NSZ</v>
      </c>
      <c r="S148" s="1" t="str">
        <f>IF($D148="LEBL", IF(COUNTIF('Paises ECAC'!B:B, C148)&gt;0, "ECAC","NO ECAC"), "")</f>
        <v>ECAC</v>
      </c>
    </row>
    <row r="149" ht="14.25" customHeight="1">
      <c r="A149" s="1" t="s">
        <v>424</v>
      </c>
      <c r="B149" s="1" t="s">
        <v>30</v>
      </c>
      <c r="C149" s="1" t="s">
        <v>156</v>
      </c>
      <c r="D149" s="1" t="s">
        <v>21</v>
      </c>
      <c r="E149" s="1" t="s">
        <v>51</v>
      </c>
      <c r="F149" s="1">
        <v>180.0</v>
      </c>
      <c r="G149" s="5">
        <v>0.26180555555555557</v>
      </c>
      <c r="H149" s="1">
        <v>17.0</v>
      </c>
      <c r="I149" s="5">
        <v>0.2777777777777778</v>
      </c>
      <c r="J149" s="1" t="str">
        <f t="array" ref="J149">XLOOKUP(B149,cat!B:B,cat!C:C)</f>
        <v>D</v>
      </c>
      <c r="K149" s="1">
        <f t="array" ref="K149">XLOOKUP(B149,cat!B:B,cat!D:D)</f>
        <v>173</v>
      </c>
      <c r="L149" s="7">
        <f t="shared" si="1"/>
        <v>0.01597222222</v>
      </c>
      <c r="M149" s="7">
        <f t="shared" si="2"/>
        <v>0.004166666667</v>
      </c>
      <c r="P149" s="9"/>
      <c r="Q149" s="9">
        <f t="shared" si="3"/>
        <v>83</v>
      </c>
      <c r="R149" s="1" t="str">
        <f t="shared" si="4"/>
        <v>VLG</v>
      </c>
      <c r="S149" s="1" t="str">
        <f>IF($D149="LEBL", IF(COUNTIF('Paises ECAC'!B:B, C149)&gt;0, "ECAC","NO ECAC"), "")</f>
        <v>ECAC</v>
      </c>
    </row>
    <row r="150" ht="14.25" customHeight="1">
      <c r="A150" s="1" t="s">
        <v>425</v>
      </c>
      <c r="B150" s="1" t="s">
        <v>35</v>
      </c>
      <c r="C150" s="1" t="s">
        <v>158</v>
      </c>
      <c r="D150" s="1" t="s">
        <v>21</v>
      </c>
      <c r="E150" s="1" t="s">
        <v>426</v>
      </c>
      <c r="F150" s="1">
        <v>350.0</v>
      </c>
      <c r="G150" s="5">
        <v>0.22430555555555556</v>
      </c>
      <c r="H150" s="1">
        <v>13.0</v>
      </c>
      <c r="I150" s="5">
        <v>0.28125</v>
      </c>
      <c r="J150" s="1" t="str">
        <f t="array" ref="J150">XLOOKUP(B150,cat!B:B,cat!C:C)</f>
        <v>D</v>
      </c>
      <c r="K150" s="1">
        <f t="array" ref="K150">XLOOKUP(B150,cat!B:B,cat!D:D)</f>
        <v>207</v>
      </c>
      <c r="L150" s="7">
        <f t="shared" si="1"/>
        <v>0.05694444444</v>
      </c>
      <c r="M150" s="7">
        <f t="shared" si="2"/>
        <v>0.03520833333</v>
      </c>
      <c r="P150" s="9"/>
      <c r="Q150" s="9">
        <f t="shared" si="3"/>
        <v>701.35</v>
      </c>
      <c r="R150" s="1" t="str">
        <f t="shared" si="4"/>
        <v>SWR</v>
      </c>
      <c r="S150" s="1" t="str">
        <f>IF($D150="LEBL", IF(COUNTIF('Paises ECAC'!B:B, C150)&gt;0, "ECAC","NO ECAC"), "")</f>
        <v>ECAC</v>
      </c>
    </row>
    <row r="151" ht="14.25" customHeight="1">
      <c r="A151" s="1" t="s">
        <v>427</v>
      </c>
      <c r="B151" s="1" t="s">
        <v>212</v>
      </c>
      <c r="C151" s="1" t="s">
        <v>332</v>
      </c>
      <c r="D151" s="1" t="s">
        <v>21</v>
      </c>
      <c r="E151" s="1" t="s">
        <v>428</v>
      </c>
      <c r="F151" s="1">
        <v>370.0</v>
      </c>
      <c r="G151" s="5">
        <v>0.16319444444444445</v>
      </c>
      <c r="H151" s="1">
        <v>15.0</v>
      </c>
      <c r="I151" s="5">
        <v>0.28125</v>
      </c>
      <c r="J151" s="1" t="str">
        <f t="array" ref="J151">XLOOKUP(B151,cat!B:B,cat!C:C)</f>
        <v>D</v>
      </c>
      <c r="K151" s="1">
        <f t="array" ref="K151">XLOOKUP(B151,cat!B:B,cat!D:D)</f>
        <v>200</v>
      </c>
      <c r="L151" s="7">
        <f t="shared" si="1"/>
        <v>0.1180555556</v>
      </c>
      <c r="M151" s="7">
        <f t="shared" si="2"/>
        <v>0.09493055556</v>
      </c>
      <c r="P151" s="9"/>
      <c r="Q151" s="9">
        <f t="shared" si="3"/>
        <v>1891.016667</v>
      </c>
      <c r="R151" s="1" t="str">
        <f t="shared" si="4"/>
        <v>SEU</v>
      </c>
      <c r="S151" s="1" t="str">
        <f>IF($D151="LEBL", IF(COUNTIF('Paises ECAC'!B:B, C151)&gt;0, "ECAC","NO ECAC"), "")</f>
        <v>ECAC</v>
      </c>
    </row>
    <row r="152" ht="14.25" customHeight="1">
      <c r="A152" s="1" t="s">
        <v>429</v>
      </c>
      <c r="B152" s="1" t="s">
        <v>30</v>
      </c>
      <c r="C152" s="1" t="s">
        <v>377</v>
      </c>
      <c r="D152" s="1" t="s">
        <v>21</v>
      </c>
      <c r="E152" s="1" t="s">
        <v>430</v>
      </c>
      <c r="F152" s="1">
        <v>370.0</v>
      </c>
      <c r="G152" s="5">
        <v>0.21319444444444444</v>
      </c>
      <c r="H152" s="1">
        <v>10.0</v>
      </c>
      <c r="I152" s="5">
        <v>0.28125</v>
      </c>
      <c r="J152" s="1" t="str">
        <f t="array" ref="J152">XLOOKUP(B152,cat!B:B,cat!C:C)</f>
        <v>D</v>
      </c>
      <c r="K152" s="1">
        <f t="array" ref="K152">XLOOKUP(B152,cat!B:B,cat!D:D)</f>
        <v>173</v>
      </c>
      <c r="L152" s="7">
        <f t="shared" si="1"/>
        <v>0.06805555556</v>
      </c>
      <c r="M152" s="7">
        <f t="shared" si="2"/>
        <v>0.04840277778</v>
      </c>
      <c r="P152" s="9"/>
      <c r="Q152" s="9">
        <f t="shared" si="3"/>
        <v>964.1833333</v>
      </c>
      <c r="R152" s="1" t="str">
        <f t="shared" si="4"/>
        <v>AUA</v>
      </c>
      <c r="S152" s="1" t="str">
        <f>IF($D152="LEBL", IF(COUNTIF('Paises ECAC'!B:B, C152)&gt;0, "ECAC","NO ECAC"), "")</f>
        <v>ECAC</v>
      </c>
    </row>
    <row r="153" ht="14.25" customHeight="1">
      <c r="A153" s="1" t="s">
        <v>431</v>
      </c>
      <c r="B153" s="1" t="s">
        <v>212</v>
      </c>
      <c r="C153" s="1" t="s">
        <v>140</v>
      </c>
      <c r="D153" s="1" t="s">
        <v>21</v>
      </c>
      <c r="E153" s="1" t="s">
        <v>432</v>
      </c>
      <c r="F153" s="1">
        <v>340.0</v>
      </c>
      <c r="G153" s="5">
        <v>0.2361111111111111</v>
      </c>
      <c r="H153" s="1">
        <v>15.0</v>
      </c>
      <c r="I153" s="5">
        <v>0.2847222222222222</v>
      </c>
      <c r="J153" s="1" t="str">
        <f t="array" ref="J153">XLOOKUP(B153,cat!B:B,cat!C:C)</f>
        <v>D</v>
      </c>
      <c r="K153" s="1">
        <f t="array" ref="K153">XLOOKUP(B153,cat!B:B,cat!D:D)</f>
        <v>200</v>
      </c>
      <c r="L153" s="7">
        <f t="shared" si="1"/>
        <v>0.04861111111</v>
      </c>
      <c r="M153" s="7">
        <f t="shared" si="2"/>
        <v>0.02548611111</v>
      </c>
      <c r="P153" s="9"/>
      <c r="Q153" s="9">
        <f t="shared" si="3"/>
        <v>507.6833333</v>
      </c>
      <c r="R153" s="1" t="str">
        <f t="shared" si="4"/>
        <v>WMT</v>
      </c>
      <c r="S153" s="1" t="str">
        <f>IF($D153="LEBL", IF(COUNTIF('Paises ECAC'!B:B, C153)&gt;0, "ECAC","NO ECAC"), "")</f>
        <v>ECAC</v>
      </c>
    </row>
    <row r="154" ht="14.25" customHeight="1">
      <c r="A154" s="1" t="s">
        <v>433</v>
      </c>
      <c r="B154" s="1" t="s">
        <v>30</v>
      </c>
      <c r="C154" s="1" t="s">
        <v>21</v>
      </c>
      <c r="D154" s="1" t="s">
        <v>245</v>
      </c>
      <c r="E154" s="1" t="s">
        <v>277</v>
      </c>
      <c r="F154" s="1">
        <v>190.0</v>
      </c>
      <c r="G154" s="5">
        <v>0.28888888888888886</v>
      </c>
      <c r="H154" s="1">
        <v>11.0</v>
      </c>
      <c r="I154" s="5">
        <v>0.3125</v>
      </c>
      <c r="J154" s="1" t="str">
        <f t="array" ref="J154">XLOOKUP(B154,cat!B:B,cat!C:C)</f>
        <v>D</v>
      </c>
      <c r="K154" s="1">
        <f t="array" ref="K154">XLOOKUP(B154,cat!B:B,cat!D:D)</f>
        <v>173</v>
      </c>
      <c r="L154" s="7">
        <f t="shared" si="1"/>
        <v>0.02361111111</v>
      </c>
      <c r="M154" s="1" t="str">
        <f t="shared" si="2"/>
        <v/>
      </c>
      <c r="P154" s="9"/>
      <c r="Q154" s="9">
        <f t="shared" si="3"/>
        <v>0</v>
      </c>
      <c r="R154" s="1" t="str">
        <f t="shared" si="4"/>
        <v>VLG</v>
      </c>
      <c r="S154" s="1" t="str">
        <f>IF($D154="LEBL", IF(COUNTIF('Paises ECAC'!B:B, C154)&gt;0, "ECAC","NO ECAC"), "")</f>
        <v/>
      </c>
    </row>
    <row r="155" ht="14.25" customHeight="1">
      <c r="A155" s="1" t="s">
        <v>434</v>
      </c>
      <c r="B155" s="1" t="s">
        <v>212</v>
      </c>
      <c r="C155" s="1" t="s">
        <v>435</v>
      </c>
      <c r="D155" s="1" t="s">
        <v>21</v>
      </c>
      <c r="E155" s="1" t="s">
        <v>436</v>
      </c>
      <c r="F155" s="1">
        <v>370.0</v>
      </c>
      <c r="G155" s="5">
        <v>0.19722222222222222</v>
      </c>
      <c r="H155" s="1">
        <v>9.0</v>
      </c>
      <c r="I155" s="5">
        <v>0.2881944444444444</v>
      </c>
      <c r="J155" s="1" t="str">
        <f t="array" ref="J155">XLOOKUP(B155,cat!B:B,cat!C:C)</f>
        <v>D</v>
      </c>
      <c r="K155" s="1">
        <f t="array" ref="K155">XLOOKUP(B155,cat!B:B,cat!D:D)</f>
        <v>200</v>
      </c>
      <c r="L155" s="7">
        <f t="shared" si="1"/>
        <v>0.09097222222</v>
      </c>
      <c r="M155" s="7">
        <f t="shared" si="2"/>
        <v>0.07201388889</v>
      </c>
      <c r="P155" s="9"/>
      <c r="Q155" s="9">
        <f t="shared" si="3"/>
        <v>1434.516667</v>
      </c>
      <c r="R155" s="1" t="str">
        <f t="shared" si="4"/>
        <v>WZZ</v>
      </c>
      <c r="S155" s="1" t="str">
        <f>IF($D155="LEBL", IF(COUNTIF('Paises ECAC'!B:B, C155)&gt;0, "ECAC","NO ECAC"), "")</f>
        <v>ECAC</v>
      </c>
    </row>
    <row r="156" ht="14.25" customHeight="1">
      <c r="A156" s="1" t="s">
        <v>437</v>
      </c>
      <c r="B156" s="1" t="s">
        <v>35</v>
      </c>
      <c r="C156" s="1" t="s">
        <v>116</v>
      </c>
      <c r="D156" s="1" t="s">
        <v>21</v>
      </c>
      <c r="E156" s="1" t="s">
        <v>438</v>
      </c>
      <c r="F156" s="1">
        <v>330.0</v>
      </c>
      <c r="G156" s="5">
        <v>0.22916666666666666</v>
      </c>
      <c r="H156" s="1">
        <v>13.0</v>
      </c>
      <c r="I156" s="5">
        <v>0.2881944444444444</v>
      </c>
      <c r="J156" s="1" t="str">
        <f t="array" ref="J156">XLOOKUP(B156,cat!B:B,cat!C:C)</f>
        <v>D</v>
      </c>
      <c r="K156" s="1">
        <f t="array" ref="K156">XLOOKUP(B156,cat!B:B,cat!D:D)</f>
        <v>207</v>
      </c>
      <c r="L156" s="7">
        <f t="shared" si="1"/>
        <v>0.05902777778</v>
      </c>
      <c r="M156" s="7">
        <f t="shared" si="2"/>
        <v>0.03729166667</v>
      </c>
      <c r="P156" s="9"/>
      <c r="Q156" s="9">
        <f t="shared" si="3"/>
        <v>742.85</v>
      </c>
      <c r="R156" s="1" t="str">
        <f t="shared" si="4"/>
        <v>AFR</v>
      </c>
      <c r="S156" s="1" t="str">
        <f>IF($D156="LEBL", IF(COUNTIF('Paises ECAC'!B:B, C156)&gt;0, "ECAC","NO ECAC"), "")</f>
        <v>ECAC</v>
      </c>
    </row>
    <row r="157" ht="14.25" customHeight="1">
      <c r="A157" s="1" t="s">
        <v>439</v>
      </c>
      <c r="B157" s="1" t="s">
        <v>30</v>
      </c>
      <c r="C157" s="1" t="s">
        <v>169</v>
      </c>
      <c r="D157" s="1" t="s">
        <v>21</v>
      </c>
      <c r="E157" s="1" t="s">
        <v>440</v>
      </c>
      <c r="F157" s="1">
        <v>390.0</v>
      </c>
      <c r="G157" s="5">
        <v>0.21458333333333332</v>
      </c>
      <c r="H157" s="1">
        <v>10.0</v>
      </c>
      <c r="I157" s="5">
        <v>0.2881944444444444</v>
      </c>
      <c r="J157" s="1" t="str">
        <f t="array" ref="J157">XLOOKUP(B157,cat!B:B,cat!C:C)</f>
        <v>D</v>
      </c>
      <c r="K157" s="1">
        <f t="array" ref="K157">XLOOKUP(B157,cat!B:B,cat!D:D)</f>
        <v>173</v>
      </c>
      <c r="L157" s="7">
        <f t="shared" si="1"/>
        <v>0.07361111111</v>
      </c>
      <c r="M157" s="7">
        <f t="shared" si="2"/>
        <v>0.05395833333</v>
      </c>
      <c r="P157" s="9"/>
      <c r="Q157" s="9">
        <f t="shared" si="3"/>
        <v>1074.85</v>
      </c>
      <c r="R157" s="1" t="str">
        <f t="shared" si="4"/>
        <v>VLG</v>
      </c>
      <c r="S157" s="1" t="str">
        <f>IF($D157="LEBL", IF(COUNTIF('Paises ECAC'!B:B, C157)&gt;0, "ECAC","NO ECAC"), "")</f>
        <v>ECAC</v>
      </c>
    </row>
    <row r="158" ht="14.25" customHeight="1">
      <c r="A158" s="1" t="s">
        <v>441</v>
      </c>
      <c r="B158" s="1" t="s">
        <v>40</v>
      </c>
      <c r="C158" s="1" t="s">
        <v>21</v>
      </c>
      <c r="D158" s="1" t="s">
        <v>113</v>
      </c>
      <c r="E158" s="1" t="s">
        <v>261</v>
      </c>
      <c r="F158" s="1">
        <v>390.0</v>
      </c>
      <c r="G158" s="5">
        <v>0.29097222222222224</v>
      </c>
      <c r="H158" s="1">
        <v>20.0</v>
      </c>
      <c r="I158" s="5">
        <v>0.3645833333333333</v>
      </c>
      <c r="J158" s="1" t="str">
        <f t="array" ref="J158">XLOOKUP(B158,cat!B:B,cat!C:C)</f>
        <v>D</v>
      </c>
      <c r="K158" s="1">
        <f t="array" ref="K158">XLOOKUP(B158,cat!B:B,cat!D:D)</f>
        <v>186</v>
      </c>
      <c r="L158" s="7">
        <f t="shared" si="1"/>
        <v>0.07361111111</v>
      </c>
      <c r="M158" s="1" t="str">
        <f t="shared" si="2"/>
        <v/>
      </c>
      <c r="P158" s="9"/>
      <c r="Q158" s="9">
        <f t="shared" si="3"/>
        <v>0</v>
      </c>
      <c r="R158" s="1" t="str">
        <f t="shared" si="4"/>
        <v>RYR</v>
      </c>
      <c r="S158" s="1" t="str">
        <f>IF($D158="LEBL", IF(COUNTIF('Paises ECAC'!B:B, C158)&gt;0, "ECAC","NO ECAC"), "")</f>
        <v/>
      </c>
    </row>
    <row r="159" ht="14.25" customHeight="1">
      <c r="A159" s="1" t="s">
        <v>442</v>
      </c>
      <c r="B159" s="1" t="s">
        <v>443</v>
      </c>
      <c r="C159" s="1" t="s">
        <v>444</v>
      </c>
      <c r="D159" s="1" t="s">
        <v>21</v>
      </c>
      <c r="E159" s="1" t="s">
        <v>445</v>
      </c>
      <c r="F159" s="1">
        <v>360.0</v>
      </c>
      <c r="G159" s="5">
        <v>0.13819444444444445</v>
      </c>
      <c r="H159" s="1">
        <v>15.0</v>
      </c>
      <c r="I159" s="5">
        <v>0.2916666666666667</v>
      </c>
      <c r="J159" s="1" t="str">
        <f t="array" ref="J159">XLOOKUP(B159,cat!B:B,cat!C:C)</f>
        <v>D</v>
      </c>
      <c r="K159" s="1">
        <f t="array" ref="K159">XLOOKUP(B159,cat!B:B,cat!D:D)</f>
        <v>183</v>
      </c>
      <c r="L159" s="7">
        <f t="shared" si="1"/>
        <v>0.1534722222</v>
      </c>
      <c r="M159" s="7">
        <f t="shared" si="2"/>
        <v>0.1303472222</v>
      </c>
      <c r="P159" s="9"/>
      <c r="Q159" s="9">
        <f t="shared" si="3"/>
        <v>2596.516667</v>
      </c>
      <c r="R159" s="1" t="str">
        <f t="shared" si="4"/>
        <v>ELY</v>
      </c>
      <c r="S159" s="1" t="str">
        <f>IF($D159="LEBL", IF(COUNTIF('Paises ECAC'!B:B, C159)&gt;0, "ECAC","NO ECAC"), "")</f>
        <v>NO ECAC</v>
      </c>
    </row>
    <row r="160" ht="14.25" customHeight="1">
      <c r="A160" s="1" t="s">
        <v>446</v>
      </c>
      <c r="B160" s="1" t="s">
        <v>30</v>
      </c>
      <c r="C160" s="1" t="s">
        <v>21</v>
      </c>
      <c r="D160" s="1" t="s">
        <v>192</v>
      </c>
      <c r="E160" s="1" t="s">
        <v>320</v>
      </c>
      <c r="F160" s="1">
        <v>370.0</v>
      </c>
      <c r="G160" s="5">
        <v>0.2916666666666667</v>
      </c>
      <c r="H160" s="1">
        <v>10.0</v>
      </c>
      <c r="I160" s="5">
        <v>0.3402777777777778</v>
      </c>
      <c r="J160" s="1" t="str">
        <f t="array" ref="J160">XLOOKUP(B160,cat!B:B,cat!C:C)</f>
        <v>D</v>
      </c>
      <c r="K160" s="1">
        <f t="array" ref="K160">XLOOKUP(B160,cat!B:B,cat!D:D)</f>
        <v>173</v>
      </c>
      <c r="L160" s="7">
        <f t="shared" si="1"/>
        <v>0.04861111111</v>
      </c>
      <c r="M160" s="1" t="str">
        <f t="shared" si="2"/>
        <v/>
      </c>
      <c r="P160" s="9"/>
      <c r="Q160" s="9">
        <f t="shared" si="3"/>
        <v>0</v>
      </c>
      <c r="R160" s="1" t="str">
        <f t="shared" si="4"/>
        <v>VLG</v>
      </c>
      <c r="S160" s="1" t="str">
        <f>IF($D160="LEBL", IF(COUNTIF('Paises ECAC'!B:B, C160)&gt;0, "ECAC","NO ECAC"), "")</f>
        <v/>
      </c>
    </row>
    <row r="161" ht="14.25" customHeight="1">
      <c r="A161" s="1" t="s">
        <v>447</v>
      </c>
      <c r="B161" s="1" t="s">
        <v>19</v>
      </c>
      <c r="C161" s="1" t="s">
        <v>448</v>
      </c>
      <c r="D161" s="1" t="s">
        <v>21</v>
      </c>
      <c r="E161" s="1" t="s">
        <v>449</v>
      </c>
      <c r="F161" s="1">
        <v>350.0</v>
      </c>
      <c r="G161" s="5">
        <v>0.21805555555555556</v>
      </c>
      <c r="H161" s="1">
        <v>14.0</v>
      </c>
      <c r="I161" s="5">
        <v>0.2916666666666667</v>
      </c>
      <c r="J161" s="1" t="str">
        <f t="array" ref="J161">XLOOKUP(B161,cat!B:B,cat!C:C)</f>
        <v>D</v>
      </c>
      <c r="K161" s="1">
        <f t="array" ref="K161">XLOOKUP(B161,cat!B:B,cat!D:D)</f>
        <v>184</v>
      </c>
      <c r="L161" s="7">
        <f t="shared" si="1"/>
        <v>0.07361111111</v>
      </c>
      <c r="M161" s="7">
        <f t="shared" si="2"/>
        <v>0.05118055556</v>
      </c>
      <c r="P161" s="9"/>
      <c r="Q161" s="9">
        <f t="shared" si="3"/>
        <v>1019.516667</v>
      </c>
      <c r="R161" s="1" t="str">
        <f t="shared" si="4"/>
        <v>RYR</v>
      </c>
      <c r="S161" s="1" t="str">
        <f>IF($D161="LEBL", IF(COUNTIF('Paises ECAC'!B:B, C161)&gt;0, "ECAC","NO ECAC"), "")</f>
        <v>ECAC</v>
      </c>
    </row>
    <row r="162" ht="14.25" customHeight="1">
      <c r="A162" s="1" t="s">
        <v>450</v>
      </c>
      <c r="B162" s="1" t="s">
        <v>19</v>
      </c>
      <c r="C162" s="1" t="s">
        <v>21</v>
      </c>
      <c r="D162" s="1" t="s">
        <v>156</v>
      </c>
      <c r="E162" s="1" t="s">
        <v>313</v>
      </c>
      <c r="F162" s="1">
        <v>170.0</v>
      </c>
      <c r="G162" s="5">
        <v>0.2923611111111111</v>
      </c>
      <c r="H162" s="1">
        <v>11.0</v>
      </c>
      <c r="I162" s="5">
        <v>0.3090277777777778</v>
      </c>
      <c r="J162" s="1" t="str">
        <f t="array" ref="J162">XLOOKUP(B162,cat!B:B,cat!C:C)</f>
        <v>D</v>
      </c>
      <c r="K162" s="1">
        <f t="array" ref="K162">XLOOKUP(B162,cat!B:B,cat!D:D)</f>
        <v>184</v>
      </c>
      <c r="L162" s="7">
        <f t="shared" si="1"/>
        <v>0.01666666667</v>
      </c>
      <c r="M162" s="1" t="str">
        <f t="shared" si="2"/>
        <v/>
      </c>
      <c r="P162" s="9"/>
      <c r="Q162" s="9">
        <f t="shared" si="3"/>
        <v>0</v>
      </c>
      <c r="R162" s="1" t="str">
        <f t="shared" si="4"/>
        <v>AEA</v>
      </c>
      <c r="S162" s="1" t="str">
        <f>IF($D162="LEBL", IF(COUNTIF('Paises ECAC'!B:B, C162)&gt;0, "ECAC","NO ECAC"), "")</f>
        <v/>
      </c>
    </row>
    <row r="163" ht="14.25" customHeight="1">
      <c r="A163" s="1" t="s">
        <v>451</v>
      </c>
      <c r="B163" s="1" t="s">
        <v>35</v>
      </c>
      <c r="C163" s="1" t="s">
        <v>452</v>
      </c>
      <c r="D163" s="1" t="s">
        <v>21</v>
      </c>
      <c r="E163" s="1" t="s">
        <v>453</v>
      </c>
      <c r="F163" s="1">
        <v>370.0</v>
      </c>
      <c r="G163" s="5">
        <v>0.20069444444444445</v>
      </c>
      <c r="H163" s="1">
        <v>5.0</v>
      </c>
      <c r="I163" s="5">
        <v>0.2916666666666667</v>
      </c>
      <c r="J163" s="1" t="str">
        <f t="array" ref="J163">XLOOKUP(B163,cat!B:B,cat!C:C)</f>
        <v>D</v>
      </c>
      <c r="K163" s="1">
        <f t="array" ref="K163">XLOOKUP(B163,cat!B:B,cat!D:D)</f>
        <v>207</v>
      </c>
      <c r="L163" s="7">
        <f t="shared" si="1"/>
        <v>0.09097222222</v>
      </c>
      <c r="M163" s="7">
        <f t="shared" si="2"/>
        <v>0.07479166667</v>
      </c>
      <c r="P163" s="9"/>
      <c r="Q163" s="9">
        <f t="shared" si="3"/>
        <v>1489.85</v>
      </c>
      <c r="R163" s="1" t="str">
        <f t="shared" si="4"/>
        <v>WMT</v>
      </c>
      <c r="S163" s="1" t="str">
        <f>IF($D163="LEBL", IF(COUNTIF('Paises ECAC'!B:B, C163)&gt;0, "ECAC","NO ECAC"), "")</f>
        <v>ECAC</v>
      </c>
    </row>
    <row r="164" ht="14.25" customHeight="1">
      <c r="A164" s="1" t="s">
        <v>454</v>
      </c>
      <c r="B164" s="1" t="s">
        <v>35</v>
      </c>
      <c r="C164" s="1" t="s">
        <v>156</v>
      </c>
      <c r="D164" s="1" t="s">
        <v>21</v>
      </c>
      <c r="E164" s="1" t="s">
        <v>172</v>
      </c>
      <c r="F164" s="1">
        <v>180.0</v>
      </c>
      <c r="G164" s="5">
        <v>0.2791666666666667</v>
      </c>
      <c r="H164" s="1">
        <v>17.0</v>
      </c>
      <c r="I164" s="5">
        <v>0.2951388888888889</v>
      </c>
      <c r="J164" s="1" t="str">
        <f t="array" ref="J164">XLOOKUP(B164,cat!B:B,cat!C:C)</f>
        <v>D</v>
      </c>
      <c r="K164" s="1">
        <f t="array" ref="K164">XLOOKUP(B164,cat!B:B,cat!D:D)</f>
        <v>207</v>
      </c>
      <c r="L164" s="7">
        <f t="shared" si="1"/>
        <v>0.01597222222</v>
      </c>
      <c r="M164" s="7">
        <f t="shared" si="2"/>
        <v>0.004166666667</v>
      </c>
      <c r="P164" s="9"/>
      <c r="Q164" s="9">
        <f t="shared" si="3"/>
        <v>83</v>
      </c>
      <c r="R164" s="1" t="str">
        <f t="shared" si="4"/>
        <v>VLG</v>
      </c>
      <c r="S164" s="1" t="str">
        <f>IF($D164="LEBL", IF(COUNTIF('Paises ECAC'!B:B, C164)&gt;0, "ECAC","NO ECAC"), "")</f>
        <v>ECAC</v>
      </c>
    </row>
    <row r="165" ht="14.25" customHeight="1">
      <c r="A165" s="1" t="s">
        <v>455</v>
      </c>
      <c r="B165" s="1" t="s">
        <v>30</v>
      </c>
      <c r="C165" s="1" t="s">
        <v>21</v>
      </c>
      <c r="D165" s="1" t="s">
        <v>74</v>
      </c>
      <c r="E165" s="1" t="s">
        <v>315</v>
      </c>
      <c r="F165" s="1">
        <v>340.0</v>
      </c>
      <c r="G165" s="5">
        <v>0.29583333333333334</v>
      </c>
      <c r="H165" s="1">
        <v>11.0</v>
      </c>
      <c r="I165" s="5">
        <v>0.3472222222222222</v>
      </c>
      <c r="J165" s="1" t="str">
        <f t="array" ref="J165">XLOOKUP(B165,cat!B:B,cat!C:C)</f>
        <v>D</v>
      </c>
      <c r="K165" s="1">
        <f t="array" ref="K165">XLOOKUP(B165,cat!B:B,cat!D:D)</f>
        <v>173</v>
      </c>
      <c r="L165" s="7">
        <f t="shared" si="1"/>
        <v>0.05138888889</v>
      </c>
      <c r="M165" s="1" t="str">
        <f t="shared" si="2"/>
        <v/>
      </c>
      <c r="P165" s="9"/>
      <c r="Q165" s="9">
        <f t="shared" si="3"/>
        <v>0</v>
      </c>
      <c r="R165" s="1" t="str">
        <f t="shared" si="4"/>
        <v>VLG</v>
      </c>
      <c r="S165" s="1" t="str">
        <f>IF($D165="LEBL", IF(COUNTIF('Paises ECAC'!B:B, C165)&gt;0, "ECAC","NO ECAC"), "")</f>
        <v/>
      </c>
    </row>
    <row r="166" ht="14.25" customHeight="1">
      <c r="A166" s="1" t="s">
        <v>456</v>
      </c>
      <c r="B166" s="1" t="s">
        <v>212</v>
      </c>
      <c r="C166" s="1" t="s">
        <v>374</v>
      </c>
      <c r="D166" s="1" t="s">
        <v>21</v>
      </c>
      <c r="E166" s="1" t="s">
        <v>457</v>
      </c>
      <c r="F166" s="1">
        <v>350.0</v>
      </c>
      <c r="G166" s="5">
        <v>0.2152777777777778</v>
      </c>
      <c r="H166" s="1">
        <v>10.0</v>
      </c>
      <c r="I166" s="5">
        <v>0.2951388888888889</v>
      </c>
      <c r="J166" s="1" t="str">
        <f t="array" ref="J166">XLOOKUP(B166,cat!B:B,cat!C:C)</f>
        <v>D</v>
      </c>
      <c r="K166" s="1">
        <f t="array" ref="K166">XLOOKUP(B166,cat!B:B,cat!D:D)</f>
        <v>200</v>
      </c>
      <c r="L166" s="7">
        <f t="shared" si="1"/>
        <v>0.07986111111</v>
      </c>
      <c r="M166" s="7">
        <f t="shared" si="2"/>
        <v>0.06020833333</v>
      </c>
      <c r="P166" s="9"/>
      <c r="Q166" s="9">
        <f t="shared" si="3"/>
        <v>1199.35</v>
      </c>
      <c r="R166" s="1" t="str">
        <f t="shared" si="4"/>
        <v>WZZ</v>
      </c>
      <c r="S166" s="1" t="str">
        <f>IF($D166="LEBL", IF(COUNTIF('Paises ECAC'!B:B, C166)&gt;0, "ECAC","NO ECAC"), "")</f>
        <v>ECAC</v>
      </c>
    </row>
    <row r="167" ht="14.25" customHeight="1">
      <c r="A167" s="1" t="s">
        <v>458</v>
      </c>
      <c r="B167" s="1" t="s">
        <v>30</v>
      </c>
      <c r="C167" s="1" t="s">
        <v>70</v>
      </c>
      <c r="D167" s="1" t="s">
        <v>21</v>
      </c>
      <c r="E167" s="1" t="s">
        <v>459</v>
      </c>
      <c r="F167" s="1">
        <v>380.0</v>
      </c>
      <c r="G167" s="5">
        <v>0.23958333333333334</v>
      </c>
      <c r="H167" s="1">
        <v>15.0</v>
      </c>
      <c r="I167" s="5">
        <v>0.2951388888888889</v>
      </c>
      <c r="J167" s="1" t="str">
        <f t="array" ref="J167">XLOOKUP(B167,cat!B:B,cat!C:C)</f>
        <v>D</v>
      </c>
      <c r="K167" s="1">
        <f t="array" ref="K167">XLOOKUP(B167,cat!B:B,cat!D:D)</f>
        <v>173</v>
      </c>
      <c r="L167" s="7">
        <f t="shared" si="1"/>
        <v>0.05555555556</v>
      </c>
      <c r="M167" s="7">
        <f t="shared" si="2"/>
        <v>0.03243055556</v>
      </c>
      <c r="P167" s="9"/>
      <c r="Q167" s="9">
        <f t="shared" si="3"/>
        <v>646.0166667</v>
      </c>
      <c r="R167" s="1" t="str">
        <f t="shared" si="4"/>
        <v>MAC</v>
      </c>
      <c r="S167" s="1" t="str">
        <f>IF($D167="LEBL", IF(COUNTIF('Paises ECAC'!B:B, C167)&gt;0, "ECAC","NO ECAC"), "")</f>
        <v>NO ECAC</v>
      </c>
    </row>
    <row r="168" ht="14.25" customHeight="1">
      <c r="A168" s="1" t="s">
        <v>460</v>
      </c>
      <c r="B168" s="1" t="s">
        <v>30</v>
      </c>
      <c r="C168" s="1" t="s">
        <v>91</v>
      </c>
      <c r="D168" s="1" t="s">
        <v>21</v>
      </c>
      <c r="E168" s="1" t="s">
        <v>92</v>
      </c>
      <c r="F168" s="1">
        <v>300.0</v>
      </c>
      <c r="G168" s="5">
        <v>0.2590277777777778</v>
      </c>
      <c r="H168" s="1">
        <v>8.0</v>
      </c>
      <c r="I168" s="5">
        <v>0.2951388888888889</v>
      </c>
      <c r="J168" s="1" t="str">
        <f t="array" ref="J168">XLOOKUP(B168,cat!B:B,cat!C:C)</f>
        <v>D</v>
      </c>
      <c r="K168" s="1">
        <f t="array" ref="K168">XLOOKUP(B168,cat!B:B,cat!D:D)</f>
        <v>173</v>
      </c>
      <c r="L168" s="7">
        <f t="shared" si="1"/>
        <v>0.03611111111</v>
      </c>
      <c r="M168" s="7">
        <f t="shared" si="2"/>
        <v>0.01784722222</v>
      </c>
      <c r="P168" s="9"/>
      <c r="Q168" s="9">
        <f t="shared" si="3"/>
        <v>355.5166667</v>
      </c>
      <c r="R168" s="1" t="str">
        <f t="shared" si="4"/>
        <v>VLG</v>
      </c>
      <c r="S168" s="1" t="str">
        <f>IF($D168="LEBL", IF(COUNTIF('Paises ECAC'!B:B, C168)&gt;0, "ECAC","NO ECAC"), "")</f>
        <v>NO ECAC</v>
      </c>
    </row>
    <row r="169" ht="14.25" customHeight="1">
      <c r="A169" s="1" t="s">
        <v>461</v>
      </c>
      <c r="B169" s="1" t="s">
        <v>30</v>
      </c>
      <c r="C169" s="1" t="s">
        <v>21</v>
      </c>
      <c r="D169" s="1" t="s">
        <v>143</v>
      </c>
      <c r="E169" s="1" t="s">
        <v>323</v>
      </c>
      <c r="F169" s="1">
        <v>190.0</v>
      </c>
      <c r="G169" s="5">
        <v>0.29930555555555555</v>
      </c>
      <c r="H169" s="1">
        <v>11.0</v>
      </c>
      <c r="I169" s="5">
        <v>0.3194444444444444</v>
      </c>
      <c r="J169" s="1" t="str">
        <f t="array" ref="J169">XLOOKUP(B169,cat!B:B,cat!C:C)</f>
        <v>D</v>
      </c>
      <c r="K169" s="1">
        <f t="array" ref="K169">XLOOKUP(B169,cat!B:B,cat!D:D)</f>
        <v>173</v>
      </c>
      <c r="L169" s="7">
        <f t="shared" si="1"/>
        <v>0.02013888889</v>
      </c>
      <c r="M169" s="1" t="str">
        <f t="shared" si="2"/>
        <v/>
      </c>
      <c r="P169" s="9"/>
      <c r="Q169" s="9">
        <f t="shared" si="3"/>
        <v>0</v>
      </c>
      <c r="R169" s="1" t="str">
        <f t="shared" si="4"/>
        <v>VLG</v>
      </c>
      <c r="S169" s="1" t="str">
        <f>IF($D169="LEBL", IF(COUNTIF('Paises ECAC'!B:B, C169)&gt;0, "ECAC","NO ECAC"), "")</f>
        <v/>
      </c>
    </row>
    <row r="170" ht="14.25" customHeight="1">
      <c r="A170" s="1" t="s">
        <v>462</v>
      </c>
      <c r="B170" s="1" t="s">
        <v>25</v>
      </c>
      <c r="C170" s="1" t="s">
        <v>88</v>
      </c>
      <c r="D170" s="1" t="s">
        <v>21</v>
      </c>
      <c r="E170" s="1" t="s">
        <v>463</v>
      </c>
      <c r="F170" s="1">
        <v>390.0</v>
      </c>
      <c r="G170" s="5">
        <v>0.1951388888888889</v>
      </c>
      <c r="H170" s="1">
        <v>9.0</v>
      </c>
      <c r="I170" s="5">
        <v>0.2986111111111111</v>
      </c>
      <c r="J170" s="1" t="str">
        <f t="array" ref="J170">XLOOKUP(B170,cat!B:B,cat!C:C)</f>
        <v>D</v>
      </c>
      <c r="K170" s="1">
        <f t="array" ref="K170">XLOOKUP(B170,cat!B:B,cat!D:D)</f>
        <v>180</v>
      </c>
      <c r="L170" s="7">
        <f t="shared" si="1"/>
        <v>0.1034722222</v>
      </c>
      <c r="M170" s="7">
        <f t="shared" si="2"/>
        <v>0.08451388889</v>
      </c>
      <c r="P170" s="9"/>
      <c r="Q170" s="9">
        <f t="shared" si="3"/>
        <v>1683.516667</v>
      </c>
      <c r="R170" s="1" t="str">
        <f t="shared" si="4"/>
        <v>SAS</v>
      </c>
      <c r="S170" s="1" t="str">
        <f>IF($D170="LEBL", IF(COUNTIF('Paises ECAC'!B:B, C170)&gt;0, "ECAC","NO ECAC"), "")</f>
        <v>ECAC</v>
      </c>
    </row>
    <row r="171" ht="14.25" customHeight="1">
      <c r="A171" s="1" t="s">
        <v>464</v>
      </c>
      <c r="B171" s="1" t="s">
        <v>212</v>
      </c>
      <c r="C171" s="1" t="s">
        <v>227</v>
      </c>
      <c r="D171" s="1" t="s">
        <v>21</v>
      </c>
      <c r="E171" s="1" t="s">
        <v>465</v>
      </c>
      <c r="F171" s="1">
        <v>370.0</v>
      </c>
      <c r="G171" s="5">
        <v>0.23541666666666666</v>
      </c>
      <c r="H171" s="1">
        <v>9.0</v>
      </c>
      <c r="I171" s="5">
        <v>0.2986111111111111</v>
      </c>
      <c r="J171" s="1" t="str">
        <f t="array" ref="J171">XLOOKUP(B171,cat!B:B,cat!C:C)</f>
        <v>D</v>
      </c>
      <c r="K171" s="1">
        <f t="array" ref="K171">XLOOKUP(B171,cat!B:B,cat!D:D)</f>
        <v>200</v>
      </c>
      <c r="L171" s="7">
        <f t="shared" si="1"/>
        <v>0.06319444444</v>
      </c>
      <c r="M171" s="7">
        <f t="shared" si="2"/>
        <v>0.04423611111</v>
      </c>
      <c r="P171" s="9"/>
      <c r="Q171" s="9">
        <f t="shared" si="3"/>
        <v>881.1833333</v>
      </c>
      <c r="R171" s="1" t="str">
        <f t="shared" si="4"/>
        <v>DLH</v>
      </c>
      <c r="S171" s="1" t="str">
        <f>IF($D171="LEBL", IF(COUNTIF('Paises ECAC'!B:B, C171)&gt;0, "ECAC","NO ECAC"), "")</f>
        <v>ECAC</v>
      </c>
    </row>
    <row r="172" ht="14.25" customHeight="1">
      <c r="A172" s="1" t="s">
        <v>466</v>
      </c>
      <c r="B172" s="1" t="s">
        <v>35</v>
      </c>
      <c r="C172" s="1" t="s">
        <v>143</v>
      </c>
      <c r="D172" s="1" t="s">
        <v>21</v>
      </c>
      <c r="E172" s="1" t="s">
        <v>188</v>
      </c>
      <c r="F172" s="1">
        <v>180.0</v>
      </c>
      <c r="G172" s="5">
        <v>0.27361111111111114</v>
      </c>
      <c r="H172" s="1">
        <v>11.0</v>
      </c>
      <c r="I172" s="5">
        <v>0.3020833333333333</v>
      </c>
      <c r="J172" s="1" t="str">
        <f t="array" ref="J172">XLOOKUP(B172,cat!B:B,cat!C:C)</f>
        <v>D</v>
      </c>
      <c r="K172" s="1">
        <f t="array" ref="K172">XLOOKUP(B172,cat!B:B,cat!D:D)</f>
        <v>207</v>
      </c>
      <c r="L172" s="7">
        <f t="shared" si="1"/>
        <v>0.02847222222</v>
      </c>
      <c r="M172" s="7">
        <f t="shared" si="2"/>
        <v>0.008125</v>
      </c>
      <c r="P172" s="9"/>
      <c r="Q172" s="9">
        <f t="shared" si="3"/>
        <v>161.85</v>
      </c>
      <c r="R172" s="1" t="str">
        <f t="shared" si="4"/>
        <v>VLG</v>
      </c>
      <c r="S172" s="1" t="str">
        <f>IF($D172="LEBL", IF(COUNTIF('Paises ECAC'!B:B, C172)&gt;0, "ECAC","NO ECAC"), "")</f>
        <v>ECAC</v>
      </c>
    </row>
    <row r="173" ht="14.25" customHeight="1">
      <c r="A173" s="1" t="s">
        <v>467</v>
      </c>
      <c r="B173" s="1" t="s">
        <v>30</v>
      </c>
      <c r="C173" s="1" t="s">
        <v>21</v>
      </c>
      <c r="D173" s="1" t="s">
        <v>332</v>
      </c>
      <c r="E173" s="1" t="s">
        <v>333</v>
      </c>
      <c r="F173" s="1">
        <v>370.0</v>
      </c>
      <c r="G173" s="5">
        <v>0.3055555555555556</v>
      </c>
      <c r="H173" s="1">
        <v>20.0</v>
      </c>
      <c r="I173" s="5">
        <v>0.4166666666666667</v>
      </c>
      <c r="J173" s="1" t="str">
        <f t="array" ref="J173">XLOOKUP(B173,cat!B:B,cat!C:C)</f>
        <v>D</v>
      </c>
      <c r="K173" s="1">
        <f t="array" ref="K173">XLOOKUP(B173,cat!B:B,cat!D:D)</f>
        <v>173</v>
      </c>
      <c r="L173" s="7">
        <f t="shared" si="1"/>
        <v>0.1111111111</v>
      </c>
      <c r="M173" s="1" t="str">
        <f t="shared" si="2"/>
        <v/>
      </c>
      <c r="P173" s="9"/>
      <c r="Q173" s="9">
        <f t="shared" si="3"/>
        <v>0</v>
      </c>
      <c r="R173" s="1" t="str">
        <f t="shared" si="4"/>
        <v>FIA</v>
      </c>
      <c r="S173" s="1" t="str">
        <f>IF($D173="LEBL", IF(COUNTIF('Paises ECAC'!B:B, C173)&gt;0, "ECAC","NO ECAC"), "")</f>
        <v/>
      </c>
    </row>
    <row r="174" ht="14.25" customHeight="1">
      <c r="A174" s="1" t="s">
        <v>468</v>
      </c>
      <c r="B174" s="1" t="s">
        <v>294</v>
      </c>
      <c r="C174" s="1" t="s">
        <v>469</v>
      </c>
      <c r="D174" s="1" t="s">
        <v>21</v>
      </c>
      <c r="E174" s="1" t="s">
        <v>470</v>
      </c>
      <c r="F174" s="1">
        <v>360.0</v>
      </c>
      <c r="G174" s="5">
        <v>0.9791666666666666</v>
      </c>
      <c r="H174" s="1">
        <v>0.0</v>
      </c>
      <c r="I174" s="5">
        <v>0.3020833333333333</v>
      </c>
      <c r="J174" s="1" t="str">
        <f t="array" ref="J174">XLOOKUP(B174,cat!B:B,cat!C:C)</f>
        <v>B</v>
      </c>
      <c r="K174" s="1">
        <f t="array" ref="K174">XLOOKUP(B174,cat!B:B,cat!D:D)</f>
        <v>331</v>
      </c>
      <c r="L174" s="7">
        <f t="shared" si="1"/>
        <v>0.3229166667</v>
      </c>
      <c r="M174" s="7">
        <f t="shared" si="2"/>
        <v>0.3102083333</v>
      </c>
      <c r="P174" s="9"/>
      <c r="Q174" s="9">
        <f t="shared" si="3"/>
        <v>6700.5</v>
      </c>
      <c r="R174" s="1" t="str">
        <f t="shared" si="4"/>
        <v>ACA</v>
      </c>
      <c r="S174" s="1" t="str">
        <f>IF($D174="LEBL", IF(COUNTIF('Paises ECAC'!B:B, C174)&gt;0, "ECAC","NO ECAC"), "")</f>
        <v>NO ECAC</v>
      </c>
    </row>
    <row r="175" ht="14.25" customHeight="1">
      <c r="A175" s="1" t="s">
        <v>471</v>
      </c>
      <c r="B175" s="1" t="s">
        <v>19</v>
      </c>
      <c r="C175" s="1" t="s">
        <v>21</v>
      </c>
      <c r="D175" s="1" t="s">
        <v>322</v>
      </c>
      <c r="E175" s="1" t="s">
        <v>346</v>
      </c>
      <c r="F175" s="1">
        <v>350.0</v>
      </c>
      <c r="G175" s="5">
        <v>0.2986111111111111</v>
      </c>
      <c r="H175" s="1">
        <v>20.0</v>
      </c>
      <c r="I175" s="5">
        <v>0.3506944444444444</v>
      </c>
      <c r="J175" s="1" t="str">
        <f t="array" ref="J175">XLOOKUP(B175,cat!B:B,cat!C:C)</f>
        <v>D</v>
      </c>
      <c r="K175" s="1">
        <f t="array" ref="K175">XLOOKUP(B175,cat!B:B,cat!D:D)</f>
        <v>184</v>
      </c>
      <c r="L175" s="7">
        <f t="shared" si="1"/>
        <v>0.05208333333</v>
      </c>
      <c r="M175" s="1" t="str">
        <f t="shared" si="2"/>
        <v/>
      </c>
      <c r="P175" s="9"/>
      <c r="Q175" s="9">
        <f t="shared" si="3"/>
        <v>0</v>
      </c>
      <c r="R175" s="1" t="str">
        <f t="shared" si="4"/>
        <v>RYR</v>
      </c>
      <c r="S175" s="1" t="str">
        <f>IF($D175="LEBL", IF(COUNTIF('Paises ECAC'!B:B, C175)&gt;0, "ECAC","NO ECAC"), "")</f>
        <v/>
      </c>
    </row>
    <row r="176" ht="14.25" customHeight="1">
      <c r="A176" s="1" t="s">
        <v>472</v>
      </c>
      <c r="B176" s="1" t="s">
        <v>25</v>
      </c>
      <c r="C176" s="1" t="s">
        <v>21</v>
      </c>
      <c r="D176" s="1" t="s">
        <v>287</v>
      </c>
      <c r="E176" s="1" t="s">
        <v>341</v>
      </c>
      <c r="F176" s="1">
        <v>380.0</v>
      </c>
      <c r="G176" s="5">
        <v>0.3020833333333333</v>
      </c>
      <c r="H176" s="1">
        <v>10.0</v>
      </c>
      <c r="I176" s="5">
        <v>0.3784722222222222</v>
      </c>
      <c r="J176" s="1" t="str">
        <f t="array" ref="J176">XLOOKUP(B176,cat!B:B,cat!C:C)</f>
        <v>D</v>
      </c>
      <c r="K176" s="1">
        <f t="array" ref="K176">XLOOKUP(B176,cat!B:B,cat!D:D)</f>
        <v>180</v>
      </c>
      <c r="L176" s="7">
        <f t="shared" si="1"/>
        <v>0.07638888889</v>
      </c>
      <c r="M176" s="1" t="str">
        <f t="shared" si="2"/>
        <v/>
      </c>
      <c r="P176" s="9"/>
      <c r="Q176" s="9">
        <f t="shared" si="3"/>
        <v>0</v>
      </c>
      <c r="R176" s="1" t="str">
        <f t="shared" si="4"/>
        <v>LHX</v>
      </c>
      <c r="S176" s="1" t="str">
        <f>IF($D176="LEBL", IF(COUNTIF('Paises ECAC'!B:B, C176)&gt;0, "ECAC","NO ECAC"), "")</f>
        <v/>
      </c>
    </row>
    <row r="177" ht="14.25" customHeight="1">
      <c r="A177" s="1" t="s">
        <v>473</v>
      </c>
      <c r="B177" s="1" t="s">
        <v>40</v>
      </c>
      <c r="C177" s="1" t="s">
        <v>105</v>
      </c>
      <c r="D177" s="1" t="s">
        <v>21</v>
      </c>
      <c r="E177" s="1" t="s">
        <v>42</v>
      </c>
      <c r="F177" s="1">
        <v>290.0</v>
      </c>
      <c r="G177" s="5">
        <v>0.2604166666666667</v>
      </c>
      <c r="H177" s="1">
        <v>15.0</v>
      </c>
      <c r="I177" s="5">
        <v>0.3020833333333333</v>
      </c>
      <c r="J177" s="1" t="str">
        <f t="array" ref="J177">XLOOKUP(B177,cat!B:B,cat!C:C)</f>
        <v>D</v>
      </c>
      <c r="K177" s="1">
        <f t="array" ref="K177">XLOOKUP(B177,cat!B:B,cat!D:D)</f>
        <v>186</v>
      </c>
      <c r="L177" s="7">
        <f t="shared" si="1"/>
        <v>0.04166666667</v>
      </c>
      <c r="M177" s="7">
        <f t="shared" si="2"/>
        <v>0.01854166667</v>
      </c>
      <c r="P177" s="9"/>
      <c r="Q177" s="9">
        <f t="shared" si="3"/>
        <v>369.35</v>
      </c>
      <c r="R177" s="1" t="str">
        <f t="shared" si="4"/>
        <v>RYR</v>
      </c>
      <c r="S177" s="1" t="str">
        <f>IF($D177="LEBL", IF(COUNTIF('Paises ECAC'!B:B, C177)&gt;0, "ECAC","NO ECAC"), "")</f>
        <v>ECAC</v>
      </c>
    </row>
    <row r="178" ht="14.25" customHeight="1">
      <c r="A178" s="1" t="s">
        <v>474</v>
      </c>
      <c r="B178" s="1" t="s">
        <v>30</v>
      </c>
      <c r="C178" s="1" t="s">
        <v>21</v>
      </c>
      <c r="D178" s="1" t="s">
        <v>126</v>
      </c>
      <c r="E178" s="1" t="s">
        <v>475</v>
      </c>
      <c r="F178" s="1">
        <v>370.0</v>
      </c>
      <c r="G178" s="5">
        <v>0.30069444444444443</v>
      </c>
      <c r="H178" s="1">
        <v>11.0</v>
      </c>
      <c r="I178" s="5">
        <v>0.4236111111111111</v>
      </c>
      <c r="J178" s="1" t="str">
        <f t="array" ref="J178">XLOOKUP(B178,cat!B:B,cat!C:C)</f>
        <v>D</v>
      </c>
      <c r="K178" s="1">
        <f t="array" ref="K178">XLOOKUP(B178,cat!B:B,cat!D:D)</f>
        <v>173</v>
      </c>
      <c r="L178" s="7">
        <f t="shared" si="1"/>
        <v>0.1229166667</v>
      </c>
      <c r="M178" s="1" t="str">
        <f t="shared" si="2"/>
        <v/>
      </c>
      <c r="P178" s="9"/>
      <c r="Q178" s="9">
        <f t="shared" si="3"/>
        <v>0</v>
      </c>
      <c r="R178" s="1" t="str">
        <f t="shared" si="4"/>
        <v>VLG</v>
      </c>
      <c r="S178" s="1" t="str">
        <f>IF($D178="LEBL", IF(COUNTIF('Paises ECAC'!B:B, C178)&gt;0, "ECAC","NO ECAC"), "")</f>
        <v/>
      </c>
    </row>
    <row r="179" ht="14.25" customHeight="1">
      <c r="A179" s="1" t="s">
        <v>476</v>
      </c>
      <c r="B179" s="1" t="s">
        <v>477</v>
      </c>
      <c r="C179" s="1" t="s">
        <v>478</v>
      </c>
      <c r="D179" s="1" t="s">
        <v>21</v>
      </c>
      <c r="E179" s="1" t="s">
        <v>479</v>
      </c>
      <c r="F179" s="1">
        <v>410.0</v>
      </c>
      <c r="G179" s="5">
        <v>0.8819444444444444</v>
      </c>
      <c r="H179" s="1">
        <v>10.0</v>
      </c>
      <c r="I179" s="5">
        <v>0.3055555555555556</v>
      </c>
      <c r="J179" s="1" t="str">
        <f t="array" ref="J179">XLOOKUP(B179,cat!B:B,cat!C:C)</f>
        <v>B</v>
      </c>
      <c r="K179" s="1">
        <f t="array" ref="K179">XLOOKUP(B179,cat!B:B,cat!D:D)</f>
        <v>266</v>
      </c>
      <c r="L179" s="7">
        <f t="shared" si="1"/>
        <v>0.4236111111</v>
      </c>
      <c r="M179" s="7">
        <f t="shared" si="2"/>
        <v>0.4039583333</v>
      </c>
      <c r="P179" s="9"/>
      <c r="Q179" s="9">
        <f t="shared" si="3"/>
        <v>8725.5</v>
      </c>
      <c r="R179" s="1" t="str">
        <f t="shared" si="4"/>
        <v>AVA</v>
      </c>
      <c r="S179" s="1" t="str">
        <f>IF($D179="LEBL", IF(COUNTIF('Paises ECAC'!B:B, C179)&gt;0, "ECAC","NO ECAC"), "")</f>
        <v>NO ECAC</v>
      </c>
    </row>
    <row r="180" ht="14.25" customHeight="1">
      <c r="A180" s="1" t="s">
        <v>480</v>
      </c>
      <c r="B180" s="1" t="s">
        <v>19</v>
      </c>
      <c r="C180" s="1" t="s">
        <v>21</v>
      </c>
      <c r="D180" s="1" t="s">
        <v>169</v>
      </c>
      <c r="E180" s="1" t="s">
        <v>350</v>
      </c>
      <c r="F180" s="1">
        <v>360.0</v>
      </c>
      <c r="G180" s="5">
        <v>0.3076388888888889</v>
      </c>
      <c r="H180" s="1">
        <v>20.0</v>
      </c>
      <c r="I180" s="5">
        <v>0.3784722222222222</v>
      </c>
      <c r="J180" s="1" t="str">
        <f t="array" ref="J180">XLOOKUP(B180,cat!B:B,cat!C:C)</f>
        <v>D</v>
      </c>
      <c r="K180" s="1">
        <f t="array" ref="K180">XLOOKUP(B180,cat!B:B,cat!D:D)</f>
        <v>184</v>
      </c>
      <c r="L180" s="7">
        <f t="shared" si="1"/>
        <v>0.07083333333</v>
      </c>
      <c r="M180" s="1" t="str">
        <f t="shared" si="2"/>
        <v/>
      </c>
      <c r="P180" s="9"/>
      <c r="Q180" s="9">
        <f t="shared" si="3"/>
        <v>0</v>
      </c>
      <c r="R180" s="1" t="str">
        <f t="shared" si="4"/>
        <v>TRA</v>
      </c>
      <c r="S180" s="1" t="str">
        <f>IF($D180="LEBL", IF(COUNTIF('Paises ECAC'!B:B, C180)&gt;0, "ECAC","NO ECAC"), "")</f>
        <v/>
      </c>
    </row>
    <row r="181" ht="14.25" customHeight="1">
      <c r="A181" s="1" t="s">
        <v>481</v>
      </c>
      <c r="B181" s="1" t="s">
        <v>19</v>
      </c>
      <c r="C181" s="1" t="s">
        <v>21</v>
      </c>
      <c r="D181" s="1" t="s">
        <v>374</v>
      </c>
      <c r="E181" s="1" t="s">
        <v>375</v>
      </c>
      <c r="F181" s="1">
        <v>380.0</v>
      </c>
      <c r="G181" s="5">
        <v>0.3090277777777778</v>
      </c>
      <c r="H181" s="1">
        <v>20.0</v>
      </c>
      <c r="I181" s="5">
        <v>0.3958333333333333</v>
      </c>
      <c r="J181" s="1" t="str">
        <f t="array" ref="J181">XLOOKUP(B181,cat!B:B,cat!C:C)</f>
        <v>D</v>
      </c>
      <c r="K181" s="1">
        <f t="array" ref="K181">XLOOKUP(B181,cat!B:B,cat!D:D)</f>
        <v>184</v>
      </c>
      <c r="L181" s="7">
        <f t="shared" si="1"/>
        <v>0.08680555556</v>
      </c>
      <c r="M181" s="1" t="str">
        <f t="shared" si="2"/>
        <v/>
      </c>
      <c r="P181" s="9"/>
      <c r="Q181" s="9">
        <f t="shared" si="3"/>
        <v>0</v>
      </c>
      <c r="R181" s="1" t="str">
        <f t="shared" si="4"/>
        <v>RYR</v>
      </c>
      <c r="S181" s="1" t="str">
        <f>IF($D181="LEBL", IF(COUNTIF('Paises ECAC'!B:B, C181)&gt;0, "ECAC","NO ECAC"), "")</f>
        <v/>
      </c>
    </row>
    <row r="182" ht="14.25" customHeight="1">
      <c r="A182" s="1" t="s">
        <v>482</v>
      </c>
      <c r="B182" s="1" t="s">
        <v>30</v>
      </c>
      <c r="C182" s="1" t="s">
        <v>21</v>
      </c>
      <c r="D182" s="1" t="s">
        <v>221</v>
      </c>
      <c r="E182" s="1" t="s">
        <v>243</v>
      </c>
      <c r="F182" s="1">
        <v>360.0</v>
      </c>
      <c r="G182" s="5">
        <v>0.3</v>
      </c>
      <c r="H182" s="1">
        <v>12.0</v>
      </c>
      <c r="I182" s="5">
        <v>0.3854166666666667</v>
      </c>
      <c r="J182" s="1" t="str">
        <f t="array" ref="J182">XLOOKUP(B182,cat!B:B,cat!C:C)</f>
        <v>D</v>
      </c>
      <c r="K182" s="1">
        <f t="array" ref="K182">XLOOKUP(B182,cat!B:B,cat!D:D)</f>
        <v>173</v>
      </c>
      <c r="L182" s="7">
        <f t="shared" si="1"/>
        <v>0.08541666667</v>
      </c>
      <c r="M182" s="1" t="str">
        <f t="shared" si="2"/>
        <v/>
      </c>
      <c r="P182" s="9"/>
      <c r="Q182" s="9">
        <f t="shared" si="3"/>
        <v>0</v>
      </c>
      <c r="R182" s="1" t="str">
        <f t="shared" si="4"/>
        <v>VLG</v>
      </c>
      <c r="S182" s="1" t="str">
        <f>IF($D182="LEBL", IF(COUNTIF('Paises ECAC'!B:B, C182)&gt;0, "ECAC","NO ECAC"), "")</f>
        <v/>
      </c>
    </row>
    <row r="183" ht="14.25" customHeight="1">
      <c r="A183" s="1" t="s">
        <v>483</v>
      </c>
      <c r="B183" s="1" t="s">
        <v>30</v>
      </c>
      <c r="C183" s="1" t="s">
        <v>21</v>
      </c>
      <c r="D183" s="1" t="s">
        <v>218</v>
      </c>
      <c r="E183" s="1" t="s">
        <v>393</v>
      </c>
      <c r="F183" s="1">
        <v>290.0</v>
      </c>
      <c r="G183" s="5">
        <v>0.30486111111111114</v>
      </c>
      <c r="H183" s="1">
        <v>11.0</v>
      </c>
      <c r="I183" s="5">
        <v>0.34375</v>
      </c>
      <c r="J183" s="1" t="str">
        <f t="array" ref="J183">XLOOKUP(B183,cat!B:B,cat!C:C)</f>
        <v>D</v>
      </c>
      <c r="K183" s="1">
        <f t="array" ref="K183">XLOOKUP(B183,cat!B:B,cat!D:D)</f>
        <v>173</v>
      </c>
      <c r="L183" s="7">
        <f t="shared" si="1"/>
        <v>0.03888888889</v>
      </c>
      <c r="M183" s="1" t="str">
        <f t="shared" si="2"/>
        <v/>
      </c>
      <c r="P183" s="9"/>
      <c r="Q183" s="9">
        <f t="shared" si="3"/>
        <v>0</v>
      </c>
      <c r="R183" s="1" t="str">
        <f t="shared" si="4"/>
        <v>VLG</v>
      </c>
      <c r="S183" s="1" t="str">
        <f>IF($D183="LEBL", IF(COUNTIF('Paises ECAC'!B:B, C183)&gt;0, "ECAC","NO ECAC"), "")</f>
        <v/>
      </c>
    </row>
    <row r="184" ht="14.25" customHeight="1">
      <c r="A184" s="1" t="s">
        <v>484</v>
      </c>
      <c r="B184" s="1" t="s">
        <v>25</v>
      </c>
      <c r="C184" s="1" t="s">
        <v>485</v>
      </c>
      <c r="D184" s="1" t="s">
        <v>21</v>
      </c>
      <c r="E184" s="1" t="s">
        <v>486</v>
      </c>
      <c r="F184" s="1">
        <v>390.0</v>
      </c>
      <c r="G184" s="5">
        <v>0.23819444444444443</v>
      </c>
      <c r="H184" s="1">
        <v>10.0</v>
      </c>
      <c r="I184" s="5">
        <v>0.3055555555555556</v>
      </c>
      <c r="J184" s="1" t="str">
        <f t="array" ref="J184">XLOOKUP(B184,cat!B:B,cat!C:C)</f>
        <v>D</v>
      </c>
      <c r="K184" s="1">
        <f t="array" ref="K184">XLOOKUP(B184,cat!B:B,cat!D:D)</f>
        <v>180</v>
      </c>
      <c r="L184" s="7">
        <f t="shared" si="1"/>
        <v>0.06736111111</v>
      </c>
      <c r="M184" s="7">
        <f t="shared" si="2"/>
        <v>0.04770833333</v>
      </c>
      <c r="P184" s="9"/>
      <c r="Q184" s="9">
        <f t="shared" si="3"/>
        <v>950.35</v>
      </c>
      <c r="R184" s="1" t="str">
        <f t="shared" si="4"/>
        <v>EWG</v>
      </c>
      <c r="S184" s="1" t="str">
        <f>IF($D184="LEBL", IF(COUNTIF('Paises ECAC'!B:B, C184)&gt;0, "ECAC","NO ECAC"), "")</f>
        <v>ECAC</v>
      </c>
    </row>
    <row r="185" ht="14.25" customHeight="1">
      <c r="A185" s="1" t="s">
        <v>487</v>
      </c>
      <c r="B185" s="1" t="s">
        <v>30</v>
      </c>
      <c r="C185" s="1" t="s">
        <v>70</v>
      </c>
      <c r="D185" s="1" t="s">
        <v>21</v>
      </c>
      <c r="E185" s="1" t="s">
        <v>71</v>
      </c>
      <c r="F185" s="1">
        <v>380.0</v>
      </c>
      <c r="G185" s="5">
        <v>0.23958333333333334</v>
      </c>
      <c r="H185" s="1">
        <v>10.0</v>
      </c>
      <c r="I185" s="5">
        <v>0.3090277777777778</v>
      </c>
      <c r="J185" s="1" t="str">
        <f t="array" ref="J185">XLOOKUP(B185,cat!B:B,cat!C:C)</f>
        <v>D</v>
      </c>
      <c r="K185" s="1">
        <f t="array" ref="K185">XLOOKUP(B185,cat!B:B,cat!D:D)</f>
        <v>173</v>
      </c>
      <c r="L185" s="7">
        <f t="shared" si="1"/>
        <v>0.06944444444</v>
      </c>
      <c r="M185" s="7">
        <f t="shared" si="2"/>
        <v>0.04979166667</v>
      </c>
      <c r="P185" s="9"/>
      <c r="Q185" s="9">
        <f t="shared" si="3"/>
        <v>991.85</v>
      </c>
      <c r="R185" s="1" t="str">
        <f t="shared" si="4"/>
        <v>VLG</v>
      </c>
      <c r="S185" s="1" t="str">
        <f>IF($D185="LEBL", IF(COUNTIF('Paises ECAC'!B:B, C185)&gt;0, "ECAC","NO ECAC"), "")</f>
        <v>NO ECAC</v>
      </c>
    </row>
    <row r="186" ht="14.25" customHeight="1">
      <c r="A186" s="1" t="s">
        <v>488</v>
      </c>
      <c r="B186" s="1" t="s">
        <v>25</v>
      </c>
      <c r="C186" s="1" t="s">
        <v>489</v>
      </c>
      <c r="D186" s="1" t="s">
        <v>21</v>
      </c>
      <c r="E186" s="1" t="s">
        <v>490</v>
      </c>
      <c r="F186" s="1">
        <v>390.0</v>
      </c>
      <c r="G186" s="5">
        <v>0.2222222222222222</v>
      </c>
      <c r="H186" s="1">
        <v>10.0</v>
      </c>
      <c r="I186" s="5">
        <v>0.3090277777777778</v>
      </c>
      <c r="J186" s="1" t="str">
        <f t="array" ref="J186">XLOOKUP(B186,cat!B:B,cat!C:C)</f>
        <v>D</v>
      </c>
      <c r="K186" s="1">
        <f t="array" ref="K186">XLOOKUP(B186,cat!B:B,cat!D:D)</f>
        <v>180</v>
      </c>
      <c r="L186" s="7">
        <f t="shared" si="1"/>
        <v>0.08680555556</v>
      </c>
      <c r="M186" s="7">
        <f t="shared" si="2"/>
        <v>0.06715277778</v>
      </c>
      <c r="P186" s="9"/>
      <c r="Q186" s="9">
        <f t="shared" si="3"/>
        <v>1337.683333</v>
      </c>
      <c r="R186" s="1" t="str">
        <f t="shared" si="4"/>
        <v>EZY</v>
      </c>
      <c r="S186" s="1" t="str">
        <f>IF($D186="LEBL", IF(COUNTIF('Paises ECAC'!B:B, C186)&gt;0, "ECAC","NO ECAC"), "")</f>
        <v>ECAC</v>
      </c>
    </row>
    <row r="187" ht="14.25" customHeight="1">
      <c r="A187" s="1" t="s">
        <v>491</v>
      </c>
      <c r="B187" s="1" t="s">
        <v>30</v>
      </c>
      <c r="C187" s="1" t="s">
        <v>21</v>
      </c>
      <c r="D187" s="1" t="s">
        <v>156</v>
      </c>
      <c r="E187" s="1" t="s">
        <v>327</v>
      </c>
      <c r="F187" s="1">
        <v>170.0</v>
      </c>
      <c r="G187" s="5">
        <v>0.30972222222222223</v>
      </c>
      <c r="H187" s="1">
        <v>11.0</v>
      </c>
      <c r="I187" s="5">
        <v>0.3298611111111111</v>
      </c>
      <c r="J187" s="1" t="str">
        <f t="array" ref="J187">XLOOKUP(B187,cat!B:B,cat!C:C)</f>
        <v>D</v>
      </c>
      <c r="K187" s="1">
        <f t="array" ref="K187">XLOOKUP(B187,cat!B:B,cat!D:D)</f>
        <v>173</v>
      </c>
      <c r="L187" s="7">
        <f t="shared" si="1"/>
        <v>0.02013888889</v>
      </c>
      <c r="M187" s="1" t="str">
        <f t="shared" si="2"/>
        <v/>
      </c>
      <c r="P187" s="9"/>
      <c r="Q187" s="9">
        <f t="shared" si="3"/>
        <v>0</v>
      </c>
      <c r="R187" s="1" t="str">
        <f t="shared" si="4"/>
        <v>VLG</v>
      </c>
      <c r="S187" s="1" t="str">
        <f>IF($D187="LEBL", IF(COUNTIF('Paises ECAC'!B:B, C187)&gt;0, "ECAC","NO ECAC"), "")</f>
        <v/>
      </c>
    </row>
    <row r="188" ht="14.25" customHeight="1">
      <c r="A188" s="1" t="s">
        <v>492</v>
      </c>
      <c r="B188" s="1" t="s">
        <v>19</v>
      </c>
      <c r="C188" s="1" t="s">
        <v>100</v>
      </c>
      <c r="D188" s="1" t="s">
        <v>21</v>
      </c>
      <c r="E188" s="1" t="s">
        <v>101</v>
      </c>
      <c r="F188" s="1">
        <v>350.0</v>
      </c>
      <c r="G188" s="5">
        <v>0.2611111111111111</v>
      </c>
      <c r="H188" s="1">
        <v>11.0</v>
      </c>
      <c r="I188" s="5">
        <v>0.3090277777777778</v>
      </c>
      <c r="J188" s="1" t="str">
        <f t="array" ref="J188">XLOOKUP(B188,cat!B:B,cat!C:C)</f>
        <v>D</v>
      </c>
      <c r="K188" s="1">
        <f t="array" ref="K188">XLOOKUP(B188,cat!B:B,cat!D:D)</f>
        <v>184</v>
      </c>
      <c r="L188" s="7">
        <f t="shared" si="1"/>
        <v>0.04791666667</v>
      </c>
      <c r="M188" s="7">
        <f t="shared" si="2"/>
        <v>0.02756944444</v>
      </c>
      <c r="P188" s="9"/>
      <c r="Q188" s="9">
        <f t="shared" si="3"/>
        <v>549.1833333</v>
      </c>
      <c r="R188" s="1" t="str">
        <f t="shared" si="4"/>
        <v>RYR</v>
      </c>
      <c r="S188" s="1" t="str">
        <f>IF($D188="LEBL", IF(COUNTIF('Paises ECAC'!B:B, C188)&gt;0, "ECAC","NO ECAC"), "")</f>
        <v>ECAC</v>
      </c>
    </row>
    <row r="189" ht="14.25" customHeight="1">
      <c r="A189" s="1" t="s">
        <v>493</v>
      </c>
      <c r="B189" s="1" t="s">
        <v>182</v>
      </c>
      <c r="C189" s="1" t="s">
        <v>21</v>
      </c>
      <c r="D189" s="1" t="s">
        <v>183</v>
      </c>
      <c r="E189" s="1" t="s">
        <v>184</v>
      </c>
      <c r="F189" s="1">
        <v>390.0</v>
      </c>
      <c r="G189" s="5">
        <v>0.3125</v>
      </c>
      <c r="H189" s="1">
        <v>15.0</v>
      </c>
      <c r="I189" s="5">
        <v>0.5451388888888888</v>
      </c>
      <c r="J189" s="1" t="str">
        <f t="array" ref="J189">XLOOKUP(B189,cat!B:B,cat!C:C)</f>
        <v>B</v>
      </c>
      <c r="K189" s="1">
        <f t="array" ref="K189">XLOOKUP(B189,cat!B:B,cat!D:D)</f>
        <v>284</v>
      </c>
      <c r="L189" s="7">
        <f t="shared" si="1"/>
        <v>0.2326388889</v>
      </c>
      <c r="M189" s="1" t="str">
        <f t="shared" si="2"/>
        <v/>
      </c>
      <c r="P189" s="9"/>
      <c r="Q189" s="9">
        <f t="shared" si="3"/>
        <v>0</v>
      </c>
      <c r="R189" s="1" t="str">
        <f t="shared" si="4"/>
        <v>QTR</v>
      </c>
      <c r="S189" s="1" t="str">
        <f>IF($D189="LEBL", IF(COUNTIF('Paises ECAC'!B:B, C189)&gt;0, "ECAC","NO ECAC"), "")</f>
        <v/>
      </c>
    </row>
    <row r="190" ht="14.25" customHeight="1">
      <c r="A190" s="1" t="s">
        <v>494</v>
      </c>
      <c r="B190" s="1" t="s">
        <v>35</v>
      </c>
      <c r="C190" s="1" t="s">
        <v>21</v>
      </c>
      <c r="D190" s="1" t="s">
        <v>234</v>
      </c>
      <c r="E190" s="1" t="s">
        <v>388</v>
      </c>
      <c r="F190" s="1">
        <v>290.0</v>
      </c>
      <c r="G190" s="5">
        <v>0.3104166666666667</v>
      </c>
      <c r="H190" s="1">
        <v>12.0</v>
      </c>
      <c r="I190" s="5">
        <v>0.34375</v>
      </c>
      <c r="J190" s="1" t="str">
        <f t="array" ref="J190">XLOOKUP(B190,cat!B:B,cat!C:C)</f>
        <v>D</v>
      </c>
      <c r="K190" s="1">
        <f t="array" ref="K190">XLOOKUP(B190,cat!B:B,cat!D:D)</f>
        <v>207</v>
      </c>
      <c r="L190" s="7">
        <f t="shared" si="1"/>
        <v>0.03333333333</v>
      </c>
      <c r="M190" s="1" t="str">
        <f t="shared" si="2"/>
        <v/>
      </c>
      <c r="P190" s="9"/>
      <c r="Q190" s="9">
        <f t="shared" si="3"/>
        <v>0</v>
      </c>
      <c r="R190" s="1" t="str">
        <f t="shared" si="4"/>
        <v>IBE</v>
      </c>
      <c r="S190" s="1" t="str">
        <f>IF($D190="LEBL", IF(COUNTIF('Paises ECAC'!B:B, C190)&gt;0, "ECAC","NO ECAC"), "")</f>
        <v/>
      </c>
    </row>
    <row r="191" ht="14.25" customHeight="1">
      <c r="A191" s="1" t="s">
        <v>495</v>
      </c>
      <c r="B191" s="1" t="s">
        <v>496</v>
      </c>
      <c r="C191" s="1" t="s">
        <v>234</v>
      </c>
      <c r="D191" s="1" t="s">
        <v>21</v>
      </c>
      <c r="E191" s="1" t="s">
        <v>495</v>
      </c>
      <c r="F191" s="1">
        <v>280.0</v>
      </c>
      <c r="G191" s="5">
        <v>0.27152777777777776</v>
      </c>
      <c r="H191" s="1">
        <v>21.0</v>
      </c>
      <c r="I191" s="5">
        <v>0.3125</v>
      </c>
      <c r="J191" s="1" t="str">
        <f t="array" ref="J191">XLOOKUP(B191,cat!B:B,cat!C:C)</f>
        <v>E</v>
      </c>
      <c r="K191" s="1">
        <f t="array" ref="K191">XLOOKUP(B191,cat!B:B,cat!D:D)</f>
        <v>15</v>
      </c>
      <c r="L191" s="7">
        <f t="shared" si="1"/>
        <v>0.04097222222</v>
      </c>
      <c r="M191" s="7">
        <f t="shared" si="2"/>
        <v>0.01368055556</v>
      </c>
      <c r="P191" s="9"/>
      <c r="Q191" s="9">
        <f t="shared" si="3"/>
        <v>147.75</v>
      </c>
      <c r="R191" s="1" t="str">
        <f t="shared" si="4"/>
        <v>N81</v>
      </c>
      <c r="S191" s="1" t="str">
        <f>IF($D191="LEBL", IF(COUNTIF('Paises ECAC'!B:B, C191)&gt;0, "ECAC","NO ECAC"), "")</f>
        <v>ECAC</v>
      </c>
    </row>
    <row r="192" ht="14.25" customHeight="1">
      <c r="A192" s="1" t="s">
        <v>497</v>
      </c>
      <c r="B192" s="1" t="s">
        <v>182</v>
      </c>
      <c r="C192" s="1" t="s">
        <v>498</v>
      </c>
      <c r="D192" s="1" t="s">
        <v>21</v>
      </c>
      <c r="E192" s="1" t="s">
        <v>499</v>
      </c>
      <c r="F192" s="1">
        <v>400.0</v>
      </c>
      <c r="G192" s="5">
        <v>0.8819444444444444</v>
      </c>
      <c r="H192" s="1">
        <v>10.0</v>
      </c>
      <c r="I192" s="5">
        <v>0.3125</v>
      </c>
      <c r="J192" s="1" t="str">
        <f t="array" ref="J192">XLOOKUP(B192,cat!B:B,cat!C:C)</f>
        <v>B</v>
      </c>
      <c r="K192" s="1">
        <f t="array" ref="K192">XLOOKUP(B192,cat!B:B,cat!D:D)</f>
        <v>284</v>
      </c>
      <c r="L192" s="7">
        <f t="shared" si="1"/>
        <v>0.4305555556</v>
      </c>
      <c r="M192" s="7">
        <f t="shared" si="2"/>
        <v>0.4109027778</v>
      </c>
      <c r="P192" s="9"/>
      <c r="Q192" s="9">
        <f t="shared" si="3"/>
        <v>8875.5</v>
      </c>
      <c r="R192" s="1" t="str">
        <f t="shared" si="4"/>
        <v>TAM</v>
      </c>
      <c r="S192" s="1" t="str">
        <f>IF($D192="LEBL", IF(COUNTIF('Paises ECAC'!B:B, C192)&gt;0, "ECAC","NO ECAC"), "")</f>
        <v>NO ECAC</v>
      </c>
    </row>
    <row r="193" ht="14.25" customHeight="1">
      <c r="A193" s="1" t="s">
        <v>500</v>
      </c>
      <c r="B193" s="1" t="s">
        <v>19</v>
      </c>
      <c r="C193" s="1" t="s">
        <v>21</v>
      </c>
      <c r="D193" s="1" t="s">
        <v>501</v>
      </c>
      <c r="E193" s="1" t="s">
        <v>144</v>
      </c>
      <c r="F193" s="1">
        <v>370.0</v>
      </c>
      <c r="G193" s="5">
        <v>0.3159722222222222</v>
      </c>
      <c r="H193" s="1">
        <v>20.0</v>
      </c>
      <c r="I193" s="5">
        <v>0.3923611111111111</v>
      </c>
      <c r="J193" s="1" t="str">
        <f t="array" ref="J193">XLOOKUP(B193,cat!B:B,cat!C:C)</f>
        <v>D</v>
      </c>
      <c r="K193" s="1">
        <f t="array" ref="K193">XLOOKUP(B193,cat!B:B,cat!D:D)</f>
        <v>184</v>
      </c>
      <c r="L193" s="7">
        <f t="shared" si="1"/>
        <v>0.07638888889</v>
      </c>
      <c r="M193" s="1" t="str">
        <f t="shared" si="2"/>
        <v/>
      </c>
      <c r="P193" s="9"/>
      <c r="Q193" s="9">
        <f t="shared" si="3"/>
        <v>0</v>
      </c>
      <c r="R193" s="1" t="str">
        <f t="shared" si="4"/>
        <v>RYR</v>
      </c>
      <c r="S193" s="1" t="str">
        <f>IF($D193="LEBL", IF(COUNTIF('Paises ECAC'!B:B, C193)&gt;0, "ECAC","NO ECAC"), "")</f>
        <v/>
      </c>
    </row>
    <row r="194" ht="14.25" customHeight="1">
      <c r="A194" s="1" t="s">
        <v>502</v>
      </c>
      <c r="B194" s="1" t="s">
        <v>30</v>
      </c>
      <c r="C194" s="1" t="s">
        <v>97</v>
      </c>
      <c r="D194" s="1" t="s">
        <v>21</v>
      </c>
      <c r="E194" s="1" t="s">
        <v>98</v>
      </c>
      <c r="F194" s="1">
        <v>310.0</v>
      </c>
      <c r="G194" s="5">
        <v>0.26944444444444443</v>
      </c>
      <c r="H194" s="1">
        <v>17.0</v>
      </c>
      <c r="I194" s="5">
        <v>0.3159722222222222</v>
      </c>
      <c r="J194" s="1" t="str">
        <f t="array" ref="J194">XLOOKUP(B194,cat!B:B,cat!C:C)</f>
        <v>D</v>
      </c>
      <c r="K194" s="1">
        <f t="array" ref="K194">XLOOKUP(B194,cat!B:B,cat!D:D)</f>
        <v>173</v>
      </c>
      <c r="L194" s="7">
        <f t="shared" si="1"/>
        <v>0.04652777778</v>
      </c>
      <c r="M194" s="7">
        <f t="shared" si="2"/>
        <v>0.02201388889</v>
      </c>
      <c r="P194" s="9"/>
      <c r="Q194" s="9">
        <f t="shared" si="3"/>
        <v>438.5166667</v>
      </c>
      <c r="R194" s="1" t="str">
        <f t="shared" si="4"/>
        <v>VLG</v>
      </c>
      <c r="S194" s="1" t="str">
        <f>IF($D194="LEBL", IF(COUNTIF('Paises ECAC'!B:B, C194)&gt;0, "ECAC","NO ECAC"), "")</f>
        <v>ECAC</v>
      </c>
    </row>
    <row r="195" ht="14.25" customHeight="1">
      <c r="A195" s="1" t="s">
        <v>503</v>
      </c>
      <c r="B195" s="1" t="s">
        <v>40</v>
      </c>
      <c r="C195" s="1" t="s">
        <v>504</v>
      </c>
      <c r="D195" s="1" t="s">
        <v>21</v>
      </c>
      <c r="E195" s="1" t="s">
        <v>505</v>
      </c>
      <c r="F195" s="1">
        <v>400.0</v>
      </c>
      <c r="G195" s="5">
        <v>0.17083333333333334</v>
      </c>
      <c r="H195" s="1">
        <v>6.0</v>
      </c>
      <c r="I195" s="5">
        <v>0.3159722222222222</v>
      </c>
      <c r="J195" s="1" t="str">
        <f t="array" ref="J195">XLOOKUP(B195,cat!B:B,cat!C:C)</f>
        <v>D</v>
      </c>
      <c r="K195" s="1">
        <f t="array" ref="K195">XLOOKUP(B195,cat!B:B,cat!D:D)</f>
        <v>186</v>
      </c>
      <c r="L195" s="7">
        <f t="shared" si="1"/>
        <v>0.1451388889</v>
      </c>
      <c r="M195" s="7">
        <f t="shared" si="2"/>
        <v>0.1282638889</v>
      </c>
      <c r="P195" s="9"/>
      <c r="Q195" s="9">
        <f t="shared" si="3"/>
        <v>2555.016667</v>
      </c>
      <c r="R195" s="1" t="str">
        <f t="shared" si="4"/>
        <v>NSZ</v>
      </c>
      <c r="S195" s="1" t="str">
        <f>IF($D195="LEBL", IF(COUNTIF('Paises ECAC'!B:B, C195)&gt;0, "ECAC","NO ECAC"), "")</f>
        <v>ECAC</v>
      </c>
    </row>
    <row r="196" ht="14.25" customHeight="1">
      <c r="A196" s="1" t="s">
        <v>506</v>
      </c>
      <c r="B196" s="1" t="s">
        <v>40</v>
      </c>
      <c r="C196" s="1" t="s">
        <v>21</v>
      </c>
      <c r="D196" s="1" t="s">
        <v>338</v>
      </c>
      <c r="E196" s="1" t="s">
        <v>339</v>
      </c>
      <c r="F196" s="1">
        <v>370.0</v>
      </c>
      <c r="G196" s="5">
        <v>0.32013888888888886</v>
      </c>
      <c r="H196" s="1">
        <v>20.0</v>
      </c>
      <c r="I196" s="5">
        <v>0.4479166666666667</v>
      </c>
      <c r="J196" s="1" t="str">
        <f t="array" ref="J196">XLOOKUP(B196,cat!B:B,cat!C:C)</f>
        <v>D</v>
      </c>
      <c r="K196" s="1">
        <f t="array" ref="K196">XLOOKUP(B196,cat!B:B,cat!D:D)</f>
        <v>186</v>
      </c>
      <c r="L196" s="7">
        <f t="shared" si="1"/>
        <v>0.1277777778</v>
      </c>
      <c r="M196" s="1" t="str">
        <f t="shared" si="2"/>
        <v/>
      </c>
      <c r="P196" s="9"/>
      <c r="Q196" s="9">
        <f t="shared" si="3"/>
        <v>0</v>
      </c>
      <c r="R196" s="1" t="str">
        <f t="shared" si="4"/>
        <v>RYR</v>
      </c>
      <c r="S196" s="1" t="str">
        <f>IF($D196="LEBL", IF(COUNTIF('Paises ECAC'!B:B, C196)&gt;0, "ECAC","NO ECAC"), "")</f>
        <v/>
      </c>
    </row>
    <row r="197" ht="14.25" customHeight="1">
      <c r="A197" s="1" t="s">
        <v>507</v>
      </c>
      <c r="B197" s="1" t="s">
        <v>212</v>
      </c>
      <c r="C197" s="1" t="s">
        <v>21</v>
      </c>
      <c r="D197" s="1" t="s">
        <v>290</v>
      </c>
      <c r="E197" s="1" t="s">
        <v>291</v>
      </c>
      <c r="F197" s="1">
        <v>370.0</v>
      </c>
      <c r="G197" s="5">
        <v>0.32083333333333336</v>
      </c>
      <c r="H197" s="1">
        <v>20.0</v>
      </c>
      <c r="I197" s="5">
        <v>0.4270833333333333</v>
      </c>
      <c r="J197" s="1" t="str">
        <f t="array" ref="J197">XLOOKUP(B197,cat!B:B,cat!C:C)</f>
        <v>D</v>
      </c>
      <c r="K197" s="1">
        <f t="array" ref="K197">XLOOKUP(B197,cat!B:B,cat!D:D)</f>
        <v>200</v>
      </c>
      <c r="L197" s="7">
        <f t="shared" si="1"/>
        <v>0.10625</v>
      </c>
      <c r="M197" s="1" t="str">
        <f t="shared" si="2"/>
        <v/>
      </c>
      <c r="P197" s="9"/>
      <c r="Q197" s="9">
        <f t="shared" si="3"/>
        <v>0</v>
      </c>
      <c r="R197" s="1" t="str">
        <f t="shared" si="4"/>
        <v>WMT</v>
      </c>
      <c r="S197" s="1" t="str">
        <f>IF($D197="LEBL", IF(COUNTIF('Paises ECAC'!B:B, C197)&gt;0, "ECAC","NO ECAC"), "")</f>
        <v/>
      </c>
    </row>
    <row r="198" ht="14.25" customHeight="1">
      <c r="A198" s="1" t="s">
        <v>508</v>
      </c>
      <c r="B198" s="1" t="s">
        <v>30</v>
      </c>
      <c r="C198" s="1" t="s">
        <v>509</v>
      </c>
      <c r="D198" s="1" t="s">
        <v>21</v>
      </c>
      <c r="E198" s="1" t="s">
        <v>510</v>
      </c>
      <c r="F198" s="1">
        <v>390.0</v>
      </c>
      <c r="G198" s="5">
        <v>0.24027777777777778</v>
      </c>
      <c r="H198" s="1">
        <v>11.0</v>
      </c>
      <c r="I198" s="5">
        <v>0.3159722222222222</v>
      </c>
      <c r="J198" s="1" t="str">
        <f t="array" ref="J198">XLOOKUP(B198,cat!B:B,cat!C:C)</f>
        <v>D</v>
      </c>
      <c r="K198" s="1">
        <f t="array" ref="K198">XLOOKUP(B198,cat!B:B,cat!D:D)</f>
        <v>173</v>
      </c>
      <c r="L198" s="7">
        <f t="shared" si="1"/>
        <v>0.07569444444</v>
      </c>
      <c r="M198" s="7">
        <f t="shared" si="2"/>
        <v>0.05534722222</v>
      </c>
      <c r="P198" s="9"/>
      <c r="Q198" s="9">
        <f t="shared" si="3"/>
        <v>1102.516667</v>
      </c>
      <c r="R198" s="1" t="str">
        <f t="shared" si="4"/>
        <v>EWG</v>
      </c>
      <c r="S198" s="1" t="str">
        <f>IF($D198="LEBL", IF(COUNTIF('Paises ECAC'!B:B, C198)&gt;0, "ECAC","NO ECAC"), "")</f>
        <v>ECAC</v>
      </c>
    </row>
    <row r="199" ht="14.25" customHeight="1">
      <c r="A199" s="1" t="s">
        <v>511</v>
      </c>
      <c r="B199" s="1" t="s">
        <v>19</v>
      </c>
      <c r="C199" s="1" t="s">
        <v>21</v>
      </c>
      <c r="D199" s="1" t="s">
        <v>390</v>
      </c>
      <c r="E199" s="1" t="s">
        <v>391</v>
      </c>
      <c r="F199" s="1">
        <v>370.0</v>
      </c>
      <c r="G199" s="5">
        <v>0.3194444444444444</v>
      </c>
      <c r="H199" s="1">
        <v>20.0</v>
      </c>
      <c r="I199" s="5">
        <v>0.4583333333333333</v>
      </c>
      <c r="J199" s="1" t="str">
        <f t="array" ref="J199">XLOOKUP(B199,cat!B:B,cat!C:C)</f>
        <v>D</v>
      </c>
      <c r="K199" s="1">
        <f t="array" ref="K199">XLOOKUP(B199,cat!B:B,cat!D:D)</f>
        <v>184</v>
      </c>
      <c r="L199" s="7">
        <f t="shared" si="1"/>
        <v>0.1388888889</v>
      </c>
      <c r="M199" s="1" t="str">
        <f t="shared" si="2"/>
        <v/>
      </c>
      <c r="P199" s="9"/>
      <c r="Q199" s="9">
        <f t="shared" si="3"/>
        <v>0</v>
      </c>
      <c r="R199" s="1" t="str">
        <f t="shared" si="4"/>
        <v>RYR</v>
      </c>
      <c r="S199" s="1" t="str">
        <f>IF($D199="LEBL", IF(COUNTIF('Paises ECAC'!B:B, C199)&gt;0, "ECAC","NO ECAC"), "")</f>
        <v/>
      </c>
    </row>
    <row r="200" ht="14.25" customHeight="1">
      <c r="A200" s="1" t="s">
        <v>512</v>
      </c>
      <c r="B200" s="1" t="s">
        <v>122</v>
      </c>
      <c r="C200" s="1" t="s">
        <v>513</v>
      </c>
      <c r="D200" s="1" t="s">
        <v>21</v>
      </c>
      <c r="E200" s="1" t="s">
        <v>514</v>
      </c>
      <c r="F200" s="1">
        <v>410.0</v>
      </c>
      <c r="G200" s="5">
        <v>0.9583333333333334</v>
      </c>
      <c r="H200" s="1">
        <v>10.0</v>
      </c>
      <c r="I200" s="5">
        <v>0.3194444444444444</v>
      </c>
      <c r="J200" s="1" t="str">
        <f t="array" ref="J200">XLOOKUP(B200,cat!B:B,cat!C:C)</f>
        <v>B</v>
      </c>
      <c r="K200" s="1">
        <f t="array" ref="K200">XLOOKUP(B200,cat!B:B,cat!D:D)</f>
        <v>297</v>
      </c>
      <c r="L200" s="7">
        <f t="shared" si="1"/>
        <v>0.3611111111</v>
      </c>
      <c r="M200" s="7">
        <f t="shared" si="2"/>
        <v>0.3414583333</v>
      </c>
      <c r="P200" s="9"/>
      <c r="Q200" s="9">
        <f t="shared" si="3"/>
        <v>7375.5</v>
      </c>
      <c r="R200" s="1" t="str">
        <f t="shared" si="4"/>
        <v>DAL</v>
      </c>
      <c r="S200" s="1" t="str">
        <f>IF($D200="LEBL", IF(COUNTIF('Paises ECAC'!B:B, C200)&gt;0, "ECAC","NO ECAC"), "")</f>
        <v>NO ECAC</v>
      </c>
    </row>
    <row r="201" ht="14.25" customHeight="1">
      <c r="A201" s="1" t="s">
        <v>515</v>
      </c>
      <c r="B201" s="1" t="s">
        <v>400</v>
      </c>
      <c r="C201" s="1" t="s">
        <v>21</v>
      </c>
      <c r="D201" s="1" t="s">
        <v>169</v>
      </c>
      <c r="E201" s="1" t="s">
        <v>401</v>
      </c>
      <c r="F201" s="1">
        <v>380.0</v>
      </c>
      <c r="G201" s="5">
        <v>0.3236111111111111</v>
      </c>
      <c r="H201" s="1">
        <v>10.0</v>
      </c>
      <c r="I201" s="5">
        <v>0.3958333333333333</v>
      </c>
      <c r="J201" s="1" t="str">
        <f t="array" ref="J201">XLOOKUP(B201,cat!B:B,cat!C:C)</f>
        <v>E</v>
      </c>
      <c r="K201" s="1">
        <f t="array" ref="K201">XLOOKUP(B201,cat!B:B,cat!D:D)</f>
        <v>104</v>
      </c>
      <c r="L201" s="7">
        <f t="shared" si="1"/>
        <v>0.07222222222</v>
      </c>
      <c r="M201" s="1" t="str">
        <f t="shared" si="2"/>
        <v/>
      </c>
      <c r="P201" s="9"/>
      <c r="Q201" s="9">
        <f t="shared" si="3"/>
        <v>0</v>
      </c>
      <c r="R201" s="1" t="str">
        <f t="shared" si="4"/>
        <v>KLM</v>
      </c>
      <c r="S201" s="1" t="str">
        <f>IF($D201="LEBL", IF(COUNTIF('Paises ECAC'!B:B, C201)&gt;0, "ECAC","NO ECAC"), "")</f>
        <v/>
      </c>
    </row>
    <row r="202" ht="14.25" customHeight="1">
      <c r="A202" s="1" t="s">
        <v>516</v>
      </c>
      <c r="B202" s="1" t="s">
        <v>19</v>
      </c>
      <c r="C202" s="1" t="s">
        <v>41</v>
      </c>
      <c r="D202" s="1" t="s">
        <v>21</v>
      </c>
      <c r="E202" s="1" t="s">
        <v>517</v>
      </c>
      <c r="F202" s="1">
        <v>370.0</v>
      </c>
      <c r="G202" s="5">
        <v>0.24444444444444444</v>
      </c>
      <c r="H202" s="1">
        <v>22.0</v>
      </c>
      <c r="I202" s="5">
        <v>0.3194444444444444</v>
      </c>
      <c r="J202" s="1" t="str">
        <f t="array" ref="J202">XLOOKUP(B202,cat!B:B,cat!C:C)</f>
        <v>D</v>
      </c>
      <c r="K202" s="1">
        <f t="array" ref="K202">XLOOKUP(B202,cat!B:B,cat!D:D)</f>
        <v>184</v>
      </c>
      <c r="L202" s="7">
        <f t="shared" si="1"/>
        <v>0.075</v>
      </c>
      <c r="M202" s="7">
        <f t="shared" si="2"/>
        <v>0.04701388889</v>
      </c>
      <c r="P202" s="9"/>
      <c r="Q202" s="9">
        <f t="shared" si="3"/>
        <v>936.5166667</v>
      </c>
      <c r="R202" s="1" t="str">
        <f t="shared" si="4"/>
        <v>RYR</v>
      </c>
      <c r="S202" s="1" t="str">
        <f>IF($D202="LEBL", IF(COUNTIF('Paises ECAC'!B:B, C202)&gt;0, "ECAC","NO ECAC"), "")</f>
        <v>ECAC</v>
      </c>
    </row>
    <row r="203" ht="14.25" customHeight="1">
      <c r="A203" s="1" t="s">
        <v>518</v>
      </c>
      <c r="B203" s="1" t="s">
        <v>136</v>
      </c>
      <c r="C203" s="1" t="s">
        <v>137</v>
      </c>
      <c r="D203" s="1" t="s">
        <v>21</v>
      </c>
      <c r="E203" s="1" t="s">
        <v>138</v>
      </c>
      <c r="F203" s="1">
        <v>290.0</v>
      </c>
      <c r="G203" s="5">
        <v>0.28125</v>
      </c>
      <c r="H203" s="1">
        <v>10.0</v>
      </c>
      <c r="I203" s="5">
        <v>0.3194444444444444</v>
      </c>
      <c r="J203" s="1" t="str">
        <f t="array" ref="J203">XLOOKUP(B203,cat!B:B,cat!C:C)</f>
        <v>D</v>
      </c>
      <c r="K203" s="1">
        <f t="array" ref="K203">XLOOKUP(B203,cat!B:B,cat!D:D)</f>
        <v>144</v>
      </c>
      <c r="L203" s="7">
        <f t="shared" si="1"/>
        <v>0.03819444444</v>
      </c>
      <c r="M203" s="7">
        <f t="shared" si="2"/>
        <v>0.01854166667</v>
      </c>
      <c r="P203" s="9"/>
      <c r="Q203" s="9">
        <f t="shared" si="3"/>
        <v>369.35</v>
      </c>
      <c r="R203" s="1" t="str">
        <f t="shared" si="4"/>
        <v>EJU</v>
      </c>
      <c r="S203" s="1" t="str">
        <f>IF($D203="LEBL", IF(COUNTIF('Paises ECAC'!B:B, C203)&gt;0, "ECAC","NO ECAC"), "")</f>
        <v>ECAC</v>
      </c>
    </row>
    <row r="204" ht="14.25" customHeight="1">
      <c r="A204" s="1" t="s">
        <v>519</v>
      </c>
      <c r="B204" s="1" t="s">
        <v>35</v>
      </c>
      <c r="C204" s="1" t="s">
        <v>234</v>
      </c>
      <c r="D204" s="1" t="s">
        <v>21</v>
      </c>
      <c r="E204" s="1" t="s">
        <v>520</v>
      </c>
      <c r="F204" s="1">
        <v>300.0</v>
      </c>
      <c r="G204" s="5">
        <v>0.28194444444444444</v>
      </c>
      <c r="H204" s="1">
        <v>16.0</v>
      </c>
      <c r="I204" s="5">
        <v>0.3229166666666667</v>
      </c>
      <c r="J204" s="1" t="str">
        <f t="array" ref="J204">XLOOKUP(B204,cat!B:B,cat!C:C)</f>
        <v>D</v>
      </c>
      <c r="K204" s="1">
        <f t="array" ref="K204">XLOOKUP(B204,cat!B:B,cat!D:D)</f>
        <v>207</v>
      </c>
      <c r="L204" s="7">
        <f t="shared" si="1"/>
        <v>0.04097222222</v>
      </c>
      <c r="M204" s="7">
        <f t="shared" si="2"/>
        <v>0.01715277778</v>
      </c>
      <c r="P204" s="9"/>
      <c r="Q204" s="9">
        <f t="shared" si="3"/>
        <v>341.6833333</v>
      </c>
      <c r="R204" s="1" t="str">
        <f t="shared" si="4"/>
        <v>IBE</v>
      </c>
      <c r="S204" s="1" t="str">
        <f>IF($D204="LEBL", IF(COUNTIF('Paises ECAC'!B:B, C204)&gt;0, "ECAC","NO ECAC"), "")</f>
        <v>ECAC</v>
      </c>
    </row>
    <row r="205" ht="14.25" customHeight="1">
      <c r="A205" s="1" t="s">
        <v>521</v>
      </c>
      <c r="B205" s="1" t="s">
        <v>35</v>
      </c>
      <c r="C205" s="1" t="s">
        <v>218</v>
      </c>
      <c r="D205" s="1" t="s">
        <v>21</v>
      </c>
      <c r="E205" s="1" t="s">
        <v>219</v>
      </c>
      <c r="F205" s="1">
        <v>280.0</v>
      </c>
      <c r="G205" s="5">
        <v>0.29305555555555557</v>
      </c>
      <c r="H205" s="1">
        <v>10.0</v>
      </c>
      <c r="I205" s="5">
        <v>0.3229166666666667</v>
      </c>
      <c r="J205" s="1" t="str">
        <f t="array" ref="J205">XLOOKUP(B205,cat!B:B,cat!C:C)</f>
        <v>D</v>
      </c>
      <c r="K205" s="1">
        <f t="array" ref="K205">XLOOKUP(B205,cat!B:B,cat!D:D)</f>
        <v>207</v>
      </c>
      <c r="L205" s="7">
        <f t="shared" si="1"/>
        <v>0.02986111111</v>
      </c>
      <c r="M205" s="7">
        <f t="shared" si="2"/>
        <v>0.01020833333</v>
      </c>
      <c r="P205" s="9"/>
      <c r="Q205" s="9">
        <f t="shared" si="3"/>
        <v>203.35</v>
      </c>
      <c r="R205" s="1" t="str">
        <f t="shared" si="4"/>
        <v>VLG</v>
      </c>
      <c r="S205" s="1" t="str">
        <f>IF($D205="LEBL", IF(COUNTIF('Paises ECAC'!B:B, C205)&gt;0, "ECAC","NO ECAC"), "")</f>
        <v>ECAC</v>
      </c>
    </row>
    <row r="206" ht="14.25" customHeight="1">
      <c r="A206" s="1" t="s">
        <v>522</v>
      </c>
      <c r="B206" s="1" t="s">
        <v>19</v>
      </c>
      <c r="C206" s="1" t="s">
        <v>129</v>
      </c>
      <c r="D206" s="1" t="s">
        <v>21</v>
      </c>
      <c r="E206" s="1" t="s">
        <v>130</v>
      </c>
      <c r="F206" s="1">
        <v>350.0</v>
      </c>
      <c r="G206" s="5">
        <v>0.27291666666666664</v>
      </c>
      <c r="H206" s="1">
        <v>10.0</v>
      </c>
      <c r="I206" s="5">
        <v>0.3229166666666667</v>
      </c>
      <c r="J206" s="1" t="str">
        <f t="array" ref="J206">XLOOKUP(B206,cat!B:B,cat!C:C)</f>
        <v>D</v>
      </c>
      <c r="K206" s="1">
        <f t="array" ref="K206">XLOOKUP(B206,cat!B:B,cat!D:D)</f>
        <v>184</v>
      </c>
      <c r="L206" s="7">
        <f t="shared" si="1"/>
        <v>0.05</v>
      </c>
      <c r="M206" s="7">
        <f t="shared" si="2"/>
        <v>0.03034722222</v>
      </c>
      <c r="P206" s="9"/>
      <c r="Q206" s="9">
        <f t="shared" si="3"/>
        <v>604.5166667</v>
      </c>
      <c r="R206" s="1" t="str">
        <f t="shared" si="4"/>
        <v>RYR</v>
      </c>
      <c r="S206" s="1" t="str">
        <f>IF($D206="LEBL", IF(COUNTIF('Paises ECAC'!B:B, C206)&gt;0, "ECAC","NO ECAC"), "")</f>
        <v>ECAC</v>
      </c>
    </row>
    <row r="207" ht="14.25" customHeight="1">
      <c r="A207" s="1" t="s">
        <v>523</v>
      </c>
      <c r="B207" s="1" t="s">
        <v>40</v>
      </c>
      <c r="C207" s="1" t="s">
        <v>524</v>
      </c>
      <c r="D207" s="1" t="s">
        <v>21</v>
      </c>
      <c r="E207" s="1" t="s">
        <v>525</v>
      </c>
      <c r="F207" s="1">
        <v>370.0</v>
      </c>
      <c r="G207" s="5">
        <v>0.23055555555555557</v>
      </c>
      <c r="H207" s="1">
        <v>12.0</v>
      </c>
      <c r="I207" s="5">
        <v>0.3263888888888889</v>
      </c>
      <c r="J207" s="1" t="str">
        <f t="array" ref="J207">XLOOKUP(B207,cat!B:B,cat!C:C)</f>
        <v>D</v>
      </c>
      <c r="K207" s="1">
        <f t="array" ref="K207">XLOOKUP(B207,cat!B:B,cat!D:D)</f>
        <v>186</v>
      </c>
      <c r="L207" s="7">
        <f t="shared" si="1"/>
        <v>0.09583333333</v>
      </c>
      <c r="M207" s="7">
        <f t="shared" si="2"/>
        <v>0.07479166667</v>
      </c>
      <c r="P207" s="9"/>
      <c r="Q207" s="9">
        <f t="shared" si="3"/>
        <v>1489.85</v>
      </c>
      <c r="R207" s="1" t="str">
        <f t="shared" si="4"/>
        <v>RYR</v>
      </c>
      <c r="S207" s="1" t="str">
        <f>IF($D207="LEBL", IF(COUNTIF('Paises ECAC'!B:B, C207)&gt;0, "ECAC","NO ECAC"), "")</f>
        <v>ECAC</v>
      </c>
    </row>
    <row r="208" ht="14.25" customHeight="1">
      <c r="A208" s="1" t="s">
        <v>526</v>
      </c>
      <c r="B208" s="1" t="s">
        <v>30</v>
      </c>
      <c r="C208" s="1" t="s">
        <v>21</v>
      </c>
      <c r="D208" s="1" t="s">
        <v>527</v>
      </c>
      <c r="E208" s="1" t="s">
        <v>51</v>
      </c>
      <c r="F208" s="1">
        <v>380.0</v>
      </c>
      <c r="G208" s="5">
        <v>0.3263888888888889</v>
      </c>
      <c r="H208" s="1">
        <v>12.0</v>
      </c>
      <c r="I208" s="5">
        <v>0.4027777777777778</v>
      </c>
      <c r="J208" s="1" t="str">
        <f t="array" ref="J208">XLOOKUP(B208,cat!B:B,cat!C:C)</f>
        <v>D</v>
      </c>
      <c r="K208" s="1">
        <f t="array" ref="K208">XLOOKUP(B208,cat!B:B,cat!D:D)</f>
        <v>173</v>
      </c>
      <c r="L208" s="7">
        <f t="shared" si="1"/>
        <v>0.07638888889</v>
      </c>
      <c r="M208" s="1" t="str">
        <f t="shared" si="2"/>
        <v/>
      </c>
      <c r="P208" s="9"/>
      <c r="Q208" s="9">
        <f t="shared" si="3"/>
        <v>0</v>
      </c>
      <c r="R208" s="1" t="str">
        <f t="shared" si="4"/>
        <v>VLG</v>
      </c>
      <c r="S208" s="1" t="str">
        <f>IF($D208="LEBL", IF(COUNTIF('Paises ECAC'!B:B, C208)&gt;0, "ECAC","NO ECAC"), "")</f>
        <v/>
      </c>
    </row>
    <row r="209" ht="14.25" customHeight="1">
      <c r="A209" s="1" t="s">
        <v>528</v>
      </c>
      <c r="B209" s="1" t="s">
        <v>35</v>
      </c>
      <c r="C209" s="1" t="s">
        <v>245</v>
      </c>
      <c r="D209" s="1" t="s">
        <v>21</v>
      </c>
      <c r="E209" s="1" t="s">
        <v>246</v>
      </c>
      <c r="F209" s="1">
        <v>180.0</v>
      </c>
      <c r="G209" s="5">
        <v>0.29583333333333334</v>
      </c>
      <c r="H209" s="1">
        <v>10.0</v>
      </c>
      <c r="I209" s="5">
        <v>0.3263888888888889</v>
      </c>
      <c r="J209" s="1" t="str">
        <f t="array" ref="J209">XLOOKUP(B209,cat!B:B,cat!C:C)</f>
        <v>D</v>
      </c>
      <c r="K209" s="1">
        <f t="array" ref="K209">XLOOKUP(B209,cat!B:B,cat!D:D)</f>
        <v>207</v>
      </c>
      <c r="L209" s="7">
        <f t="shared" si="1"/>
        <v>0.03055555556</v>
      </c>
      <c r="M209" s="7">
        <f t="shared" si="2"/>
        <v>0.01090277778</v>
      </c>
      <c r="P209" s="9"/>
      <c r="Q209" s="9">
        <f t="shared" si="3"/>
        <v>217.1833333</v>
      </c>
      <c r="R209" s="1" t="str">
        <f t="shared" si="4"/>
        <v>VLG</v>
      </c>
      <c r="S209" s="1" t="str">
        <f>IF($D209="LEBL", IF(COUNTIF('Paises ECAC'!B:B, C209)&gt;0, "ECAC","NO ECAC"), "")</f>
        <v>ECAC</v>
      </c>
    </row>
    <row r="210" ht="14.25" customHeight="1">
      <c r="A210" s="1" t="s">
        <v>529</v>
      </c>
      <c r="B210" s="1" t="s">
        <v>477</v>
      </c>
      <c r="C210" s="1" t="s">
        <v>530</v>
      </c>
      <c r="D210" s="1" t="s">
        <v>21</v>
      </c>
      <c r="E210" s="1" t="s">
        <v>531</v>
      </c>
      <c r="F210" s="1">
        <v>410.0</v>
      </c>
      <c r="G210" s="5">
        <v>0.00625</v>
      </c>
      <c r="H210" s="1">
        <v>25.0</v>
      </c>
      <c r="I210" s="5">
        <v>0.3263888888888889</v>
      </c>
      <c r="J210" s="1" t="str">
        <f t="array" ref="J210">XLOOKUP(B210,cat!B:B,cat!C:C)</f>
        <v>B</v>
      </c>
      <c r="K210" s="1">
        <f t="array" ref="K210">XLOOKUP(B210,cat!B:B,cat!D:D)</f>
        <v>266</v>
      </c>
      <c r="L210" s="7">
        <f t="shared" si="1"/>
        <v>0.3201388889</v>
      </c>
      <c r="M210" s="7">
        <f t="shared" si="2"/>
        <v>0.2900694444</v>
      </c>
      <c r="P210" s="9"/>
      <c r="Q210" s="9">
        <f t="shared" si="3"/>
        <v>6265.5</v>
      </c>
      <c r="R210" s="1" t="str">
        <f t="shared" si="4"/>
        <v>AAL</v>
      </c>
      <c r="S210" s="1" t="str">
        <f>IF($D210="LEBL", IF(COUNTIF('Paises ECAC'!B:B, C210)&gt;0, "ECAC","NO ECAC"), "")</f>
        <v>NO ECAC</v>
      </c>
    </row>
    <row r="211" ht="14.25" customHeight="1">
      <c r="A211" s="1" t="s">
        <v>532</v>
      </c>
      <c r="B211" s="1" t="s">
        <v>212</v>
      </c>
      <c r="C211" s="1" t="s">
        <v>21</v>
      </c>
      <c r="D211" s="1" t="s">
        <v>68</v>
      </c>
      <c r="E211" s="1" t="s">
        <v>395</v>
      </c>
      <c r="F211" s="1">
        <v>370.0</v>
      </c>
      <c r="G211" s="5">
        <v>0.33194444444444443</v>
      </c>
      <c r="H211" s="1">
        <v>20.0</v>
      </c>
      <c r="I211" s="5">
        <v>0.4375</v>
      </c>
      <c r="J211" s="1" t="str">
        <f t="array" ref="J211">XLOOKUP(B211,cat!B:B,cat!C:C)</f>
        <v>D</v>
      </c>
      <c r="K211" s="1">
        <f t="array" ref="K211">XLOOKUP(B211,cat!B:B,cat!D:D)</f>
        <v>200</v>
      </c>
      <c r="L211" s="7">
        <f t="shared" si="1"/>
        <v>0.1055555556</v>
      </c>
      <c r="M211" s="1" t="str">
        <f t="shared" si="2"/>
        <v/>
      </c>
      <c r="P211" s="9"/>
      <c r="Q211" s="9">
        <f t="shared" si="3"/>
        <v>0</v>
      </c>
      <c r="R211" s="1" t="str">
        <f t="shared" si="4"/>
        <v>WZZ</v>
      </c>
      <c r="S211" s="1" t="str">
        <f>IF($D211="LEBL", IF(COUNTIF('Paises ECAC'!B:B, C211)&gt;0, "ECAC","NO ECAC"), "")</f>
        <v/>
      </c>
    </row>
    <row r="212" ht="14.25" customHeight="1">
      <c r="A212" s="1" t="s">
        <v>533</v>
      </c>
      <c r="B212" s="1" t="s">
        <v>195</v>
      </c>
      <c r="C212" s="1" t="s">
        <v>21</v>
      </c>
      <c r="D212" s="1" t="s">
        <v>196</v>
      </c>
      <c r="E212" s="1" t="s">
        <v>197</v>
      </c>
      <c r="F212" s="1">
        <v>380.0</v>
      </c>
      <c r="G212" s="5">
        <v>0.3284722222222222</v>
      </c>
      <c r="H212" s="1">
        <v>23.0</v>
      </c>
      <c r="I212" s="5">
        <v>0.6284722222222222</v>
      </c>
      <c r="J212" s="1" t="str">
        <f t="array" ref="J212">XLOOKUP(B212,cat!B:B,cat!C:C)</f>
        <v>B</v>
      </c>
      <c r="K212" s="1">
        <f t="array" ref="K212">XLOOKUP(B212,cat!B:B,cat!D:D)</f>
        <v>281</v>
      </c>
      <c r="L212" s="7">
        <f t="shared" si="1"/>
        <v>0.3</v>
      </c>
      <c r="M212" s="1" t="str">
        <f t="shared" si="2"/>
        <v/>
      </c>
      <c r="P212" s="9"/>
      <c r="Q212" s="9">
        <f t="shared" si="3"/>
        <v>0</v>
      </c>
      <c r="R212" s="1" t="str">
        <f t="shared" si="4"/>
        <v>DAL</v>
      </c>
      <c r="S212" s="1" t="str">
        <f>IF($D212="LEBL", IF(COUNTIF('Paises ECAC'!B:B, C212)&gt;0, "ECAC","NO ECAC"), "")</f>
        <v/>
      </c>
    </row>
    <row r="213" ht="14.25" customHeight="1">
      <c r="A213" s="1" t="s">
        <v>534</v>
      </c>
      <c r="B213" s="1" t="s">
        <v>30</v>
      </c>
      <c r="C213" s="1" t="s">
        <v>205</v>
      </c>
      <c r="D213" s="1" t="s">
        <v>21</v>
      </c>
      <c r="E213" s="1" t="s">
        <v>206</v>
      </c>
      <c r="F213" s="1">
        <v>300.0</v>
      </c>
      <c r="G213" s="5">
        <v>0.2951388888888889</v>
      </c>
      <c r="H213" s="1">
        <v>5.0</v>
      </c>
      <c r="I213" s="5">
        <v>0.3298611111111111</v>
      </c>
      <c r="J213" s="1" t="str">
        <f t="array" ref="J213">XLOOKUP(B213,cat!B:B,cat!C:C)</f>
        <v>D</v>
      </c>
      <c r="K213" s="1">
        <f t="array" ref="K213">XLOOKUP(B213,cat!B:B,cat!D:D)</f>
        <v>173</v>
      </c>
      <c r="L213" s="7">
        <f t="shared" si="1"/>
        <v>0.03472222222</v>
      </c>
      <c r="M213" s="7">
        <f t="shared" si="2"/>
        <v>0.01854166667</v>
      </c>
      <c r="P213" s="9"/>
      <c r="Q213" s="9">
        <f t="shared" si="3"/>
        <v>369.35</v>
      </c>
      <c r="R213" s="1" t="str">
        <f t="shared" si="4"/>
        <v>VLG</v>
      </c>
      <c r="S213" s="1" t="str">
        <f>IF($D213="LEBL", IF(COUNTIF('Paises ECAC'!B:B, C213)&gt;0, "ECAC","NO ECAC"), "")</f>
        <v>ECAC</v>
      </c>
    </row>
    <row r="214" ht="14.25" customHeight="1">
      <c r="A214" s="1" t="s">
        <v>535</v>
      </c>
      <c r="B214" s="1" t="s">
        <v>40</v>
      </c>
      <c r="C214" s="1" t="s">
        <v>21</v>
      </c>
      <c r="D214" s="1" t="s">
        <v>397</v>
      </c>
      <c r="E214" s="1" t="s">
        <v>398</v>
      </c>
      <c r="F214" s="1">
        <v>390.0</v>
      </c>
      <c r="G214" s="5">
        <v>0.3333333333333333</v>
      </c>
      <c r="H214" s="1">
        <v>20.0</v>
      </c>
      <c r="I214" s="5">
        <v>0.4375</v>
      </c>
      <c r="J214" s="1" t="str">
        <f t="array" ref="J214">XLOOKUP(B214,cat!B:B,cat!C:C)</f>
        <v>D</v>
      </c>
      <c r="K214" s="1">
        <f t="array" ref="K214">XLOOKUP(B214,cat!B:B,cat!D:D)</f>
        <v>186</v>
      </c>
      <c r="L214" s="7">
        <f t="shared" si="1"/>
        <v>0.1041666667</v>
      </c>
      <c r="M214" s="1" t="str">
        <f t="shared" si="2"/>
        <v/>
      </c>
      <c r="P214" s="9"/>
      <c r="Q214" s="9">
        <f t="shared" si="3"/>
        <v>0</v>
      </c>
      <c r="R214" s="1" t="str">
        <f t="shared" si="4"/>
        <v>RYR</v>
      </c>
      <c r="S214" s="1" t="str">
        <f>IF($D214="LEBL", IF(COUNTIF('Paises ECAC'!B:B, C214)&gt;0, "ECAC","NO ECAC"), "")</f>
        <v/>
      </c>
    </row>
    <row r="215" ht="14.25" customHeight="1">
      <c r="A215" s="1" t="s">
        <v>536</v>
      </c>
      <c r="B215" s="1" t="s">
        <v>30</v>
      </c>
      <c r="C215" s="1" t="s">
        <v>74</v>
      </c>
      <c r="D215" s="1" t="s">
        <v>21</v>
      </c>
      <c r="E215" s="1" t="s">
        <v>537</v>
      </c>
      <c r="F215" s="1">
        <v>390.0</v>
      </c>
      <c r="G215" s="5">
        <v>0.2722222222222222</v>
      </c>
      <c r="H215" s="1">
        <v>12.0</v>
      </c>
      <c r="I215" s="5">
        <v>0.3298611111111111</v>
      </c>
      <c r="J215" s="1" t="str">
        <f t="array" ref="J215">XLOOKUP(B215,cat!B:B,cat!C:C)</f>
        <v>D</v>
      </c>
      <c r="K215" s="1">
        <f t="array" ref="K215">XLOOKUP(B215,cat!B:B,cat!D:D)</f>
        <v>173</v>
      </c>
      <c r="L215" s="7">
        <f t="shared" si="1"/>
        <v>0.05763888889</v>
      </c>
      <c r="M215" s="7">
        <f t="shared" si="2"/>
        <v>0.03659722222</v>
      </c>
      <c r="P215" s="9"/>
      <c r="Q215" s="9">
        <f t="shared" si="3"/>
        <v>729.0166667</v>
      </c>
      <c r="R215" s="1" t="str">
        <f t="shared" si="4"/>
        <v>VLG</v>
      </c>
      <c r="S215" s="1" t="str">
        <f>IF($D215="LEBL", IF(COUNTIF('Paises ECAC'!B:B, C215)&gt;0, "ECAC","NO ECAC"), "")</f>
        <v>ECAC</v>
      </c>
    </row>
    <row r="216" ht="14.25" customHeight="1">
      <c r="A216" s="1" t="s">
        <v>538</v>
      </c>
      <c r="B216" s="1" t="s">
        <v>212</v>
      </c>
      <c r="C216" s="1" t="s">
        <v>397</v>
      </c>
      <c r="D216" s="1" t="s">
        <v>21</v>
      </c>
      <c r="E216" s="1" t="s">
        <v>539</v>
      </c>
      <c r="F216" s="1">
        <v>370.0</v>
      </c>
      <c r="G216" s="5">
        <v>0.23333333333333334</v>
      </c>
      <c r="H216" s="1">
        <v>17.0</v>
      </c>
      <c r="I216" s="5">
        <v>0.3298611111111111</v>
      </c>
      <c r="J216" s="1" t="str">
        <f t="array" ref="J216">XLOOKUP(B216,cat!B:B,cat!C:C)</f>
        <v>D</v>
      </c>
      <c r="K216" s="1">
        <f t="array" ref="K216">XLOOKUP(B216,cat!B:B,cat!D:D)</f>
        <v>200</v>
      </c>
      <c r="L216" s="7">
        <f t="shared" si="1"/>
        <v>0.09652777778</v>
      </c>
      <c r="M216" s="7">
        <f t="shared" si="2"/>
        <v>0.07201388889</v>
      </c>
      <c r="P216" s="9"/>
      <c r="Q216" s="9">
        <f t="shared" si="3"/>
        <v>1434.516667</v>
      </c>
      <c r="R216" s="1" t="str">
        <f t="shared" si="4"/>
        <v>WZZ</v>
      </c>
      <c r="S216" s="1" t="str">
        <f>IF($D216="LEBL", IF(COUNTIF('Paises ECAC'!B:B, C216)&gt;0, "ECAC","NO ECAC"), "")</f>
        <v>ECAC</v>
      </c>
    </row>
    <row r="217" ht="14.25" customHeight="1">
      <c r="A217" s="1" t="s">
        <v>540</v>
      </c>
      <c r="B217" s="1" t="s">
        <v>136</v>
      </c>
      <c r="C217" s="1" t="s">
        <v>541</v>
      </c>
      <c r="D217" s="1" t="s">
        <v>21</v>
      </c>
      <c r="E217" s="1" t="s">
        <v>542</v>
      </c>
      <c r="F217" s="1">
        <v>330.0</v>
      </c>
      <c r="G217" s="5">
        <v>0.2638888888888889</v>
      </c>
      <c r="H217" s="1">
        <v>14.0</v>
      </c>
      <c r="I217" s="5">
        <v>0.3333333333333333</v>
      </c>
      <c r="J217" s="1" t="str">
        <f t="array" ref="J217">XLOOKUP(B217,cat!B:B,cat!C:C)</f>
        <v>D</v>
      </c>
      <c r="K217" s="1">
        <f t="array" ref="K217">XLOOKUP(B217,cat!B:B,cat!D:D)</f>
        <v>144</v>
      </c>
      <c r="L217" s="7">
        <f t="shared" si="1"/>
        <v>0.06944444444</v>
      </c>
      <c r="M217" s="7">
        <f t="shared" si="2"/>
        <v>0.04701388889</v>
      </c>
      <c r="P217" s="9"/>
      <c r="Q217" s="9">
        <f t="shared" si="3"/>
        <v>936.5166667</v>
      </c>
      <c r="R217" s="1" t="str">
        <f t="shared" si="4"/>
        <v>EZY</v>
      </c>
      <c r="S217" s="1" t="str">
        <f>IF($D217="LEBL", IF(COUNTIF('Paises ECAC'!B:B, C217)&gt;0, "ECAC","NO ECAC"), "")</f>
        <v>ECAC</v>
      </c>
    </row>
    <row r="218" ht="14.25" customHeight="1">
      <c r="A218" s="1" t="s">
        <v>543</v>
      </c>
      <c r="B218" s="1" t="s">
        <v>544</v>
      </c>
      <c r="C218" s="1" t="s">
        <v>545</v>
      </c>
      <c r="D218" s="1" t="s">
        <v>21</v>
      </c>
      <c r="E218" s="1" t="s">
        <v>546</v>
      </c>
      <c r="F218" s="1">
        <v>380.0</v>
      </c>
      <c r="G218" s="5">
        <v>0.1736111111111111</v>
      </c>
      <c r="H218" s="1">
        <v>10.0</v>
      </c>
      <c r="I218" s="5">
        <v>0.3333333333333333</v>
      </c>
      <c r="J218" s="1" t="str">
        <f t="array" ref="J218">XLOOKUP(B218,cat!B:B,cat!C:C)</f>
        <v>D</v>
      </c>
      <c r="K218" s="1">
        <f t="array" ref="K218">XLOOKUP(B218,cat!B:B,cat!D:D)</f>
        <v>148</v>
      </c>
      <c r="L218" s="7">
        <f t="shared" si="1"/>
        <v>0.1597222222</v>
      </c>
      <c r="M218" s="7">
        <f t="shared" si="2"/>
        <v>0.1400694444</v>
      </c>
      <c r="P218" s="9"/>
      <c r="Q218" s="9">
        <f t="shared" si="3"/>
        <v>2790.183333</v>
      </c>
      <c r="R218" s="1" t="str">
        <f t="shared" si="4"/>
        <v>CYP</v>
      </c>
      <c r="S218" s="1" t="str">
        <f>IF($D218="LEBL", IF(COUNTIF('Paises ECAC'!B:B, C218)&gt;0, "ECAC","NO ECAC"), "")</f>
        <v>ECAC</v>
      </c>
    </row>
    <row r="219" ht="14.25" customHeight="1">
      <c r="A219" s="1" t="s">
        <v>547</v>
      </c>
      <c r="B219" s="1" t="s">
        <v>30</v>
      </c>
      <c r="C219" s="1" t="s">
        <v>82</v>
      </c>
      <c r="D219" s="1" t="s">
        <v>21</v>
      </c>
      <c r="E219" s="1" t="s">
        <v>83</v>
      </c>
      <c r="F219" s="1">
        <v>360.0</v>
      </c>
      <c r="G219" s="5">
        <v>0.26180555555555557</v>
      </c>
      <c r="H219" s="1">
        <v>7.0</v>
      </c>
      <c r="I219" s="5">
        <v>0.3333333333333333</v>
      </c>
      <c r="J219" s="1" t="str">
        <f t="array" ref="J219">XLOOKUP(B219,cat!B:B,cat!C:C)</f>
        <v>D</v>
      </c>
      <c r="K219" s="1">
        <f t="array" ref="K219">XLOOKUP(B219,cat!B:B,cat!D:D)</f>
        <v>173</v>
      </c>
      <c r="L219" s="7">
        <f t="shared" si="1"/>
        <v>0.07152777778</v>
      </c>
      <c r="M219" s="7">
        <f t="shared" si="2"/>
        <v>0.05395833333</v>
      </c>
      <c r="P219" s="9"/>
      <c r="Q219" s="9">
        <f t="shared" si="3"/>
        <v>1074.85</v>
      </c>
      <c r="R219" s="1" t="str">
        <f t="shared" si="4"/>
        <v>VLG</v>
      </c>
      <c r="S219" s="1" t="str">
        <f>IF($D219="LEBL", IF(COUNTIF('Paises ECAC'!B:B, C219)&gt;0, "ECAC","NO ECAC"), "")</f>
        <v>ECAC</v>
      </c>
    </row>
    <row r="220" ht="14.25" customHeight="1">
      <c r="A220" s="1" t="s">
        <v>548</v>
      </c>
      <c r="B220" s="1" t="s">
        <v>19</v>
      </c>
      <c r="C220" s="1" t="s">
        <v>21</v>
      </c>
      <c r="D220" s="1" t="s">
        <v>448</v>
      </c>
      <c r="E220" s="1" t="s">
        <v>449</v>
      </c>
      <c r="F220" s="1">
        <v>380.0</v>
      </c>
      <c r="G220" s="5">
        <v>0.3368055555555556</v>
      </c>
      <c r="H220" s="1">
        <v>20.0</v>
      </c>
      <c r="I220" s="5">
        <v>0.4131944444444444</v>
      </c>
      <c r="J220" s="1" t="str">
        <f t="array" ref="J220">XLOOKUP(B220,cat!B:B,cat!C:C)</f>
        <v>D</v>
      </c>
      <c r="K220" s="1">
        <f t="array" ref="K220">XLOOKUP(B220,cat!B:B,cat!D:D)</f>
        <v>184</v>
      </c>
      <c r="L220" s="7">
        <f t="shared" si="1"/>
        <v>0.07638888889</v>
      </c>
      <c r="M220" s="1" t="str">
        <f t="shared" si="2"/>
        <v/>
      </c>
      <c r="P220" s="9"/>
      <c r="Q220" s="9">
        <f t="shared" si="3"/>
        <v>0</v>
      </c>
      <c r="R220" s="1" t="str">
        <f t="shared" si="4"/>
        <v>RYR</v>
      </c>
      <c r="S220" s="1" t="str">
        <f>IF($D220="LEBL", IF(COUNTIF('Paises ECAC'!B:B, C220)&gt;0, "ECAC","NO ECAC"), "")</f>
        <v/>
      </c>
    </row>
    <row r="221" ht="14.25" customHeight="1">
      <c r="A221" s="1" t="s">
        <v>549</v>
      </c>
      <c r="B221" s="1" t="s">
        <v>25</v>
      </c>
      <c r="C221" s="1" t="s">
        <v>41</v>
      </c>
      <c r="D221" s="1" t="s">
        <v>21</v>
      </c>
      <c r="E221" s="1" t="s">
        <v>550</v>
      </c>
      <c r="F221" s="1">
        <v>370.0</v>
      </c>
      <c r="G221" s="5">
        <v>0.2513888888888889</v>
      </c>
      <c r="H221" s="1">
        <v>22.0</v>
      </c>
      <c r="I221" s="5">
        <v>0.3368055555555556</v>
      </c>
      <c r="J221" s="1" t="str">
        <f t="array" ref="J221">XLOOKUP(B221,cat!B:B,cat!C:C)</f>
        <v>D</v>
      </c>
      <c r="K221" s="1">
        <f t="array" ref="K221">XLOOKUP(B221,cat!B:B,cat!D:D)</f>
        <v>180</v>
      </c>
      <c r="L221" s="7">
        <f t="shared" si="1"/>
        <v>0.08541666667</v>
      </c>
      <c r="M221" s="7">
        <f t="shared" si="2"/>
        <v>0.05743055556</v>
      </c>
      <c r="P221" s="9"/>
      <c r="Q221" s="9">
        <f t="shared" si="3"/>
        <v>1144.016667</v>
      </c>
      <c r="R221" s="1" t="str">
        <f t="shared" si="4"/>
        <v>EIN</v>
      </c>
      <c r="S221" s="1" t="str">
        <f>IF($D221="LEBL", IF(COUNTIF('Paises ECAC'!B:B, C221)&gt;0, "ECAC","NO ECAC"), "")</f>
        <v>ECAC</v>
      </c>
    </row>
    <row r="222" ht="14.25" customHeight="1">
      <c r="A222" s="1" t="s">
        <v>551</v>
      </c>
      <c r="B222" s="1" t="s">
        <v>25</v>
      </c>
      <c r="C222" s="1" t="s">
        <v>210</v>
      </c>
      <c r="D222" s="1" t="s">
        <v>21</v>
      </c>
      <c r="E222" s="1" t="s">
        <v>64</v>
      </c>
      <c r="F222" s="1">
        <v>290.0</v>
      </c>
      <c r="G222" s="5">
        <v>0.3</v>
      </c>
      <c r="H222" s="1">
        <v>9.0</v>
      </c>
      <c r="I222" s="5">
        <v>0.3368055555555556</v>
      </c>
      <c r="J222" s="1" t="str">
        <f t="array" ref="J222">XLOOKUP(B222,cat!B:B,cat!C:C)</f>
        <v>D</v>
      </c>
      <c r="K222" s="1">
        <f t="array" ref="K222">XLOOKUP(B222,cat!B:B,cat!D:D)</f>
        <v>180</v>
      </c>
      <c r="L222" s="7">
        <f t="shared" si="1"/>
        <v>0.03680555556</v>
      </c>
      <c r="M222" s="7">
        <f t="shared" si="2"/>
        <v>0.01784722222</v>
      </c>
      <c r="P222" s="9"/>
      <c r="Q222" s="9">
        <f t="shared" si="3"/>
        <v>355.5166667</v>
      </c>
      <c r="R222" s="1" t="str">
        <f t="shared" si="4"/>
        <v>VLG</v>
      </c>
      <c r="S222" s="1" t="str">
        <f>IF($D222="LEBL", IF(COUNTIF('Paises ECAC'!B:B, C222)&gt;0, "ECAC","NO ECAC"), "")</f>
        <v>ECAC</v>
      </c>
    </row>
    <row r="223" ht="14.25" customHeight="1">
      <c r="A223" s="1" t="s">
        <v>552</v>
      </c>
      <c r="B223" s="1" t="s">
        <v>19</v>
      </c>
      <c r="C223" s="1" t="s">
        <v>110</v>
      </c>
      <c r="D223" s="1" t="s">
        <v>21</v>
      </c>
      <c r="E223" s="1" t="s">
        <v>111</v>
      </c>
      <c r="F223" s="1">
        <v>370.0</v>
      </c>
      <c r="G223" s="5">
        <v>0.2881944444444444</v>
      </c>
      <c r="H223" s="1">
        <v>15.0</v>
      </c>
      <c r="I223" s="5">
        <v>0.3368055555555556</v>
      </c>
      <c r="J223" s="1" t="str">
        <f t="array" ref="J223">XLOOKUP(B223,cat!B:B,cat!C:C)</f>
        <v>D</v>
      </c>
      <c r="K223" s="1">
        <f t="array" ref="K223">XLOOKUP(B223,cat!B:B,cat!D:D)</f>
        <v>184</v>
      </c>
      <c r="L223" s="7">
        <f t="shared" si="1"/>
        <v>0.04861111111</v>
      </c>
      <c r="M223" s="7">
        <f t="shared" si="2"/>
        <v>0.02548611111</v>
      </c>
      <c r="P223" s="9"/>
      <c r="Q223" s="9">
        <f t="shared" si="3"/>
        <v>507.6833333</v>
      </c>
      <c r="R223" s="1" t="str">
        <f t="shared" si="4"/>
        <v>RYR</v>
      </c>
      <c r="S223" s="1" t="str">
        <f>IF($D223="LEBL", IF(COUNTIF('Paises ECAC'!B:B, C223)&gt;0, "ECAC","NO ECAC"), "")</f>
        <v>ECAC</v>
      </c>
    </row>
    <row r="224" ht="14.25" customHeight="1">
      <c r="A224" s="1" t="s">
        <v>553</v>
      </c>
      <c r="B224" s="1" t="s">
        <v>35</v>
      </c>
      <c r="C224" s="1" t="s">
        <v>21</v>
      </c>
      <c r="D224" s="1" t="s">
        <v>158</v>
      </c>
      <c r="E224" s="1" t="s">
        <v>426</v>
      </c>
      <c r="F224" s="1">
        <v>320.0</v>
      </c>
      <c r="G224" s="5">
        <v>0.33958333333333335</v>
      </c>
      <c r="H224" s="1">
        <v>10.0</v>
      </c>
      <c r="I224" s="5">
        <v>0.3993055555555556</v>
      </c>
      <c r="J224" s="1" t="str">
        <f t="array" ref="J224">XLOOKUP(B224,cat!B:B,cat!C:C)</f>
        <v>D</v>
      </c>
      <c r="K224" s="1">
        <f t="array" ref="K224">XLOOKUP(B224,cat!B:B,cat!D:D)</f>
        <v>207</v>
      </c>
      <c r="L224" s="7">
        <f t="shared" si="1"/>
        <v>0.05972222222</v>
      </c>
      <c r="M224" s="1" t="str">
        <f t="shared" si="2"/>
        <v/>
      </c>
      <c r="P224" s="9"/>
      <c r="Q224" s="9">
        <f t="shared" si="3"/>
        <v>0</v>
      </c>
      <c r="R224" s="1" t="str">
        <f t="shared" si="4"/>
        <v>SWR</v>
      </c>
      <c r="S224" s="1" t="str">
        <f>IF($D224="LEBL", IF(COUNTIF('Paises ECAC'!B:B, C224)&gt;0, "ECAC","NO ECAC"), "")</f>
        <v/>
      </c>
    </row>
    <row r="225" ht="14.25" customHeight="1">
      <c r="A225" s="1" t="s">
        <v>554</v>
      </c>
      <c r="B225" s="1" t="s">
        <v>30</v>
      </c>
      <c r="C225" s="1" t="s">
        <v>21</v>
      </c>
      <c r="D225" s="1" t="s">
        <v>53</v>
      </c>
      <c r="E225" s="1" t="s">
        <v>364</v>
      </c>
      <c r="F225" s="1">
        <v>380.0</v>
      </c>
      <c r="G225" s="5">
        <v>0.33819444444444446</v>
      </c>
      <c r="H225" s="1">
        <v>20.0</v>
      </c>
      <c r="I225" s="5">
        <v>0.4236111111111111</v>
      </c>
      <c r="J225" s="1" t="str">
        <f t="array" ref="J225">XLOOKUP(B225,cat!B:B,cat!C:C)</f>
        <v>D</v>
      </c>
      <c r="K225" s="1">
        <f t="array" ref="K225">XLOOKUP(B225,cat!B:B,cat!D:D)</f>
        <v>173</v>
      </c>
      <c r="L225" s="7">
        <f t="shared" si="1"/>
        <v>0.08541666667</v>
      </c>
      <c r="M225" s="1" t="str">
        <f t="shared" si="2"/>
        <v/>
      </c>
      <c r="P225" s="9"/>
      <c r="Q225" s="9">
        <f t="shared" si="3"/>
        <v>0</v>
      </c>
      <c r="R225" s="1" t="str">
        <f t="shared" si="4"/>
        <v>EWG</v>
      </c>
      <c r="S225" s="1" t="str">
        <f>IF($D225="LEBL", IF(COUNTIF('Paises ECAC'!B:B, C225)&gt;0, "ECAC","NO ECAC"), "")</f>
        <v/>
      </c>
    </row>
    <row r="226" ht="14.25" customHeight="1">
      <c r="A226" s="1" t="s">
        <v>555</v>
      </c>
      <c r="B226" s="1" t="s">
        <v>19</v>
      </c>
      <c r="C226" s="1" t="s">
        <v>527</v>
      </c>
      <c r="D226" s="1" t="s">
        <v>21</v>
      </c>
      <c r="E226" s="1" t="s">
        <v>556</v>
      </c>
      <c r="F226" s="1">
        <v>350.0</v>
      </c>
      <c r="G226" s="5">
        <v>0.2604166666666667</v>
      </c>
      <c r="H226" s="1">
        <v>15.0</v>
      </c>
      <c r="I226" s="5">
        <v>0.3368055555555556</v>
      </c>
      <c r="J226" s="1" t="str">
        <f t="array" ref="J226">XLOOKUP(B226,cat!B:B,cat!C:C)</f>
        <v>D</v>
      </c>
      <c r="K226" s="1">
        <f t="array" ref="K226">XLOOKUP(B226,cat!B:B,cat!D:D)</f>
        <v>184</v>
      </c>
      <c r="L226" s="7">
        <f t="shared" si="1"/>
        <v>0.07638888889</v>
      </c>
      <c r="M226" s="7">
        <f t="shared" si="2"/>
        <v>0.05326388889</v>
      </c>
      <c r="P226" s="9"/>
      <c r="Q226" s="9">
        <f t="shared" si="3"/>
        <v>1061.016667</v>
      </c>
      <c r="R226" s="1" t="str">
        <f t="shared" si="4"/>
        <v>EXS</v>
      </c>
      <c r="S226" s="1" t="str">
        <f>IF($D226="LEBL", IF(COUNTIF('Paises ECAC'!B:B, C226)&gt;0, "ECAC","NO ECAC"), "")</f>
        <v>ECAC</v>
      </c>
    </row>
    <row r="227" ht="14.25" customHeight="1">
      <c r="A227" s="1" t="s">
        <v>557</v>
      </c>
      <c r="B227" s="1" t="s">
        <v>443</v>
      </c>
      <c r="C227" s="1" t="s">
        <v>169</v>
      </c>
      <c r="D227" s="1" t="s">
        <v>21</v>
      </c>
      <c r="E227" s="1" t="s">
        <v>558</v>
      </c>
      <c r="F227" s="1">
        <v>390.0</v>
      </c>
      <c r="G227" s="5">
        <v>0.2708333333333333</v>
      </c>
      <c r="H227" s="1">
        <v>17.0</v>
      </c>
      <c r="I227" s="5">
        <v>0.3402777777777778</v>
      </c>
      <c r="J227" s="1" t="str">
        <f t="array" ref="J227">XLOOKUP(B227,cat!B:B,cat!C:C)</f>
        <v>D</v>
      </c>
      <c r="K227" s="1">
        <f t="array" ref="K227">XLOOKUP(B227,cat!B:B,cat!D:D)</f>
        <v>183</v>
      </c>
      <c r="L227" s="7">
        <f t="shared" si="1"/>
        <v>0.06944444444</v>
      </c>
      <c r="M227" s="7">
        <f t="shared" si="2"/>
        <v>0.04493055556</v>
      </c>
      <c r="P227" s="9"/>
      <c r="Q227" s="9">
        <f t="shared" si="3"/>
        <v>895.0166667</v>
      </c>
      <c r="R227" s="1" t="str">
        <f t="shared" si="4"/>
        <v>KLM</v>
      </c>
      <c r="S227" s="1" t="str">
        <f>IF($D227="LEBL", IF(COUNTIF('Paises ECAC'!B:B, C227)&gt;0, "ECAC","NO ECAC"), "")</f>
        <v>ECAC</v>
      </c>
    </row>
    <row r="228" ht="14.25" customHeight="1">
      <c r="A228" s="1" t="s">
        <v>559</v>
      </c>
      <c r="B228" s="1" t="s">
        <v>212</v>
      </c>
      <c r="C228" s="1" t="s">
        <v>21</v>
      </c>
      <c r="D228" s="1" t="s">
        <v>435</v>
      </c>
      <c r="E228" s="1" t="s">
        <v>436</v>
      </c>
      <c r="F228" s="1">
        <v>370.0</v>
      </c>
      <c r="G228" s="5">
        <v>0.34375</v>
      </c>
      <c r="H228" s="1">
        <v>20.0</v>
      </c>
      <c r="I228" s="5">
        <v>0.4479166666666667</v>
      </c>
      <c r="J228" s="1" t="str">
        <f t="array" ref="J228">XLOOKUP(B228,cat!B:B,cat!C:C)</f>
        <v>D</v>
      </c>
      <c r="K228" s="1">
        <f t="array" ref="K228">XLOOKUP(B228,cat!B:B,cat!D:D)</f>
        <v>200</v>
      </c>
      <c r="L228" s="7">
        <f t="shared" si="1"/>
        <v>0.1041666667</v>
      </c>
      <c r="M228" s="1" t="str">
        <f t="shared" si="2"/>
        <v/>
      </c>
      <c r="P228" s="9"/>
      <c r="Q228" s="9">
        <f t="shared" si="3"/>
        <v>0</v>
      </c>
      <c r="R228" s="1" t="str">
        <f t="shared" si="4"/>
        <v>WZZ</v>
      </c>
      <c r="S228" s="1" t="str">
        <f>IF($D228="LEBL", IF(COUNTIF('Paises ECAC'!B:B, C228)&gt;0, "ECAC","NO ECAC"), "")</f>
        <v/>
      </c>
    </row>
    <row r="229" ht="14.25" customHeight="1">
      <c r="A229" s="1" t="s">
        <v>560</v>
      </c>
      <c r="B229" s="1" t="s">
        <v>561</v>
      </c>
      <c r="C229" s="1" t="s">
        <v>21</v>
      </c>
      <c r="D229" s="1" t="s">
        <v>21</v>
      </c>
      <c r="E229" s="1" t="s">
        <v>562</v>
      </c>
      <c r="F229" s="1">
        <v>110.0</v>
      </c>
      <c r="G229" s="5">
        <v>0.34305555555555556</v>
      </c>
      <c r="H229" s="1">
        <v>14.0</v>
      </c>
      <c r="I229" s="5">
        <v>0.4861111111111111</v>
      </c>
      <c r="J229" s="1" t="str">
        <f t="array" ref="J229">XLOOKUP(B229,cat!B:B,cat!C:C)</f>
        <v>F</v>
      </c>
      <c r="K229" s="1">
        <f t="array" ref="K229">XLOOKUP(B229,cat!B:B,cat!D:D)</f>
        <v>9</v>
      </c>
      <c r="L229" s="7">
        <f t="shared" si="1"/>
        <v>0.1430555556</v>
      </c>
      <c r="M229" s="7">
        <f t="shared" si="2"/>
        <v>0.120625</v>
      </c>
      <c r="P229" s="9"/>
      <c r="Q229" s="9">
        <f t="shared" si="3"/>
        <v>521.1</v>
      </c>
      <c r="R229" s="1" t="str">
        <f t="shared" si="4"/>
        <v>ICC</v>
      </c>
      <c r="S229" s="1" t="str">
        <f>IF($D229="LEBL", IF(COUNTIF('Paises ECAC'!B:B, C229)&gt;0, "ECAC","NO ECAC"), "")</f>
        <v>ECAC</v>
      </c>
    </row>
    <row r="230" ht="14.25" customHeight="1">
      <c r="A230" s="1" t="s">
        <v>563</v>
      </c>
      <c r="B230" s="1" t="s">
        <v>30</v>
      </c>
      <c r="C230" s="1" t="s">
        <v>21</v>
      </c>
      <c r="D230" s="1" t="s">
        <v>377</v>
      </c>
      <c r="E230" s="1" t="s">
        <v>430</v>
      </c>
      <c r="F230" s="1">
        <v>380.0</v>
      </c>
      <c r="G230" s="5">
        <v>0.34444444444444444</v>
      </c>
      <c r="H230" s="1">
        <v>10.0</v>
      </c>
      <c r="I230" s="5">
        <v>0.4270833333333333</v>
      </c>
      <c r="J230" s="1" t="str">
        <f t="array" ref="J230">XLOOKUP(B230,cat!B:B,cat!C:C)</f>
        <v>D</v>
      </c>
      <c r="K230" s="1">
        <f t="array" ref="K230">XLOOKUP(B230,cat!B:B,cat!D:D)</f>
        <v>173</v>
      </c>
      <c r="L230" s="7">
        <f t="shared" si="1"/>
        <v>0.08263888889</v>
      </c>
      <c r="M230" s="1" t="str">
        <f t="shared" si="2"/>
        <v/>
      </c>
      <c r="P230" s="9"/>
      <c r="Q230" s="9">
        <f t="shared" si="3"/>
        <v>0</v>
      </c>
      <c r="R230" s="1" t="str">
        <f t="shared" si="4"/>
        <v>AUA</v>
      </c>
      <c r="S230" s="1" t="str">
        <f>IF($D230="LEBL", IF(COUNTIF('Paises ECAC'!B:B, C230)&gt;0, "ECAC","NO ECAC"), "")</f>
        <v/>
      </c>
    </row>
    <row r="231" ht="14.25" customHeight="1">
      <c r="A231" s="1" t="s">
        <v>564</v>
      </c>
      <c r="B231" s="1" t="s">
        <v>35</v>
      </c>
      <c r="C231" s="1" t="s">
        <v>21</v>
      </c>
      <c r="D231" s="1" t="s">
        <v>116</v>
      </c>
      <c r="E231" s="1" t="s">
        <v>438</v>
      </c>
      <c r="F231" s="1">
        <v>320.0</v>
      </c>
      <c r="G231" s="5">
        <v>0.3368055555555556</v>
      </c>
      <c r="H231" s="1">
        <v>10.0</v>
      </c>
      <c r="I231" s="5">
        <v>0.4097222222222222</v>
      </c>
      <c r="J231" s="1" t="str">
        <f t="array" ref="J231">XLOOKUP(B231,cat!B:B,cat!C:C)</f>
        <v>D</v>
      </c>
      <c r="K231" s="1">
        <f t="array" ref="K231">XLOOKUP(B231,cat!B:B,cat!D:D)</f>
        <v>207</v>
      </c>
      <c r="L231" s="7">
        <f t="shared" si="1"/>
        <v>0.07291666667</v>
      </c>
      <c r="M231" s="1" t="str">
        <f t="shared" si="2"/>
        <v/>
      </c>
      <c r="P231" s="9"/>
      <c r="Q231" s="9">
        <f t="shared" si="3"/>
        <v>0</v>
      </c>
      <c r="R231" s="1" t="str">
        <f t="shared" si="4"/>
        <v>AFR</v>
      </c>
      <c r="S231" s="1" t="str">
        <f>IF($D231="LEBL", IF(COUNTIF('Paises ECAC'!B:B, C231)&gt;0, "ECAC","NO ECAC"), "")</f>
        <v/>
      </c>
    </row>
    <row r="232" ht="14.25" customHeight="1">
      <c r="A232" s="1" t="s">
        <v>565</v>
      </c>
      <c r="B232" s="1" t="s">
        <v>40</v>
      </c>
      <c r="C232" s="1" t="s">
        <v>21</v>
      </c>
      <c r="D232" s="1" t="s">
        <v>88</v>
      </c>
      <c r="E232" s="1" t="s">
        <v>423</v>
      </c>
      <c r="F232" s="1">
        <v>390.0</v>
      </c>
      <c r="G232" s="5">
        <v>0.34375</v>
      </c>
      <c r="H232" s="1">
        <v>20.0</v>
      </c>
      <c r="I232" s="5">
        <v>0.4479166666666667</v>
      </c>
      <c r="J232" s="1" t="str">
        <f t="array" ref="J232">XLOOKUP(B232,cat!B:B,cat!C:C)</f>
        <v>D</v>
      </c>
      <c r="K232" s="1">
        <f t="array" ref="K232">XLOOKUP(B232,cat!B:B,cat!D:D)</f>
        <v>186</v>
      </c>
      <c r="L232" s="7">
        <f t="shared" si="1"/>
        <v>0.1041666667</v>
      </c>
      <c r="M232" s="1" t="str">
        <f t="shared" si="2"/>
        <v/>
      </c>
      <c r="P232" s="9"/>
      <c r="Q232" s="9">
        <f t="shared" si="3"/>
        <v>0</v>
      </c>
      <c r="R232" s="1" t="str">
        <f t="shared" si="4"/>
        <v>NSZ</v>
      </c>
      <c r="S232" s="1" t="str">
        <f>IF($D232="LEBL", IF(COUNTIF('Paises ECAC'!B:B, C232)&gt;0, "ECAC","NO ECAC"), "")</f>
        <v/>
      </c>
    </row>
    <row r="233" ht="14.25" customHeight="1">
      <c r="A233" s="1" t="s">
        <v>566</v>
      </c>
      <c r="B233" s="1" t="s">
        <v>35</v>
      </c>
      <c r="C233" s="1" t="s">
        <v>21</v>
      </c>
      <c r="D233" s="1" t="s">
        <v>140</v>
      </c>
      <c r="E233" s="1" t="s">
        <v>172</v>
      </c>
      <c r="F233" s="1">
        <v>340.0</v>
      </c>
      <c r="G233" s="5">
        <v>0.34791666666666665</v>
      </c>
      <c r="H233" s="1">
        <v>11.0</v>
      </c>
      <c r="I233" s="5">
        <v>0.4027777777777778</v>
      </c>
      <c r="J233" s="1" t="str">
        <f t="array" ref="J233">XLOOKUP(B233,cat!B:B,cat!C:C)</f>
        <v>D</v>
      </c>
      <c r="K233" s="1">
        <f t="array" ref="K233">XLOOKUP(B233,cat!B:B,cat!D:D)</f>
        <v>207</v>
      </c>
      <c r="L233" s="7">
        <f t="shared" si="1"/>
        <v>0.05486111111</v>
      </c>
      <c r="M233" s="1" t="str">
        <f t="shared" si="2"/>
        <v/>
      </c>
      <c r="P233" s="9"/>
      <c r="Q233" s="9">
        <f t="shared" si="3"/>
        <v>0</v>
      </c>
      <c r="R233" s="1" t="str">
        <f t="shared" si="4"/>
        <v>VLG</v>
      </c>
      <c r="S233" s="1" t="str">
        <f>IF($D233="LEBL", IF(COUNTIF('Paises ECAC'!B:B, C233)&gt;0, "ECAC","NO ECAC"), "")</f>
        <v/>
      </c>
    </row>
    <row r="234" ht="14.25" customHeight="1">
      <c r="A234" s="1" t="s">
        <v>567</v>
      </c>
      <c r="B234" s="1" t="s">
        <v>19</v>
      </c>
      <c r="C234" s="1" t="s">
        <v>240</v>
      </c>
      <c r="D234" s="1" t="s">
        <v>21</v>
      </c>
      <c r="E234" s="1" t="s">
        <v>568</v>
      </c>
      <c r="F234" s="1">
        <v>390.0</v>
      </c>
      <c r="G234" s="5">
        <v>0.21875</v>
      </c>
      <c r="H234" s="1">
        <v>15.0</v>
      </c>
      <c r="I234" s="5">
        <v>0.3472222222222222</v>
      </c>
      <c r="J234" s="1" t="str">
        <f t="array" ref="J234">XLOOKUP(B234,cat!B:B,cat!C:C)</f>
        <v>D</v>
      </c>
      <c r="K234" s="1">
        <f t="array" ref="K234">XLOOKUP(B234,cat!B:B,cat!D:D)</f>
        <v>184</v>
      </c>
      <c r="L234" s="7">
        <f t="shared" si="1"/>
        <v>0.1284722222</v>
      </c>
      <c r="M234" s="7">
        <f t="shared" si="2"/>
        <v>0.1053472222</v>
      </c>
      <c r="P234" s="9"/>
      <c r="Q234" s="9">
        <f t="shared" si="3"/>
        <v>2098.516667</v>
      </c>
      <c r="R234" s="1" t="str">
        <f t="shared" si="4"/>
        <v>NSZ</v>
      </c>
      <c r="S234" s="1" t="str">
        <f>IF($D234="LEBL", IF(COUNTIF('Paises ECAC'!B:B, C234)&gt;0, "ECAC","NO ECAC"), "")</f>
        <v>ECAC</v>
      </c>
    </row>
    <row r="235" ht="14.25" customHeight="1">
      <c r="A235" s="1" t="s">
        <v>569</v>
      </c>
      <c r="B235" s="1" t="s">
        <v>30</v>
      </c>
      <c r="C235" s="1" t="s">
        <v>153</v>
      </c>
      <c r="D235" s="1" t="s">
        <v>21</v>
      </c>
      <c r="E235" s="1" t="s">
        <v>154</v>
      </c>
      <c r="F235" s="1">
        <v>350.0</v>
      </c>
      <c r="G235" s="5">
        <v>0.2916666666666667</v>
      </c>
      <c r="H235" s="1">
        <v>15.0</v>
      </c>
      <c r="I235" s="5">
        <v>0.3472222222222222</v>
      </c>
      <c r="J235" s="1" t="str">
        <f t="array" ref="J235">XLOOKUP(B235,cat!B:B,cat!C:C)</f>
        <v>D</v>
      </c>
      <c r="K235" s="1">
        <f t="array" ref="K235">XLOOKUP(B235,cat!B:B,cat!D:D)</f>
        <v>173</v>
      </c>
      <c r="L235" s="7">
        <f t="shared" si="1"/>
        <v>0.05555555556</v>
      </c>
      <c r="M235" s="7">
        <f t="shared" si="2"/>
        <v>0.03243055556</v>
      </c>
      <c r="P235" s="9"/>
      <c r="Q235" s="9">
        <f t="shared" si="3"/>
        <v>646.0166667</v>
      </c>
      <c r="R235" s="1" t="str">
        <f t="shared" si="4"/>
        <v>VLG</v>
      </c>
      <c r="S235" s="1" t="str">
        <f>IF($D235="LEBL", IF(COUNTIF('Paises ECAC'!B:B, C235)&gt;0, "ECAC","NO ECAC"), "")</f>
        <v>ECAC</v>
      </c>
    </row>
    <row r="236" ht="14.25" customHeight="1">
      <c r="A236" s="1" t="s">
        <v>570</v>
      </c>
      <c r="B236" s="1" t="s">
        <v>212</v>
      </c>
      <c r="C236" s="1" t="s">
        <v>21</v>
      </c>
      <c r="D236" s="1" t="s">
        <v>140</v>
      </c>
      <c r="E236" s="1" t="s">
        <v>432</v>
      </c>
      <c r="F236" s="1">
        <v>340.0</v>
      </c>
      <c r="G236" s="5">
        <v>0.3472222222222222</v>
      </c>
      <c r="H236" s="1">
        <v>20.0</v>
      </c>
      <c r="I236" s="5">
        <v>0.40625</v>
      </c>
      <c r="J236" s="1" t="str">
        <f t="array" ref="J236">XLOOKUP(B236,cat!B:B,cat!C:C)</f>
        <v>D</v>
      </c>
      <c r="K236" s="1">
        <f t="array" ref="K236">XLOOKUP(B236,cat!B:B,cat!D:D)</f>
        <v>200</v>
      </c>
      <c r="L236" s="7">
        <f t="shared" si="1"/>
        <v>0.05902777778</v>
      </c>
      <c r="M236" s="1" t="str">
        <f t="shared" si="2"/>
        <v/>
      </c>
      <c r="P236" s="9"/>
      <c r="Q236" s="9">
        <f t="shared" si="3"/>
        <v>0</v>
      </c>
      <c r="R236" s="1" t="str">
        <f t="shared" si="4"/>
        <v>WMT</v>
      </c>
      <c r="S236" s="1" t="str">
        <f>IF($D236="LEBL", IF(COUNTIF('Paises ECAC'!B:B, C236)&gt;0, "ECAC","NO ECAC"), "")</f>
        <v/>
      </c>
    </row>
    <row r="237" ht="14.25" customHeight="1">
      <c r="A237" s="1" t="s">
        <v>571</v>
      </c>
      <c r="B237" s="1" t="s">
        <v>30</v>
      </c>
      <c r="C237" s="1" t="s">
        <v>143</v>
      </c>
      <c r="D237" s="1" t="s">
        <v>21</v>
      </c>
      <c r="E237" s="1" t="s">
        <v>103</v>
      </c>
      <c r="F237" s="1">
        <v>180.0</v>
      </c>
      <c r="G237" s="5">
        <v>0.31527777777777777</v>
      </c>
      <c r="H237" s="1">
        <v>11.0</v>
      </c>
      <c r="I237" s="5">
        <v>0.3472222222222222</v>
      </c>
      <c r="J237" s="1" t="str">
        <f t="array" ref="J237">XLOOKUP(B237,cat!B:B,cat!C:C)</f>
        <v>D</v>
      </c>
      <c r="K237" s="1">
        <f t="array" ref="K237">XLOOKUP(B237,cat!B:B,cat!D:D)</f>
        <v>173</v>
      </c>
      <c r="L237" s="7">
        <f t="shared" si="1"/>
        <v>0.03194444444</v>
      </c>
      <c r="M237" s="7">
        <f t="shared" si="2"/>
        <v>0.01159722222</v>
      </c>
      <c r="P237" s="9"/>
      <c r="Q237" s="9">
        <f t="shared" si="3"/>
        <v>231.0166667</v>
      </c>
      <c r="R237" s="1" t="str">
        <f t="shared" si="4"/>
        <v>VLG</v>
      </c>
      <c r="S237" s="1" t="str">
        <f>IF($D237="LEBL", IF(COUNTIF('Paises ECAC'!B:B, C237)&gt;0, "ECAC","NO ECAC"), "")</f>
        <v>ECAC</v>
      </c>
    </row>
    <row r="238" ht="14.25" customHeight="1">
      <c r="A238" s="1" t="s">
        <v>572</v>
      </c>
      <c r="B238" s="1" t="s">
        <v>35</v>
      </c>
      <c r="C238" s="1" t="s">
        <v>21</v>
      </c>
      <c r="D238" s="1" t="s">
        <v>74</v>
      </c>
      <c r="E238" s="1" t="s">
        <v>188</v>
      </c>
      <c r="F238" s="1">
        <v>320.0</v>
      </c>
      <c r="G238" s="5">
        <v>0.34305555555555556</v>
      </c>
      <c r="H238" s="1">
        <v>11.0</v>
      </c>
      <c r="I238" s="5">
        <v>0.3993055555555556</v>
      </c>
      <c r="J238" s="1" t="str">
        <f t="array" ref="J238">XLOOKUP(B238,cat!B:B,cat!C:C)</f>
        <v>D</v>
      </c>
      <c r="K238" s="1">
        <f t="array" ref="K238">XLOOKUP(B238,cat!B:B,cat!D:D)</f>
        <v>207</v>
      </c>
      <c r="L238" s="7">
        <f t="shared" si="1"/>
        <v>0.05625</v>
      </c>
      <c r="M238" s="1" t="str">
        <f t="shared" si="2"/>
        <v/>
      </c>
      <c r="P238" s="9"/>
      <c r="Q238" s="9">
        <f t="shared" si="3"/>
        <v>0</v>
      </c>
      <c r="R238" s="1" t="str">
        <f t="shared" si="4"/>
        <v>VLG</v>
      </c>
      <c r="S238" s="1" t="str">
        <f>IF($D238="LEBL", IF(COUNTIF('Paises ECAC'!B:B, C238)&gt;0, "ECAC","NO ECAC"), "")</f>
        <v/>
      </c>
    </row>
    <row r="239" ht="14.25" customHeight="1">
      <c r="A239" s="1" t="s">
        <v>573</v>
      </c>
      <c r="B239" s="1" t="s">
        <v>30</v>
      </c>
      <c r="C239" s="1" t="s">
        <v>21</v>
      </c>
      <c r="D239" s="1" t="s">
        <v>574</v>
      </c>
      <c r="E239" s="1" t="s">
        <v>459</v>
      </c>
      <c r="F239" s="1">
        <v>370.0</v>
      </c>
      <c r="G239" s="5">
        <v>0.3472222222222222</v>
      </c>
      <c r="H239" s="1">
        <v>20.0</v>
      </c>
      <c r="I239" s="5">
        <v>0.3958333333333333</v>
      </c>
      <c r="J239" s="1" t="str">
        <f t="array" ref="J239">XLOOKUP(B239,cat!B:B,cat!C:C)</f>
        <v>D</v>
      </c>
      <c r="K239" s="1">
        <f t="array" ref="K239">XLOOKUP(B239,cat!B:B,cat!D:D)</f>
        <v>173</v>
      </c>
      <c r="L239" s="7">
        <f t="shared" si="1"/>
        <v>0.04861111111</v>
      </c>
      <c r="M239" s="1" t="str">
        <f t="shared" si="2"/>
        <v/>
      </c>
      <c r="P239" s="9"/>
      <c r="Q239" s="9">
        <f t="shared" si="3"/>
        <v>0</v>
      </c>
      <c r="R239" s="1" t="str">
        <f t="shared" si="4"/>
        <v>MAC</v>
      </c>
      <c r="S239" s="1" t="str">
        <f>IF($D239="LEBL", IF(COUNTIF('Paises ECAC'!B:B, C239)&gt;0, "ECAC","NO ECAC"), "")</f>
        <v/>
      </c>
    </row>
    <row r="240" ht="14.25" customHeight="1">
      <c r="A240" s="1" t="s">
        <v>575</v>
      </c>
      <c r="B240" s="1" t="s">
        <v>576</v>
      </c>
      <c r="C240" s="1" t="s">
        <v>343</v>
      </c>
      <c r="D240" s="1" t="s">
        <v>21</v>
      </c>
      <c r="E240" s="1" t="s">
        <v>577</v>
      </c>
      <c r="F240" s="1">
        <v>390.0</v>
      </c>
      <c r="G240" s="5">
        <v>0.2222222222222222</v>
      </c>
      <c r="H240" s="1">
        <v>25.0</v>
      </c>
      <c r="I240" s="5">
        <v>0.3506944444444444</v>
      </c>
      <c r="J240" s="1" t="str">
        <f t="array" ref="J240">XLOOKUP(B240,cat!B:B,cat!C:C)</f>
        <v>B</v>
      </c>
      <c r="K240" s="1">
        <f t="array" ref="K240">XLOOKUP(B240,cat!B:B,cat!D:D)</f>
        <v>284</v>
      </c>
      <c r="L240" s="7">
        <f t="shared" si="1"/>
        <v>0.1284722222</v>
      </c>
      <c r="M240" s="7">
        <f t="shared" si="2"/>
        <v>0.09840277778</v>
      </c>
      <c r="P240" s="9"/>
      <c r="Q240" s="9">
        <f t="shared" si="3"/>
        <v>2125.5</v>
      </c>
      <c r="R240" s="1" t="str">
        <f t="shared" si="4"/>
        <v>THY</v>
      </c>
      <c r="S240" s="1" t="str">
        <f>IF($D240="LEBL", IF(COUNTIF('Paises ECAC'!B:B, C240)&gt;0, "ECAC","NO ECAC"), "")</f>
        <v>ECAC</v>
      </c>
    </row>
    <row r="241" ht="14.25" customHeight="1">
      <c r="A241" s="1" t="s">
        <v>578</v>
      </c>
      <c r="B241" s="1" t="s">
        <v>19</v>
      </c>
      <c r="C241" s="1" t="s">
        <v>140</v>
      </c>
      <c r="D241" s="1" t="s">
        <v>21</v>
      </c>
      <c r="E241" s="1" t="s">
        <v>146</v>
      </c>
      <c r="F241" s="1">
        <v>330.0</v>
      </c>
      <c r="G241" s="5">
        <v>0.29444444444444445</v>
      </c>
      <c r="H241" s="1">
        <v>14.0</v>
      </c>
      <c r="I241" s="5">
        <v>0.3506944444444444</v>
      </c>
      <c r="J241" s="1" t="str">
        <f t="array" ref="J241">XLOOKUP(B241,cat!B:B,cat!C:C)</f>
        <v>D</v>
      </c>
      <c r="K241" s="1">
        <f t="array" ref="K241">XLOOKUP(B241,cat!B:B,cat!D:D)</f>
        <v>184</v>
      </c>
      <c r="L241" s="7">
        <f t="shared" si="1"/>
        <v>0.05625</v>
      </c>
      <c r="M241" s="7">
        <f t="shared" si="2"/>
        <v>0.03381944444</v>
      </c>
      <c r="P241" s="9"/>
      <c r="Q241" s="9">
        <f t="shared" si="3"/>
        <v>673.6833333</v>
      </c>
      <c r="R241" s="1" t="str">
        <f t="shared" si="4"/>
        <v>RYR</v>
      </c>
      <c r="S241" s="1" t="str">
        <f>IF($D241="LEBL", IF(COUNTIF('Paises ECAC'!B:B, C241)&gt;0, "ECAC","NO ECAC"), "")</f>
        <v>ECAC</v>
      </c>
    </row>
    <row r="242" ht="14.25" customHeight="1">
      <c r="A242" s="1" t="s">
        <v>579</v>
      </c>
      <c r="B242" s="1" t="s">
        <v>580</v>
      </c>
      <c r="C242" s="1" t="s">
        <v>21</v>
      </c>
      <c r="D242" s="1" t="s">
        <v>581</v>
      </c>
      <c r="E242" s="1" t="s">
        <v>582</v>
      </c>
      <c r="F242" s="1">
        <v>400.0</v>
      </c>
      <c r="G242" s="5">
        <v>0.3576388888888889</v>
      </c>
      <c r="H242" s="1">
        <v>20.0</v>
      </c>
      <c r="I242" s="5">
        <v>0.4305555555555556</v>
      </c>
      <c r="J242" s="1" t="str">
        <f t="array" ref="J242">XLOOKUP(B242,cat!B:B,cat!C:C)</f>
        <v>E</v>
      </c>
      <c r="K242" s="1">
        <f t="array" ref="K242">XLOOKUP(B242,cat!B:B,cat!D:D)</f>
        <v>10</v>
      </c>
      <c r="L242" s="7">
        <f t="shared" si="1"/>
        <v>0.07291666667</v>
      </c>
      <c r="M242" s="1" t="str">
        <f t="shared" si="2"/>
        <v/>
      </c>
      <c r="P242" s="9"/>
      <c r="Q242" s="9">
        <f t="shared" si="3"/>
        <v>0</v>
      </c>
      <c r="R242" s="1" t="str">
        <f t="shared" si="4"/>
        <v>EDC</v>
      </c>
      <c r="S242" s="1" t="str">
        <f>IF($D242="LEBL", IF(COUNTIF('Paises ECAC'!B:B, C242)&gt;0, "ECAC","NO ECAC"), "")</f>
        <v/>
      </c>
    </row>
    <row r="243" ht="14.25" customHeight="1">
      <c r="A243" s="1" t="s">
        <v>583</v>
      </c>
      <c r="B243" s="1" t="s">
        <v>30</v>
      </c>
      <c r="C243" s="1" t="s">
        <v>584</v>
      </c>
      <c r="D243" s="1" t="s">
        <v>21</v>
      </c>
      <c r="E243" s="1" t="s">
        <v>585</v>
      </c>
      <c r="F243" s="1">
        <v>370.0</v>
      </c>
      <c r="G243" s="5">
        <v>0.2534722222222222</v>
      </c>
      <c r="H243" s="1">
        <v>1.0</v>
      </c>
      <c r="I243" s="5">
        <v>0.3506944444444444</v>
      </c>
      <c r="J243" s="1" t="str">
        <f t="array" ref="J243">XLOOKUP(B243,cat!B:B,cat!C:C)</f>
        <v>D</v>
      </c>
      <c r="K243" s="1">
        <f t="array" ref="K243">XLOOKUP(B243,cat!B:B,cat!D:D)</f>
        <v>173</v>
      </c>
      <c r="L243" s="7">
        <f t="shared" si="1"/>
        <v>0.09722222222</v>
      </c>
      <c r="M243" s="7">
        <f t="shared" si="2"/>
        <v>0.08381944444</v>
      </c>
      <c r="P243" s="9"/>
      <c r="Q243" s="9">
        <f t="shared" si="3"/>
        <v>1669.683333</v>
      </c>
      <c r="R243" s="1" t="str">
        <f t="shared" si="4"/>
        <v>EZY</v>
      </c>
      <c r="S243" s="1" t="str">
        <f>IF($D243="LEBL", IF(COUNTIF('Paises ECAC'!B:B, C243)&gt;0, "ECAC","NO ECAC"), "")</f>
        <v>ECAC</v>
      </c>
    </row>
    <row r="244" ht="14.25" customHeight="1">
      <c r="A244" s="1" t="s">
        <v>586</v>
      </c>
      <c r="B244" s="1" t="s">
        <v>25</v>
      </c>
      <c r="C244" s="1" t="s">
        <v>21</v>
      </c>
      <c r="D244" s="1" t="s">
        <v>88</v>
      </c>
      <c r="E244" s="1" t="s">
        <v>463</v>
      </c>
      <c r="F244" s="1">
        <v>390.0</v>
      </c>
      <c r="G244" s="5">
        <v>0.34444444444444444</v>
      </c>
      <c r="H244" s="1">
        <v>10.0</v>
      </c>
      <c r="I244" s="5">
        <v>0.4513888888888889</v>
      </c>
      <c r="J244" s="1" t="str">
        <f t="array" ref="J244">XLOOKUP(B244,cat!B:B,cat!C:C)</f>
        <v>D</v>
      </c>
      <c r="K244" s="1">
        <f t="array" ref="K244">XLOOKUP(B244,cat!B:B,cat!D:D)</f>
        <v>180</v>
      </c>
      <c r="L244" s="7">
        <f t="shared" si="1"/>
        <v>0.1069444444</v>
      </c>
      <c r="M244" s="1" t="str">
        <f t="shared" si="2"/>
        <v/>
      </c>
      <c r="P244" s="9"/>
      <c r="Q244" s="9">
        <f t="shared" si="3"/>
        <v>0</v>
      </c>
      <c r="R244" s="1" t="str">
        <f t="shared" si="4"/>
        <v>SAS</v>
      </c>
      <c r="S244" s="1" t="str">
        <f>IF($D244="LEBL", IF(COUNTIF('Paises ECAC'!B:B, C244)&gt;0, "ECAC","NO ECAC"), "")</f>
        <v/>
      </c>
    </row>
    <row r="245" ht="14.25" customHeight="1">
      <c r="A245" s="1" t="s">
        <v>587</v>
      </c>
      <c r="B245" s="1" t="s">
        <v>40</v>
      </c>
      <c r="C245" s="1" t="s">
        <v>588</v>
      </c>
      <c r="D245" s="1" t="s">
        <v>21</v>
      </c>
      <c r="E245" s="1" t="s">
        <v>589</v>
      </c>
      <c r="F245" s="1">
        <v>380.0</v>
      </c>
      <c r="G245" s="5">
        <v>0.0625</v>
      </c>
      <c r="H245" s="1">
        <v>10.0</v>
      </c>
      <c r="I245" s="5">
        <v>0.3506944444444444</v>
      </c>
      <c r="J245" s="1" t="str">
        <f t="array" ref="J245">XLOOKUP(B245,cat!B:B,cat!C:C)</f>
        <v>D</v>
      </c>
      <c r="K245" s="1">
        <f t="array" ref="K245">XLOOKUP(B245,cat!B:B,cat!D:D)</f>
        <v>186</v>
      </c>
      <c r="L245" s="7">
        <f t="shared" si="1"/>
        <v>0.2881944444</v>
      </c>
      <c r="M245" s="7">
        <f t="shared" si="2"/>
        <v>0.2685416667</v>
      </c>
      <c r="P245" s="9"/>
      <c r="Q245" s="9">
        <f t="shared" si="3"/>
        <v>5349.35</v>
      </c>
      <c r="R245" s="1" t="str">
        <f t="shared" si="4"/>
        <v>WJA</v>
      </c>
      <c r="S245" s="1" t="str">
        <f>IF($D245="LEBL", IF(COUNTIF('Paises ECAC'!B:B, C245)&gt;0, "ECAC","NO ECAC"), "")</f>
        <v>NO ECAC</v>
      </c>
    </row>
    <row r="246" ht="14.25" customHeight="1">
      <c r="A246" s="1" t="s">
        <v>590</v>
      </c>
      <c r="B246" s="1" t="s">
        <v>136</v>
      </c>
      <c r="C246" s="1" t="s">
        <v>310</v>
      </c>
      <c r="D246" s="1" t="s">
        <v>21</v>
      </c>
      <c r="E246" s="1" t="s">
        <v>311</v>
      </c>
      <c r="F246" s="1">
        <v>300.0</v>
      </c>
      <c r="G246" s="5">
        <v>0.3173611111111111</v>
      </c>
      <c r="H246" s="1">
        <v>7.0</v>
      </c>
      <c r="I246" s="5">
        <v>0.3506944444444444</v>
      </c>
      <c r="J246" s="1" t="str">
        <f t="array" ref="J246">XLOOKUP(B246,cat!B:B,cat!C:C)</f>
        <v>D</v>
      </c>
      <c r="K246" s="1">
        <f t="array" ref="K246">XLOOKUP(B246,cat!B:B,cat!D:D)</f>
        <v>144</v>
      </c>
      <c r="L246" s="7">
        <f t="shared" si="1"/>
        <v>0.03333333333</v>
      </c>
      <c r="M246" s="7">
        <f t="shared" si="2"/>
        <v>0.01576388889</v>
      </c>
      <c r="P246" s="9"/>
      <c r="Q246" s="9">
        <f t="shared" si="3"/>
        <v>314.0166667</v>
      </c>
      <c r="R246" s="1" t="str">
        <f t="shared" si="4"/>
        <v>VLG</v>
      </c>
      <c r="S246" s="1" t="str">
        <f>IF($D246="LEBL", IF(COUNTIF('Paises ECAC'!B:B, C246)&gt;0, "ECAC","NO ECAC"), "")</f>
        <v>NO ECAC</v>
      </c>
    </row>
    <row r="247" ht="14.25" customHeight="1">
      <c r="A247" s="1" t="s">
        <v>591</v>
      </c>
      <c r="B247" s="1" t="s">
        <v>45</v>
      </c>
      <c r="C247" s="1" t="s">
        <v>21</v>
      </c>
      <c r="D247" s="1" t="s">
        <v>592</v>
      </c>
      <c r="E247" s="1" t="s">
        <v>47</v>
      </c>
      <c r="F247" s="1">
        <v>330.0</v>
      </c>
      <c r="G247" s="5">
        <v>0.34791666666666665</v>
      </c>
      <c r="H247" s="1">
        <v>8.0</v>
      </c>
      <c r="I247" s="5">
        <v>0.3993055555555556</v>
      </c>
      <c r="J247" s="1" t="str">
        <f t="array" ref="J247">XLOOKUP(B247,cat!B:B,cat!C:C)</f>
        <v>E</v>
      </c>
      <c r="K247" s="1">
        <f t="array" ref="K247">XLOOKUP(B247,cat!B:B,cat!D:D)</f>
        <v>100</v>
      </c>
      <c r="L247" s="7">
        <f t="shared" si="1"/>
        <v>0.05138888889</v>
      </c>
      <c r="M247" s="1" t="str">
        <f t="shared" si="2"/>
        <v/>
      </c>
      <c r="P247" s="9"/>
      <c r="Q247" s="9">
        <f t="shared" si="3"/>
        <v>0</v>
      </c>
      <c r="R247" s="1" t="str">
        <f t="shared" si="4"/>
        <v>ANE</v>
      </c>
      <c r="S247" s="1" t="str">
        <f>IF($D247="LEBL", IF(COUNTIF('Paises ECAC'!B:B, C247)&gt;0, "ECAC","NO ECAC"), "")</f>
        <v/>
      </c>
    </row>
    <row r="248" ht="14.25" customHeight="1">
      <c r="A248" s="1" t="s">
        <v>593</v>
      </c>
      <c r="B248" s="1" t="s">
        <v>594</v>
      </c>
      <c r="C248" s="1" t="s">
        <v>595</v>
      </c>
      <c r="D248" s="1" t="s">
        <v>21</v>
      </c>
      <c r="E248" s="1" t="s">
        <v>596</v>
      </c>
      <c r="F248" s="1">
        <v>430.0</v>
      </c>
      <c r="G248" s="5">
        <v>0.225</v>
      </c>
      <c r="H248" s="1">
        <v>8.0</v>
      </c>
      <c r="I248" s="5">
        <v>0.3506944444444444</v>
      </c>
      <c r="J248" s="1" t="str">
        <f t="array" ref="J248">XLOOKUP(B248,cat!B:B,cat!C:C)</f>
        <v>E</v>
      </c>
      <c r="K248" s="1">
        <f t="array" ref="K248">XLOOKUP(B248,cat!B:B,cat!D:D)</f>
        <v>15</v>
      </c>
      <c r="L248" s="7">
        <f t="shared" si="1"/>
        <v>0.1256944444</v>
      </c>
      <c r="M248" s="7">
        <f t="shared" si="2"/>
        <v>0.1074305556</v>
      </c>
      <c r="P248" s="9"/>
      <c r="Q248" s="9">
        <f t="shared" si="3"/>
        <v>1160.25</v>
      </c>
      <c r="R248" s="1" t="str">
        <f t="shared" si="4"/>
        <v>JCO</v>
      </c>
      <c r="S248" s="1" t="str">
        <f>IF($D248="LEBL", IF(COUNTIF('Paises ECAC'!B:B, C248)&gt;0, "ECAC","NO ECAC"), "")</f>
        <v>ECAC</v>
      </c>
    </row>
    <row r="249" ht="14.25" customHeight="1">
      <c r="A249" s="1" t="s">
        <v>597</v>
      </c>
      <c r="B249" s="1" t="s">
        <v>30</v>
      </c>
      <c r="C249" s="1" t="s">
        <v>126</v>
      </c>
      <c r="D249" s="1" t="s">
        <v>21</v>
      </c>
      <c r="E249" s="1" t="s">
        <v>598</v>
      </c>
      <c r="F249" s="1">
        <v>380.0</v>
      </c>
      <c r="G249" s="5">
        <v>0.2375</v>
      </c>
      <c r="H249" s="1">
        <v>14.0</v>
      </c>
      <c r="I249" s="5">
        <v>0.3506944444444444</v>
      </c>
      <c r="J249" s="1" t="str">
        <f t="array" ref="J249">XLOOKUP(B249,cat!B:B,cat!C:C)</f>
        <v>D</v>
      </c>
      <c r="K249" s="1">
        <f t="array" ref="K249">XLOOKUP(B249,cat!B:B,cat!D:D)</f>
        <v>173</v>
      </c>
      <c r="L249" s="7">
        <f t="shared" si="1"/>
        <v>0.1131944444</v>
      </c>
      <c r="M249" s="7">
        <f t="shared" si="2"/>
        <v>0.09076388889</v>
      </c>
      <c r="P249" s="9"/>
      <c r="Q249" s="9">
        <f t="shared" si="3"/>
        <v>1808.016667</v>
      </c>
      <c r="R249" s="1" t="str">
        <f t="shared" si="4"/>
        <v>VLG</v>
      </c>
      <c r="S249" s="1" t="str">
        <f>IF($D249="LEBL", IF(COUNTIF('Paises ECAC'!B:B, C249)&gt;0, "ECAC","NO ECAC"), "")</f>
        <v>ECAC</v>
      </c>
    </row>
    <row r="250" ht="14.25" customHeight="1">
      <c r="A250" s="1" t="s">
        <v>599</v>
      </c>
      <c r="B250" s="1" t="s">
        <v>25</v>
      </c>
      <c r="C250" s="1" t="s">
        <v>224</v>
      </c>
      <c r="D250" s="1" t="s">
        <v>21</v>
      </c>
      <c r="E250" s="1" t="s">
        <v>225</v>
      </c>
      <c r="F250" s="1">
        <v>330.0</v>
      </c>
      <c r="G250" s="5">
        <v>0.31180555555555556</v>
      </c>
      <c r="H250" s="1">
        <v>11.0</v>
      </c>
      <c r="I250" s="5">
        <v>0.3541666666666667</v>
      </c>
      <c r="J250" s="1" t="str">
        <f t="array" ref="J250">XLOOKUP(B250,cat!B:B,cat!C:C)</f>
        <v>D</v>
      </c>
      <c r="K250" s="1">
        <f t="array" ref="K250">XLOOKUP(B250,cat!B:B,cat!D:D)</f>
        <v>180</v>
      </c>
      <c r="L250" s="7">
        <f t="shared" si="1"/>
        <v>0.04236111111</v>
      </c>
      <c r="M250" s="7">
        <f t="shared" si="2"/>
        <v>0.02201388889</v>
      </c>
      <c r="P250" s="9"/>
      <c r="Q250" s="9">
        <f t="shared" si="3"/>
        <v>438.5166667</v>
      </c>
      <c r="R250" s="1" t="str">
        <f t="shared" si="4"/>
        <v>VLG</v>
      </c>
      <c r="S250" s="1" t="str">
        <f>IF($D250="LEBL", IF(COUNTIF('Paises ECAC'!B:B, C250)&gt;0, "ECAC","NO ECAC"), "")</f>
        <v>ECAC</v>
      </c>
    </row>
    <row r="251" ht="14.25" customHeight="1">
      <c r="A251" s="1" t="s">
        <v>600</v>
      </c>
      <c r="B251" s="1" t="s">
        <v>25</v>
      </c>
      <c r="C251" s="1" t="s">
        <v>21</v>
      </c>
      <c r="D251" s="1" t="s">
        <v>485</v>
      </c>
      <c r="E251" s="1" t="s">
        <v>486</v>
      </c>
      <c r="F251" s="1">
        <v>380.0</v>
      </c>
      <c r="G251" s="5">
        <v>0.3506944444444444</v>
      </c>
      <c r="H251" s="1">
        <v>20.0</v>
      </c>
      <c r="I251" s="5">
        <v>0.4305555555555556</v>
      </c>
      <c r="J251" s="1" t="str">
        <f t="array" ref="J251">XLOOKUP(B251,cat!B:B,cat!C:C)</f>
        <v>D</v>
      </c>
      <c r="K251" s="1">
        <f t="array" ref="K251">XLOOKUP(B251,cat!B:B,cat!D:D)</f>
        <v>180</v>
      </c>
      <c r="L251" s="7">
        <f t="shared" si="1"/>
        <v>0.07986111111</v>
      </c>
      <c r="M251" s="1" t="str">
        <f t="shared" si="2"/>
        <v/>
      </c>
      <c r="P251" s="9"/>
      <c r="Q251" s="9">
        <f t="shared" si="3"/>
        <v>0</v>
      </c>
      <c r="R251" s="1" t="str">
        <f t="shared" si="4"/>
        <v>EWG</v>
      </c>
      <c r="S251" s="1" t="str">
        <f>IF($D251="LEBL", IF(COUNTIF('Paises ECAC'!B:B, C251)&gt;0, "ECAC","NO ECAC"), "")</f>
        <v/>
      </c>
    </row>
    <row r="252" ht="14.25" customHeight="1">
      <c r="A252" s="1" t="s">
        <v>601</v>
      </c>
      <c r="B252" s="1" t="s">
        <v>40</v>
      </c>
      <c r="C252" s="1" t="s">
        <v>21</v>
      </c>
      <c r="D252" s="1" t="s">
        <v>581</v>
      </c>
      <c r="E252" s="1" t="s">
        <v>42</v>
      </c>
      <c r="F252" s="1">
        <v>360.0</v>
      </c>
      <c r="G252" s="5">
        <v>0.35208333333333336</v>
      </c>
      <c r="H252" s="1">
        <v>21.0</v>
      </c>
      <c r="I252" s="5">
        <v>0.4375</v>
      </c>
      <c r="J252" s="1" t="str">
        <f t="array" ref="J252">XLOOKUP(B252,cat!B:B,cat!C:C)</f>
        <v>D</v>
      </c>
      <c r="K252" s="1">
        <f t="array" ref="K252">XLOOKUP(B252,cat!B:B,cat!D:D)</f>
        <v>186</v>
      </c>
      <c r="L252" s="7">
        <f t="shared" si="1"/>
        <v>0.08541666667</v>
      </c>
      <c r="M252" s="1" t="str">
        <f t="shared" si="2"/>
        <v/>
      </c>
      <c r="P252" s="9"/>
      <c r="Q252" s="9">
        <f t="shared" si="3"/>
        <v>0</v>
      </c>
      <c r="R252" s="1" t="str">
        <f t="shared" si="4"/>
        <v>RYR</v>
      </c>
      <c r="S252" s="1" t="str">
        <f>IF($D252="LEBL", IF(COUNTIF('Paises ECAC'!B:B, C252)&gt;0, "ECAC","NO ECAC"), "")</f>
        <v/>
      </c>
    </row>
    <row r="253" ht="14.25" customHeight="1">
      <c r="A253" s="1" t="s">
        <v>602</v>
      </c>
      <c r="B253" s="1" t="s">
        <v>212</v>
      </c>
      <c r="C253" s="1" t="s">
        <v>21</v>
      </c>
      <c r="D253" s="1" t="s">
        <v>374</v>
      </c>
      <c r="E253" s="1" t="s">
        <v>457</v>
      </c>
      <c r="F253" s="1">
        <v>370.0</v>
      </c>
      <c r="G253" s="5">
        <v>0.3541666666666667</v>
      </c>
      <c r="H253" s="1">
        <v>20.0</v>
      </c>
      <c r="I253" s="5">
        <v>0.4444444444444444</v>
      </c>
      <c r="J253" s="1" t="str">
        <f t="array" ref="J253">XLOOKUP(B253,cat!B:B,cat!C:C)</f>
        <v>D</v>
      </c>
      <c r="K253" s="1">
        <f t="array" ref="K253">XLOOKUP(B253,cat!B:B,cat!D:D)</f>
        <v>200</v>
      </c>
      <c r="L253" s="7">
        <f t="shared" si="1"/>
        <v>0.09027777778</v>
      </c>
      <c r="M253" s="1" t="str">
        <f t="shared" si="2"/>
        <v/>
      </c>
      <c r="P253" s="9"/>
      <c r="Q253" s="9">
        <f t="shared" si="3"/>
        <v>0</v>
      </c>
      <c r="R253" s="1" t="str">
        <f t="shared" si="4"/>
        <v>WZZ</v>
      </c>
      <c r="S253" s="1" t="str">
        <f>IF($D253="LEBL", IF(COUNTIF('Paises ECAC'!B:B, C253)&gt;0, "ECAC","NO ECAC"), "")</f>
        <v/>
      </c>
    </row>
    <row r="254" ht="14.25" customHeight="1">
      <c r="A254" s="1" t="s">
        <v>603</v>
      </c>
      <c r="B254" s="1" t="s">
        <v>182</v>
      </c>
      <c r="C254" s="1" t="s">
        <v>604</v>
      </c>
      <c r="D254" s="1" t="s">
        <v>21</v>
      </c>
      <c r="E254" s="1" t="s">
        <v>605</v>
      </c>
      <c r="F254" s="1">
        <v>410.0</v>
      </c>
      <c r="G254" s="5">
        <v>0.95</v>
      </c>
      <c r="H254" s="1">
        <v>18.0</v>
      </c>
      <c r="I254" s="5">
        <v>0.3541666666666667</v>
      </c>
      <c r="J254" s="1" t="str">
        <f t="array" ref="J254">XLOOKUP(B254,cat!B:B,cat!C:C)</f>
        <v>B</v>
      </c>
      <c r="K254" s="1">
        <f t="array" ref="K254">XLOOKUP(B254,cat!B:B,cat!D:D)</f>
        <v>284</v>
      </c>
      <c r="L254" s="7">
        <f t="shared" si="1"/>
        <v>0.4041666667</v>
      </c>
      <c r="M254" s="7">
        <f t="shared" si="2"/>
        <v>0.3789583333</v>
      </c>
      <c r="P254" s="9"/>
      <c r="Q254" s="9">
        <f t="shared" si="3"/>
        <v>8185.5</v>
      </c>
      <c r="R254" s="1" t="str">
        <f t="shared" si="4"/>
        <v>AAL</v>
      </c>
      <c r="S254" s="1" t="str">
        <f>IF($D254="LEBL", IF(COUNTIF('Paises ECAC'!B:B, C254)&gt;0, "ECAC","NO ECAC"), "")</f>
        <v>NO ECAC</v>
      </c>
    </row>
    <row r="255" ht="14.25" customHeight="1">
      <c r="A255" s="1" t="s">
        <v>606</v>
      </c>
      <c r="B255" s="1" t="s">
        <v>136</v>
      </c>
      <c r="C255" s="1" t="s">
        <v>607</v>
      </c>
      <c r="D255" s="1" t="s">
        <v>21</v>
      </c>
      <c r="E255" s="1" t="s">
        <v>608</v>
      </c>
      <c r="F255" s="1">
        <v>370.0</v>
      </c>
      <c r="G255" s="5">
        <v>0.125</v>
      </c>
      <c r="H255" s="1">
        <v>10.0</v>
      </c>
      <c r="I255" s="5">
        <v>0.3541666666666667</v>
      </c>
      <c r="J255" s="1" t="str">
        <f t="array" ref="J255">XLOOKUP(B255,cat!B:B,cat!C:C)</f>
        <v>D</v>
      </c>
      <c r="K255" s="1">
        <f t="array" ref="K255">XLOOKUP(B255,cat!B:B,cat!D:D)</f>
        <v>144</v>
      </c>
      <c r="L255" s="7">
        <f t="shared" si="1"/>
        <v>0.2291666667</v>
      </c>
      <c r="M255" s="7">
        <f t="shared" si="2"/>
        <v>0.2095138889</v>
      </c>
      <c r="P255" s="9"/>
      <c r="Q255" s="9">
        <f t="shared" si="3"/>
        <v>4173.516667</v>
      </c>
      <c r="R255" s="1" t="str">
        <f t="shared" si="4"/>
        <v>AHY</v>
      </c>
      <c r="S255" s="1" t="str">
        <f>IF($D255="LEBL", IF(COUNTIF('Paises ECAC'!B:B, C255)&gt;0, "ECAC","NO ECAC"), "")</f>
        <v>ECAC</v>
      </c>
    </row>
    <row r="256" ht="14.25" customHeight="1">
      <c r="A256" s="1" t="s">
        <v>609</v>
      </c>
      <c r="B256" s="1" t="s">
        <v>30</v>
      </c>
      <c r="C256" s="1" t="s">
        <v>21</v>
      </c>
      <c r="D256" s="1" t="s">
        <v>169</v>
      </c>
      <c r="E256" s="1" t="s">
        <v>440</v>
      </c>
      <c r="F256" s="1">
        <v>360.0</v>
      </c>
      <c r="G256" s="5">
        <v>0.35625</v>
      </c>
      <c r="H256" s="1">
        <v>11.0</v>
      </c>
      <c r="I256" s="5">
        <v>0.4305555555555556</v>
      </c>
      <c r="J256" s="1" t="str">
        <f t="array" ref="J256">XLOOKUP(B256,cat!B:B,cat!C:C)</f>
        <v>D</v>
      </c>
      <c r="K256" s="1">
        <f t="array" ref="K256">XLOOKUP(B256,cat!B:B,cat!D:D)</f>
        <v>173</v>
      </c>
      <c r="L256" s="7">
        <f t="shared" si="1"/>
        <v>0.07430555556</v>
      </c>
      <c r="M256" s="1" t="str">
        <f t="shared" si="2"/>
        <v/>
      </c>
      <c r="P256" s="9"/>
      <c r="Q256" s="9">
        <f t="shared" si="3"/>
        <v>0</v>
      </c>
      <c r="R256" s="1" t="str">
        <f t="shared" si="4"/>
        <v>VLG</v>
      </c>
      <c r="S256" s="1" t="str">
        <f>IF($D256="LEBL", IF(COUNTIF('Paises ECAC'!B:B, C256)&gt;0, "ECAC","NO ECAC"), "")</f>
        <v/>
      </c>
    </row>
    <row r="257" ht="14.25" customHeight="1">
      <c r="A257" s="1" t="s">
        <v>610</v>
      </c>
      <c r="B257" s="1" t="s">
        <v>19</v>
      </c>
      <c r="C257" s="1" t="s">
        <v>21</v>
      </c>
      <c r="D257" s="1" t="s">
        <v>156</v>
      </c>
      <c r="E257" s="1" t="s">
        <v>358</v>
      </c>
      <c r="F257" s="1">
        <v>190.0</v>
      </c>
      <c r="G257" s="5">
        <v>0.3548611111111111</v>
      </c>
      <c r="H257" s="1">
        <v>21.0</v>
      </c>
      <c r="I257" s="5">
        <v>0.375</v>
      </c>
      <c r="J257" s="1" t="str">
        <f t="array" ref="J257">XLOOKUP(B257,cat!B:B,cat!C:C)</f>
        <v>D</v>
      </c>
      <c r="K257" s="1">
        <f t="array" ref="K257">XLOOKUP(B257,cat!B:B,cat!D:D)</f>
        <v>184</v>
      </c>
      <c r="L257" s="7">
        <f t="shared" si="1"/>
        <v>0.02013888889</v>
      </c>
      <c r="M257" s="1" t="str">
        <f t="shared" si="2"/>
        <v/>
      </c>
      <c r="P257" s="9"/>
      <c r="Q257" s="9">
        <f t="shared" si="3"/>
        <v>0</v>
      </c>
      <c r="R257" s="1" t="str">
        <f t="shared" si="4"/>
        <v>RYR</v>
      </c>
      <c r="S257" s="1" t="str">
        <f>IF($D257="LEBL", IF(COUNTIF('Paises ECAC'!B:B, C257)&gt;0, "ECAC","NO ECAC"), "")</f>
        <v/>
      </c>
    </row>
    <row r="258" ht="14.25" customHeight="1">
      <c r="A258" s="1" t="s">
        <v>611</v>
      </c>
      <c r="B258" s="1" t="s">
        <v>30</v>
      </c>
      <c r="C258" s="1" t="s">
        <v>258</v>
      </c>
      <c r="D258" s="1" t="s">
        <v>21</v>
      </c>
      <c r="E258" s="1" t="s">
        <v>259</v>
      </c>
      <c r="F258" s="1">
        <v>320.0</v>
      </c>
      <c r="G258" s="5">
        <v>0.3090277777777778</v>
      </c>
      <c r="H258" s="1">
        <v>5.0</v>
      </c>
      <c r="I258" s="5">
        <v>0.3576388888888889</v>
      </c>
      <c r="J258" s="1" t="str">
        <f t="array" ref="J258">XLOOKUP(B258,cat!B:B,cat!C:C)</f>
        <v>D</v>
      </c>
      <c r="K258" s="1">
        <f t="array" ref="K258">XLOOKUP(B258,cat!B:B,cat!D:D)</f>
        <v>173</v>
      </c>
      <c r="L258" s="7">
        <f t="shared" si="1"/>
        <v>0.04861111111</v>
      </c>
      <c r="M258" s="7">
        <f t="shared" si="2"/>
        <v>0.03243055556</v>
      </c>
      <c r="P258" s="9"/>
      <c r="Q258" s="9">
        <f t="shared" si="3"/>
        <v>646.0166667</v>
      </c>
      <c r="R258" s="1" t="str">
        <f t="shared" si="4"/>
        <v>VLG</v>
      </c>
      <c r="S258" s="1" t="str">
        <f>IF($D258="LEBL", IF(COUNTIF('Paises ECAC'!B:B, C258)&gt;0, "ECAC","NO ECAC"), "")</f>
        <v>ECAC</v>
      </c>
    </row>
    <row r="259" ht="14.25" customHeight="1">
      <c r="A259" s="1" t="s">
        <v>612</v>
      </c>
      <c r="B259" s="1" t="s">
        <v>25</v>
      </c>
      <c r="C259" s="1" t="s">
        <v>245</v>
      </c>
      <c r="D259" s="1" t="s">
        <v>21</v>
      </c>
      <c r="E259" s="1" t="s">
        <v>362</v>
      </c>
      <c r="F259" s="1">
        <v>180.0</v>
      </c>
      <c r="G259" s="5">
        <v>0.3236111111111111</v>
      </c>
      <c r="H259" s="1">
        <v>10.0</v>
      </c>
      <c r="I259" s="5">
        <v>0.3576388888888889</v>
      </c>
      <c r="J259" s="1" t="str">
        <f t="array" ref="J259">XLOOKUP(B259,cat!B:B,cat!C:C)</f>
        <v>D</v>
      </c>
      <c r="K259" s="1">
        <f t="array" ref="K259">XLOOKUP(B259,cat!B:B,cat!D:D)</f>
        <v>180</v>
      </c>
      <c r="L259" s="7">
        <f t="shared" si="1"/>
        <v>0.03402777778</v>
      </c>
      <c r="M259" s="7">
        <f t="shared" si="2"/>
        <v>0.014375</v>
      </c>
      <c r="P259" s="9"/>
      <c r="Q259" s="9">
        <f t="shared" si="3"/>
        <v>286.35</v>
      </c>
      <c r="R259" s="1" t="str">
        <f t="shared" si="4"/>
        <v>VLG</v>
      </c>
      <c r="S259" s="1" t="str">
        <f>IF($D259="LEBL", IF(COUNTIF('Paises ECAC'!B:B, C259)&gt;0, "ECAC","NO ECAC"), "")</f>
        <v>ECAC</v>
      </c>
    </row>
    <row r="260" ht="14.25" customHeight="1">
      <c r="A260" s="1" t="s">
        <v>613</v>
      </c>
      <c r="B260" s="1" t="s">
        <v>30</v>
      </c>
      <c r="C260" s="1" t="s">
        <v>21</v>
      </c>
      <c r="D260" s="1" t="s">
        <v>245</v>
      </c>
      <c r="E260" s="1" t="s">
        <v>71</v>
      </c>
      <c r="F260" s="1">
        <v>190.0</v>
      </c>
      <c r="G260" s="5">
        <v>0.3486111111111111</v>
      </c>
      <c r="H260" s="1">
        <v>12.0</v>
      </c>
      <c r="I260" s="5">
        <v>0.3854166666666667</v>
      </c>
      <c r="J260" s="1" t="str">
        <f t="array" ref="J260">XLOOKUP(B260,cat!B:B,cat!C:C)</f>
        <v>D</v>
      </c>
      <c r="K260" s="1">
        <f t="array" ref="K260">XLOOKUP(B260,cat!B:B,cat!D:D)</f>
        <v>173</v>
      </c>
      <c r="L260" s="7">
        <f t="shared" si="1"/>
        <v>0.03680555556</v>
      </c>
      <c r="M260" s="1" t="str">
        <f t="shared" si="2"/>
        <v/>
      </c>
      <c r="P260" s="9"/>
      <c r="Q260" s="9">
        <f t="shared" si="3"/>
        <v>0</v>
      </c>
      <c r="R260" s="1" t="str">
        <f t="shared" si="4"/>
        <v>VLG</v>
      </c>
      <c r="S260" s="1" t="str">
        <f>IF($D260="LEBL", IF(COUNTIF('Paises ECAC'!B:B, C260)&gt;0, "ECAC","NO ECAC"), "")</f>
        <v/>
      </c>
    </row>
    <row r="261" ht="14.25" customHeight="1">
      <c r="A261" s="1" t="s">
        <v>614</v>
      </c>
      <c r="B261" s="1" t="s">
        <v>25</v>
      </c>
      <c r="C261" s="1" t="s">
        <v>140</v>
      </c>
      <c r="D261" s="1" t="s">
        <v>21</v>
      </c>
      <c r="E261" s="1" t="s">
        <v>615</v>
      </c>
      <c r="F261" s="1">
        <v>350.0</v>
      </c>
      <c r="G261" s="5">
        <v>0.3013888888888889</v>
      </c>
      <c r="H261" s="1">
        <v>11.0</v>
      </c>
      <c r="I261" s="5">
        <v>0.3576388888888889</v>
      </c>
      <c r="J261" s="1" t="str">
        <f t="array" ref="J261">XLOOKUP(B261,cat!B:B,cat!C:C)</f>
        <v>D</v>
      </c>
      <c r="K261" s="1">
        <f t="array" ref="K261">XLOOKUP(B261,cat!B:B,cat!D:D)</f>
        <v>180</v>
      </c>
      <c r="L261" s="7">
        <f t="shared" si="1"/>
        <v>0.05625</v>
      </c>
      <c r="M261" s="7">
        <f t="shared" si="2"/>
        <v>0.03590277778</v>
      </c>
      <c r="P261" s="9"/>
      <c r="Q261" s="9">
        <f t="shared" si="3"/>
        <v>715.1833333</v>
      </c>
      <c r="R261" s="1" t="str">
        <f t="shared" si="4"/>
        <v>ITY</v>
      </c>
      <c r="S261" s="1" t="str">
        <f>IF($D261="LEBL", IF(COUNTIF('Paises ECAC'!B:B, C261)&gt;0, "ECAC","NO ECAC"), "")</f>
        <v>ECAC</v>
      </c>
    </row>
    <row r="262" ht="14.25" customHeight="1">
      <c r="A262" s="1" t="s">
        <v>616</v>
      </c>
      <c r="B262" s="1" t="s">
        <v>35</v>
      </c>
      <c r="C262" s="1" t="s">
        <v>21</v>
      </c>
      <c r="D262" s="1" t="s">
        <v>504</v>
      </c>
      <c r="E262" s="1" t="s">
        <v>617</v>
      </c>
      <c r="F262" s="1">
        <v>350.0</v>
      </c>
      <c r="G262" s="5">
        <v>0.35555555555555557</v>
      </c>
      <c r="H262" s="1">
        <v>8.0</v>
      </c>
      <c r="I262" s="5">
        <v>0.5173611111111112</v>
      </c>
      <c r="J262" s="1" t="str">
        <f t="array" ref="J262">XLOOKUP(B262,cat!B:B,cat!C:C)</f>
        <v>D</v>
      </c>
      <c r="K262" s="1">
        <f t="array" ref="K262">XLOOKUP(B262,cat!B:B,cat!D:D)</f>
        <v>207</v>
      </c>
      <c r="L262" s="7">
        <f t="shared" si="1"/>
        <v>0.1618055556</v>
      </c>
      <c r="M262" s="1" t="str">
        <f t="shared" si="2"/>
        <v/>
      </c>
      <c r="P262" s="9"/>
      <c r="Q262" s="9">
        <f t="shared" si="3"/>
        <v>0</v>
      </c>
      <c r="R262" s="1" t="str">
        <f t="shared" si="4"/>
        <v>FIN</v>
      </c>
      <c r="S262" s="1" t="str">
        <f>IF($D262="LEBL", IF(COUNTIF('Paises ECAC'!B:B, C262)&gt;0, "ECAC","NO ECAC"), "")</f>
        <v/>
      </c>
    </row>
    <row r="263" ht="14.25" customHeight="1">
      <c r="A263" s="1" t="s">
        <v>618</v>
      </c>
      <c r="B263" s="1" t="s">
        <v>136</v>
      </c>
      <c r="C263" s="1" t="s">
        <v>221</v>
      </c>
      <c r="D263" s="1" t="s">
        <v>21</v>
      </c>
      <c r="E263" s="1" t="s">
        <v>619</v>
      </c>
      <c r="F263" s="1">
        <v>330.0</v>
      </c>
      <c r="G263" s="5">
        <v>0.28541666666666665</v>
      </c>
      <c r="H263" s="1">
        <v>11.0</v>
      </c>
      <c r="I263" s="5">
        <v>0.3611111111111111</v>
      </c>
      <c r="J263" s="1" t="str">
        <f t="array" ref="J263">XLOOKUP(B263,cat!B:B,cat!C:C)</f>
        <v>D</v>
      </c>
      <c r="K263" s="1">
        <f t="array" ref="K263">XLOOKUP(B263,cat!B:B,cat!D:D)</f>
        <v>144</v>
      </c>
      <c r="L263" s="7">
        <f t="shared" si="1"/>
        <v>0.07569444444</v>
      </c>
      <c r="M263" s="7">
        <f t="shared" si="2"/>
        <v>0.05534722222</v>
      </c>
      <c r="P263" s="9"/>
      <c r="Q263" s="9">
        <f t="shared" si="3"/>
        <v>1102.516667</v>
      </c>
      <c r="R263" s="1" t="str">
        <f t="shared" si="4"/>
        <v>EZY</v>
      </c>
      <c r="S263" s="1" t="str">
        <f>IF($D263="LEBL", IF(COUNTIF('Paises ECAC'!B:B, C263)&gt;0, "ECAC","NO ECAC"), "")</f>
        <v>ECAC</v>
      </c>
    </row>
    <row r="264" ht="14.25" customHeight="1">
      <c r="A264" s="1" t="s">
        <v>620</v>
      </c>
      <c r="B264" s="1" t="s">
        <v>30</v>
      </c>
      <c r="C264" s="1" t="s">
        <v>21</v>
      </c>
      <c r="D264" s="1" t="s">
        <v>116</v>
      </c>
      <c r="E264" s="1" t="s">
        <v>92</v>
      </c>
      <c r="F264" s="1">
        <v>300.0</v>
      </c>
      <c r="G264" s="5">
        <v>0.3597222222222222</v>
      </c>
      <c r="H264" s="1">
        <v>13.0</v>
      </c>
      <c r="I264" s="5">
        <v>0.4166666666666667</v>
      </c>
      <c r="J264" s="1" t="str">
        <f t="array" ref="J264">XLOOKUP(B264,cat!B:B,cat!C:C)</f>
        <v>D</v>
      </c>
      <c r="K264" s="1">
        <f t="array" ref="K264">XLOOKUP(B264,cat!B:B,cat!D:D)</f>
        <v>173</v>
      </c>
      <c r="L264" s="7">
        <f t="shared" si="1"/>
        <v>0.05694444444</v>
      </c>
      <c r="M264" s="1" t="str">
        <f t="shared" si="2"/>
        <v/>
      </c>
      <c r="P264" s="9"/>
      <c r="Q264" s="9">
        <f t="shared" si="3"/>
        <v>0</v>
      </c>
      <c r="R264" s="1" t="str">
        <f t="shared" si="4"/>
        <v>VLG</v>
      </c>
      <c r="S264" s="1" t="str">
        <f>IF($D264="LEBL", IF(COUNTIF('Paises ECAC'!B:B, C264)&gt;0, "ECAC","NO ECAC"), "")</f>
        <v/>
      </c>
    </row>
    <row r="265" ht="14.25" customHeight="1">
      <c r="A265" s="1" t="s">
        <v>621</v>
      </c>
      <c r="B265" s="1" t="s">
        <v>212</v>
      </c>
      <c r="C265" s="1" t="s">
        <v>21</v>
      </c>
      <c r="D265" s="1" t="s">
        <v>227</v>
      </c>
      <c r="E265" s="1" t="s">
        <v>465</v>
      </c>
      <c r="F265" s="1">
        <v>360.0</v>
      </c>
      <c r="G265" s="5">
        <v>0.35555555555555557</v>
      </c>
      <c r="H265" s="1">
        <v>11.0</v>
      </c>
      <c r="I265" s="5">
        <v>0.4375</v>
      </c>
      <c r="J265" s="1" t="str">
        <f t="array" ref="J265">XLOOKUP(B265,cat!B:B,cat!C:C)</f>
        <v>D</v>
      </c>
      <c r="K265" s="1">
        <f t="array" ref="K265">XLOOKUP(B265,cat!B:B,cat!D:D)</f>
        <v>200</v>
      </c>
      <c r="L265" s="7">
        <f t="shared" si="1"/>
        <v>0.08194444444</v>
      </c>
      <c r="M265" s="1" t="str">
        <f t="shared" si="2"/>
        <v/>
      </c>
      <c r="P265" s="9"/>
      <c r="Q265" s="9">
        <f t="shared" si="3"/>
        <v>0</v>
      </c>
      <c r="R265" s="1" t="str">
        <f t="shared" si="4"/>
        <v>DLH</v>
      </c>
      <c r="S265" s="1" t="str">
        <f>IF($D265="LEBL", IF(COUNTIF('Paises ECAC'!B:B, C265)&gt;0, "ECAC","NO ECAC"), "")</f>
        <v/>
      </c>
    </row>
    <row r="266" ht="14.25" customHeight="1">
      <c r="A266" s="1" t="s">
        <v>622</v>
      </c>
      <c r="B266" s="1" t="s">
        <v>366</v>
      </c>
      <c r="C266" s="1" t="s">
        <v>21</v>
      </c>
      <c r="D266" s="1" t="s">
        <v>133</v>
      </c>
      <c r="E266" s="1" t="s">
        <v>367</v>
      </c>
      <c r="F266" s="1">
        <v>360.0</v>
      </c>
      <c r="G266" s="5">
        <v>0.37222222222222223</v>
      </c>
      <c r="H266" s="1">
        <v>26.0</v>
      </c>
      <c r="I266" s="5">
        <v>0.6666666666666666</v>
      </c>
      <c r="J266" s="1" t="str">
        <f t="array" ref="J266">XLOOKUP(B266,cat!B:B,cat!C:C)</f>
        <v>C</v>
      </c>
      <c r="K266" s="1">
        <f t="array" ref="K266">XLOOKUP(B266,cat!B:B,cat!D:D)</f>
        <v>245</v>
      </c>
      <c r="L266" s="7">
        <f t="shared" si="1"/>
        <v>0.2944444444</v>
      </c>
      <c r="M266" s="1" t="str">
        <f t="shared" si="2"/>
        <v/>
      </c>
      <c r="P266" s="9"/>
      <c r="Q266" s="9">
        <f t="shared" si="3"/>
        <v>0</v>
      </c>
      <c r="R266" s="1" t="str">
        <f t="shared" si="4"/>
        <v>DAL</v>
      </c>
      <c r="S266" s="1" t="str">
        <f>IF($D266="LEBL", IF(COUNTIF('Paises ECAC'!B:B, C266)&gt;0, "ECAC","NO ECAC"), "")</f>
        <v/>
      </c>
    </row>
    <row r="267" ht="14.25" customHeight="1">
      <c r="A267" s="1" t="s">
        <v>623</v>
      </c>
      <c r="B267" s="1" t="s">
        <v>30</v>
      </c>
      <c r="C267" s="1" t="s">
        <v>251</v>
      </c>
      <c r="D267" s="1" t="s">
        <v>21</v>
      </c>
      <c r="E267" s="1" t="s">
        <v>252</v>
      </c>
      <c r="F267" s="1">
        <v>380.0</v>
      </c>
      <c r="G267" s="5">
        <v>0.3090277777777778</v>
      </c>
      <c r="H267" s="1">
        <v>5.0</v>
      </c>
      <c r="I267" s="5">
        <v>0.3611111111111111</v>
      </c>
      <c r="J267" s="1" t="str">
        <f t="array" ref="J267">XLOOKUP(B267,cat!B:B,cat!C:C)</f>
        <v>D</v>
      </c>
      <c r="K267" s="1">
        <f t="array" ref="K267">XLOOKUP(B267,cat!B:B,cat!D:D)</f>
        <v>173</v>
      </c>
      <c r="L267" s="7">
        <f t="shared" si="1"/>
        <v>0.05208333333</v>
      </c>
      <c r="M267" s="7">
        <f t="shared" si="2"/>
        <v>0.03590277778</v>
      </c>
      <c r="P267" s="9"/>
      <c r="Q267" s="9">
        <f t="shared" si="3"/>
        <v>715.1833333</v>
      </c>
      <c r="R267" s="1" t="str">
        <f t="shared" si="4"/>
        <v>VLG</v>
      </c>
      <c r="S267" s="1" t="str">
        <f>IF($D267="LEBL", IF(COUNTIF('Paises ECAC'!B:B, C267)&gt;0, "ECAC","NO ECAC"), "")</f>
        <v>ECAC</v>
      </c>
    </row>
    <row r="268" ht="14.25" customHeight="1">
      <c r="A268" s="1" t="s">
        <v>624</v>
      </c>
      <c r="B268" s="1" t="s">
        <v>35</v>
      </c>
      <c r="C268" s="1" t="s">
        <v>21</v>
      </c>
      <c r="D268" s="1" t="s">
        <v>452</v>
      </c>
      <c r="E268" s="1" t="s">
        <v>453</v>
      </c>
      <c r="F268" s="1">
        <v>370.0</v>
      </c>
      <c r="G268" s="5">
        <v>0.3611111111111111</v>
      </c>
      <c r="H268" s="1">
        <v>20.0</v>
      </c>
      <c r="I268" s="5">
        <v>0.4444444444444444</v>
      </c>
      <c r="J268" s="1" t="str">
        <f t="array" ref="J268">XLOOKUP(B268,cat!B:B,cat!C:C)</f>
        <v>D</v>
      </c>
      <c r="K268" s="1">
        <f t="array" ref="K268">XLOOKUP(B268,cat!B:B,cat!D:D)</f>
        <v>207</v>
      </c>
      <c r="L268" s="7">
        <f t="shared" si="1"/>
        <v>0.08333333333</v>
      </c>
      <c r="M268" s="1" t="str">
        <f t="shared" si="2"/>
        <v/>
      </c>
      <c r="P268" s="9"/>
      <c r="Q268" s="9">
        <f t="shared" si="3"/>
        <v>0</v>
      </c>
      <c r="R268" s="1" t="str">
        <f t="shared" si="4"/>
        <v>WMT</v>
      </c>
      <c r="S268" s="1" t="str">
        <f>IF($D268="LEBL", IF(COUNTIF('Paises ECAC'!B:B, C268)&gt;0, "ECAC","NO ECAC"), "")</f>
        <v/>
      </c>
    </row>
    <row r="269" ht="14.25" customHeight="1">
      <c r="A269" s="1" t="s">
        <v>625</v>
      </c>
      <c r="B269" s="1" t="s">
        <v>19</v>
      </c>
      <c r="C269" s="1" t="s">
        <v>94</v>
      </c>
      <c r="D269" s="1" t="s">
        <v>21</v>
      </c>
      <c r="E269" s="1" t="s">
        <v>95</v>
      </c>
      <c r="F269" s="1">
        <v>370.0</v>
      </c>
      <c r="G269" s="5">
        <v>0.2881944444444444</v>
      </c>
      <c r="H269" s="1">
        <v>10.0</v>
      </c>
      <c r="I269" s="5">
        <v>0.3611111111111111</v>
      </c>
      <c r="J269" s="1" t="str">
        <f t="array" ref="J269">XLOOKUP(B269,cat!B:B,cat!C:C)</f>
        <v>D</v>
      </c>
      <c r="K269" s="1">
        <f t="array" ref="K269">XLOOKUP(B269,cat!B:B,cat!D:D)</f>
        <v>184</v>
      </c>
      <c r="L269" s="7">
        <f t="shared" si="1"/>
        <v>0.07291666667</v>
      </c>
      <c r="M269" s="7">
        <f t="shared" si="2"/>
        <v>0.05326388889</v>
      </c>
      <c r="P269" s="9"/>
      <c r="Q269" s="9">
        <f t="shared" si="3"/>
        <v>1061.016667</v>
      </c>
      <c r="R269" s="1" t="str">
        <f t="shared" si="4"/>
        <v>RYR</v>
      </c>
      <c r="S269" s="1" t="str">
        <f>IF($D269="LEBL", IF(COUNTIF('Paises ECAC'!B:B, C269)&gt;0, "ECAC","NO ECAC"), "")</f>
        <v>ECAC</v>
      </c>
    </row>
    <row r="270" ht="14.25" customHeight="1">
      <c r="A270" s="1" t="s">
        <v>626</v>
      </c>
      <c r="B270" s="1" t="s">
        <v>30</v>
      </c>
      <c r="C270" s="1" t="s">
        <v>140</v>
      </c>
      <c r="D270" s="1" t="s">
        <v>21</v>
      </c>
      <c r="E270" s="1" t="s">
        <v>180</v>
      </c>
      <c r="F270" s="1">
        <v>340.0</v>
      </c>
      <c r="G270" s="5">
        <v>0.30625</v>
      </c>
      <c r="H270" s="1">
        <v>15.0</v>
      </c>
      <c r="I270" s="5">
        <v>0.3645833333333333</v>
      </c>
      <c r="J270" s="1" t="str">
        <f t="array" ref="J270">XLOOKUP(B270,cat!B:B,cat!C:C)</f>
        <v>D</v>
      </c>
      <c r="K270" s="1">
        <f t="array" ref="K270">XLOOKUP(B270,cat!B:B,cat!D:D)</f>
        <v>173</v>
      </c>
      <c r="L270" s="7">
        <f t="shared" si="1"/>
        <v>0.05833333333</v>
      </c>
      <c r="M270" s="7">
        <f t="shared" si="2"/>
        <v>0.03520833333</v>
      </c>
      <c r="P270" s="9"/>
      <c r="Q270" s="9">
        <f t="shared" si="3"/>
        <v>701.35</v>
      </c>
      <c r="R270" s="1" t="str">
        <f t="shared" si="4"/>
        <v>VLG</v>
      </c>
      <c r="S270" s="1" t="str">
        <f>IF($D270="LEBL", IF(COUNTIF('Paises ECAC'!B:B, C270)&gt;0, "ECAC","NO ECAC"), "")</f>
        <v>ECAC</v>
      </c>
    </row>
    <row r="271" ht="14.25" customHeight="1">
      <c r="A271" s="1" t="s">
        <v>627</v>
      </c>
      <c r="B271" s="1" t="s">
        <v>212</v>
      </c>
      <c r="C271" s="1" t="s">
        <v>21</v>
      </c>
      <c r="D271" s="1" t="s">
        <v>377</v>
      </c>
      <c r="E271" s="1" t="s">
        <v>378</v>
      </c>
      <c r="F271" s="1">
        <v>360.0</v>
      </c>
      <c r="G271" s="5">
        <v>0.3625</v>
      </c>
      <c r="H271" s="1">
        <v>20.0</v>
      </c>
      <c r="I271" s="5">
        <v>0.4479166666666667</v>
      </c>
      <c r="J271" s="1" t="str">
        <f t="array" ref="J271">XLOOKUP(B271,cat!B:B,cat!C:C)</f>
        <v>D</v>
      </c>
      <c r="K271" s="1">
        <f t="array" ref="K271">XLOOKUP(B271,cat!B:B,cat!D:D)</f>
        <v>200</v>
      </c>
      <c r="L271" s="7">
        <f t="shared" si="1"/>
        <v>0.08541666667</v>
      </c>
      <c r="M271" s="1" t="str">
        <f t="shared" si="2"/>
        <v/>
      </c>
      <c r="P271" s="9"/>
      <c r="Q271" s="9">
        <f t="shared" si="3"/>
        <v>0</v>
      </c>
      <c r="R271" s="1" t="str">
        <f t="shared" si="4"/>
        <v>WMT</v>
      </c>
      <c r="S271" s="1" t="str">
        <f>IF($D271="LEBL", IF(COUNTIF('Paises ECAC'!B:B, C271)&gt;0, "ECAC","NO ECAC"), "")</f>
        <v/>
      </c>
    </row>
    <row r="272" ht="14.25" customHeight="1">
      <c r="A272" s="1" t="s">
        <v>628</v>
      </c>
      <c r="B272" s="1" t="s">
        <v>30</v>
      </c>
      <c r="C272" s="1" t="s">
        <v>113</v>
      </c>
      <c r="D272" s="1" t="s">
        <v>21</v>
      </c>
      <c r="E272" s="1" t="s">
        <v>265</v>
      </c>
      <c r="F272" s="1">
        <v>360.0</v>
      </c>
      <c r="G272" s="5">
        <v>0.28888888888888886</v>
      </c>
      <c r="H272" s="1">
        <v>8.0</v>
      </c>
      <c r="I272" s="5">
        <v>0.3645833333333333</v>
      </c>
      <c r="J272" s="1" t="str">
        <f t="array" ref="J272">XLOOKUP(B272,cat!B:B,cat!C:C)</f>
        <v>D</v>
      </c>
      <c r="K272" s="1">
        <f t="array" ref="K272">XLOOKUP(B272,cat!B:B,cat!D:D)</f>
        <v>173</v>
      </c>
      <c r="L272" s="7">
        <f t="shared" si="1"/>
        <v>0.07569444444</v>
      </c>
      <c r="M272" s="7">
        <f t="shared" si="2"/>
        <v>0.05743055556</v>
      </c>
      <c r="P272" s="9"/>
      <c r="Q272" s="9">
        <f t="shared" si="3"/>
        <v>1144.016667</v>
      </c>
      <c r="R272" s="1" t="str">
        <f t="shared" si="4"/>
        <v>VLG</v>
      </c>
      <c r="S272" s="1" t="str">
        <f>IF($D272="LEBL", IF(COUNTIF('Paises ECAC'!B:B, C272)&gt;0, "ECAC","NO ECAC"), "")</f>
        <v>ECAC</v>
      </c>
    </row>
    <row r="273" ht="14.25" customHeight="1">
      <c r="A273" s="1" t="s">
        <v>629</v>
      </c>
      <c r="B273" s="1" t="s">
        <v>630</v>
      </c>
      <c r="C273" s="1" t="s">
        <v>21</v>
      </c>
      <c r="D273" s="1" t="s">
        <v>377</v>
      </c>
      <c r="E273" s="1" t="s">
        <v>631</v>
      </c>
      <c r="F273" s="1">
        <v>410.0</v>
      </c>
      <c r="G273" s="5">
        <v>0.36736111111111114</v>
      </c>
      <c r="H273" s="1">
        <v>20.0</v>
      </c>
      <c r="I273" s="5">
        <v>0.4513888888888889</v>
      </c>
      <c r="J273" s="1" t="str">
        <f t="array" ref="J273">XLOOKUP(B273,cat!B:B,cat!C:C)</f>
        <v>F</v>
      </c>
      <c r="K273" s="1">
        <f t="array" ref="K273">XLOOKUP(B273,cat!B:B,cat!D:D)</f>
        <v>9</v>
      </c>
      <c r="L273" s="7">
        <f t="shared" si="1"/>
        <v>0.08402777778</v>
      </c>
      <c r="M273" s="1" t="str">
        <f t="shared" si="2"/>
        <v/>
      </c>
      <c r="P273" s="9"/>
      <c r="Q273" s="9">
        <f t="shared" si="3"/>
        <v>0</v>
      </c>
      <c r="R273" s="1" t="str">
        <f t="shared" si="4"/>
        <v>DFC</v>
      </c>
      <c r="S273" s="1" t="str">
        <f>IF($D273="LEBL", IF(COUNTIF('Paises ECAC'!B:B, C273)&gt;0, "ECAC","NO ECAC"), "")</f>
        <v/>
      </c>
    </row>
    <row r="274" ht="14.25" customHeight="1">
      <c r="A274" s="1" t="s">
        <v>632</v>
      </c>
      <c r="B274" s="1" t="s">
        <v>633</v>
      </c>
      <c r="C274" s="1" t="s">
        <v>21</v>
      </c>
      <c r="D274" s="1" t="s">
        <v>234</v>
      </c>
      <c r="E274" s="1" t="s">
        <v>634</v>
      </c>
      <c r="F274" s="1">
        <v>290.0</v>
      </c>
      <c r="G274" s="5">
        <v>0.3645833333333333</v>
      </c>
      <c r="H274" s="1">
        <v>20.0</v>
      </c>
      <c r="I274" s="5">
        <v>0.3993055555555556</v>
      </c>
      <c r="J274" s="1" t="str">
        <f t="array" ref="J274">XLOOKUP(B274,cat!B:B,cat!C:C)</f>
        <v>E</v>
      </c>
      <c r="K274" s="1">
        <f t="array" ref="K274">XLOOKUP(B274,cat!B:B,cat!D:D)</f>
        <v>10</v>
      </c>
      <c r="L274" s="7">
        <f t="shared" si="1"/>
        <v>0.03472222222</v>
      </c>
      <c r="M274" s="1" t="str">
        <f t="shared" si="2"/>
        <v/>
      </c>
      <c r="P274" s="9"/>
      <c r="Q274" s="9">
        <f t="shared" si="3"/>
        <v>0</v>
      </c>
      <c r="R274" s="1" t="str">
        <f t="shared" si="4"/>
        <v>JME</v>
      </c>
      <c r="S274" s="1" t="str">
        <f>IF($D274="LEBL", IF(COUNTIF('Paises ECAC'!B:B, C274)&gt;0, "ECAC","NO ECAC"), "")</f>
        <v/>
      </c>
    </row>
    <row r="275" ht="14.25" customHeight="1">
      <c r="A275" s="1" t="s">
        <v>635</v>
      </c>
      <c r="B275" s="1" t="s">
        <v>30</v>
      </c>
      <c r="C275" s="1" t="s">
        <v>116</v>
      </c>
      <c r="D275" s="1" t="s">
        <v>21</v>
      </c>
      <c r="E275" s="1" t="s">
        <v>186</v>
      </c>
      <c r="F275" s="1">
        <v>370.0</v>
      </c>
      <c r="G275" s="5">
        <v>0.3125</v>
      </c>
      <c r="H275" s="1">
        <v>11.0</v>
      </c>
      <c r="I275" s="5">
        <v>0.3645833333333333</v>
      </c>
      <c r="J275" s="1" t="str">
        <f t="array" ref="J275">XLOOKUP(B275,cat!B:B,cat!C:C)</f>
        <v>D</v>
      </c>
      <c r="K275" s="1">
        <f t="array" ref="K275">XLOOKUP(B275,cat!B:B,cat!D:D)</f>
        <v>173</v>
      </c>
      <c r="L275" s="7">
        <f t="shared" si="1"/>
        <v>0.05208333333</v>
      </c>
      <c r="M275" s="7">
        <f t="shared" si="2"/>
        <v>0.03173611111</v>
      </c>
      <c r="P275" s="9"/>
      <c r="Q275" s="9">
        <f t="shared" si="3"/>
        <v>632.1833333</v>
      </c>
      <c r="R275" s="1" t="str">
        <f t="shared" si="4"/>
        <v>VLG</v>
      </c>
      <c r="S275" s="1" t="str">
        <f>IF($D275="LEBL", IF(COUNTIF('Paises ECAC'!B:B, C275)&gt;0, "ECAC","NO ECAC"), "")</f>
        <v>ECAC</v>
      </c>
    </row>
    <row r="276" ht="14.25" customHeight="1">
      <c r="A276" s="1" t="s">
        <v>636</v>
      </c>
      <c r="B276" s="1" t="s">
        <v>35</v>
      </c>
      <c r="C276" s="1" t="s">
        <v>192</v>
      </c>
      <c r="D276" s="1" t="s">
        <v>21</v>
      </c>
      <c r="E276" s="1" t="s">
        <v>193</v>
      </c>
      <c r="F276" s="1">
        <v>340.0</v>
      </c>
      <c r="G276" s="5">
        <v>0.30972222222222223</v>
      </c>
      <c r="H276" s="1">
        <v>11.0</v>
      </c>
      <c r="I276" s="5">
        <v>0.3680555555555556</v>
      </c>
      <c r="J276" s="1" t="str">
        <f t="array" ref="J276">XLOOKUP(B276,cat!B:B,cat!C:C)</f>
        <v>D</v>
      </c>
      <c r="K276" s="1">
        <f t="array" ref="K276">XLOOKUP(B276,cat!B:B,cat!D:D)</f>
        <v>207</v>
      </c>
      <c r="L276" s="7">
        <f t="shared" si="1"/>
        <v>0.05833333333</v>
      </c>
      <c r="M276" s="7">
        <f t="shared" si="2"/>
        <v>0.03798611111</v>
      </c>
      <c r="P276" s="9"/>
      <c r="Q276" s="9">
        <f t="shared" si="3"/>
        <v>756.6833333</v>
      </c>
      <c r="R276" s="1" t="str">
        <f t="shared" si="4"/>
        <v>VLG</v>
      </c>
      <c r="S276" s="1" t="str">
        <f>IF($D276="LEBL", IF(COUNTIF('Paises ECAC'!B:B, C276)&gt;0, "ECAC","NO ECAC"), "")</f>
        <v>ECAC</v>
      </c>
    </row>
    <row r="277" ht="14.25" customHeight="1">
      <c r="A277" s="1" t="s">
        <v>637</v>
      </c>
      <c r="B277" s="1" t="s">
        <v>35</v>
      </c>
      <c r="C277" s="1" t="s">
        <v>287</v>
      </c>
      <c r="D277" s="1" t="s">
        <v>21</v>
      </c>
      <c r="E277" s="1" t="s">
        <v>638</v>
      </c>
      <c r="F277" s="1">
        <v>350.0</v>
      </c>
      <c r="G277" s="5">
        <v>0.30277777777777776</v>
      </c>
      <c r="H277" s="1">
        <v>11.0</v>
      </c>
      <c r="I277" s="5">
        <v>0.3680555555555556</v>
      </c>
      <c r="J277" s="1" t="str">
        <f t="array" ref="J277">XLOOKUP(B277,cat!B:B,cat!C:C)</f>
        <v>D</v>
      </c>
      <c r="K277" s="1">
        <f t="array" ref="K277">XLOOKUP(B277,cat!B:B,cat!D:D)</f>
        <v>207</v>
      </c>
      <c r="L277" s="7">
        <f t="shared" si="1"/>
        <v>0.06527777778</v>
      </c>
      <c r="M277" s="7">
        <f t="shared" si="2"/>
        <v>0.04493055556</v>
      </c>
      <c r="P277" s="9"/>
      <c r="Q277" s="9">
        <f t="shared" si="3"/>
        <v>895.0166667</v>
      </c>
      <c r="R277" s="1" t="str">
        <f t="shared" si="4"/>
        <v>DLH</v>
      </c>
      <c r="S277" s="1" t="str">
        <f>IF($D277="LEBL", IF(COUNTIF('Paises ECAC'!B:B, C277)&gt;0, "ECAC","NO ECAC"), "")</f>
        <v>ECAC</v>
      </c>
    </row>
    <row r="278" ht="14.25" customHeight="1">
      <c r="A278" s="1" t="s">
        <v>639</v>
      </c>
      <c r="B278" s="1" t="s">
        <v>25</v>
      </c>
      <c r="C278" s="1" t="s">
        <v>21</v>
      </c>
      <c r="D278" s="1" t="s">
        <v>489</v>
      </c>
      <c r="E278" s="1" t="s">
        <v>490</v>
      </c>
      <c r="F278" s="1">
        <v>380.0</v>
      </c>
      <c r="G278" s="5">
        <v>0.37083333333333335</v>
      </c>
      <c r="H278" s="1">
        <v>21.0</v>
      </c>
      <c r="I278" s="5">
        <v>0.4652777777777778</v>
      </c>
      <c r="J278" s="1" t="str">
        <f t="array" ref="J278">XLOOKUP(B278,cat!B:B,cat!C:C)</f>
        <v>D</v>
      </c>
      <c r="K278" s="1">
        <f t="array" ref="K278">XLOOKUP(B278,cat!B:B,cat!D:D)</f>
        <v>180</v>
      </c>
      <c r="L278" s="7">
        <f t="shared" si="1"/>
        <v>0.09444444444</v>
      </c>
      <c r="M278" s="1" t="str">
        <f t="shared" si="2"/>
        <v/>
      </c>
      <c r="P278" s="9"/>
      <c r="Q278" s="9">
        <f t="shared" si="3"/>
        <v>0</v>
      </c>
      <c r="R278" s="1" t="str">
        <f t="shared" si="4"/>
        <v>EZY</v>
      </c>
      <c r="S278" s="1" t="str">
        <f>IF($D278="LEBL", IF(COUNTIF('Paises ECAC'!B:B, C278)&gt;0, "ECAC","NO ECAC"), "")</f>
        <v/>
      </c>
    </row>
    <row r="279" ht="14.25" customHeight="1">
      <c r="A279" s="1" t="s">
        <v>640</v>
      </c>
      <c r="B279" s="1" t="s">
        <v>30</v>
      </c>
      <c r="C279" s="1" t="s">
        <v>166</v>
      </c>
      <c r="D279" s="1" t="s">
        <v>21</v>
      </c>
      <c r="E279" s="1" t="s">
        <v>641</v>
      </c>
      <c r="F279" s="1">
        <v>380.0</v>
      </c>
      <c r="G279" s="5">
        <v>0.2569444444444444</v>
      </c>
      <c r="H279" s="1">
        <v>4.0</v>
      </c>
      <c r="I279" s="5">
        <v>0.3680555555555556</v>
      </c>
      <c r="J279" s="1" t="str">
        <f t="array" ref="J279">XLOOKUP(B279,cat!B:B,cat!C:C)</f>
        <v>D</v>
      </c>
      <c r="K279" s="1">
        <f t="array" ref="K279">XLOOKUP(B279,cat!B:B,cat!D:D)</f>
        <v>173</v>
      </c>
      <c r="L279" s="7">
        <f t="shared" si="1"/>
        <v>0.1111111111</v>
      </c>
      <c r="M279" s="7">
        <f t="shared" si="2"/>
        <v>0.095625</v>
      </c>
      <c r="P279" s="9"/>
      <c r="Q279" s="9">
        <f t="shared" si="3"/>
        <v>1904.85</v>
      </c>
      <c r="R279" s="1" t="str">
        <f t="shared" si="4"/>
        <v>VLG</v>
      </c>
      <c r="S279" s="1" t="str">
        <f>IF($D279="LEBL", IF(COUNTIF('Paises ECAC'!B:B, C279)&gt;0, "ECAC","NO ECAC"), "")</f>
        <v>ECAC</v>
      </c>
    </row>
    <row r="280" ht="14.25" customHeight="1">
      <c r="A280" s="1" t="s">
        <v>642</v>
      </c>
      <c r="B280" s="1" t="s">
        <v>136</v>
      </c>
      <c r="C280" s="1" t="s">
        <v>21</v>
      </c>
      <c r="D280" s="1" t="s">
        <v>137</v>
      </c>
      <c r="E280" s="1" t="s">
        <v>138</v>
      </c>
      <c r="F280" s="1">
        <v>320.0</v>
      </c>
      <c r="G280" s="5">
        <v>0.37222222222222223</v>
      </c>
      <c r="H280" s="1">
        <v>21.0</v>
      </c>
      <c r="I280" s="5">
        <v>0.4201388888888889</v>
      </c>
      <c r="J280" s="1" t="str">
        <f t="array" ref="J280">XLOOKUP(B280,cat!B:B,cat!C:C)</f>
        <v>D</v>
      </c>
      <c r="K280" s="1">
        <f t="array" ref="K280">XLOOKUP(B280,cat!B:B,cat!D:D)</f>
        <v>144</v>
      </c>
      <c r="L280" s="7">
        <f t="shared" si="1"/>
        <v>0.04791666667</v>
      </c>
      <c r="M280" s="1" t="str">
        <f t="shared" si="2"/>
        <v/>
      </c>
      <c r="P280" s="9"/>
      <c r="Q280" s="9">
        <f t="shared" si="3"/>
        <v>0</v>
      </c>
      <c r="R280" s="1" t="str">
        <f t="shared" si="4"/>
        <v>EJU</v>
      </c>
      <c r="S280" s="1" t="str">
        <f>IF($D280="LEBL", IF(COUNTIF('Paises ECAC'!B:B, C280)&gt;0, "ECAC","NO ECAC"), "")</f>
        <v/>
      </c>
    </row>
    <row r="281" ht="14.25" customHeight="1">
      <c r="A281" s="1" t="s">
        <v>643</v>
      </c>
      <c r="B281" s="1" t="s">
        <v>30</v>
      </c>
      <c r="C281" s="1" t="s">
        <v>248</v>
      </c>
      <c r="D281" s="1" t="s">
        <v>21</v>
      </c>
      <c r="E281" s="1" t="s">
        <v>644</v>
      </c>
      <c r="F281" s="1">
        <v>370.0</v>
      </c>
      <c r="G281" s="5">
        <v>0.2972222222222222</v>
      </c>
      <c r="H281" s="1">
        <v>8.0</v>
      </c>
      <c r="I281" s="5">
        <v>0.3715277777777778</v>
      </c>
      <c r="J281" s="1" t="str">
        <f t="array" ref="J281">XLOOKUP(B281,cat!B:B,cat!C:C)</f>
        <v>D</v>
      </c>
      <c r="K281" s="1">
        <f t="array" ref="K281">XLOOKUP(B281,cat!B:B,cat!D:D)</f>
        <v>173</v>
      </c>
      <c r="L281" s="7">
        <f t="shared" si="1"/>
        <v>0.07430555556</v>
      </c>
      <c r="M281" s="7">
        <f t="shared" si="2"/>
        <v>0.05604166667</v>
      </c>
      <c r="P281" s="9"/>
      <c r="Q281" s="9">
        <f t="shared" si="3"/>
        <v>1116.35</v>
      </c>
      <c r="R281" s="1" t="str">
        <f t="shared" si="4"/>
        <v>VLG</v>
      </c>
      <c r="S281" s="1" t="str">
        <f>IF($D281="LEBL", IF(COUNTIF('Paises ECAC'!B:B, C281)&gt;0, "ECAC","NO ECAC"), "")</f>
        <v>ECAC</v>
      </c>
    </row>
    <row r="282" ht="14.25" customHeight="1">
      <c r="A282" s="1" t="s">
        <v>645</v>
      </c>
      <c r="B282" s="1" t="s">
        <v>35</v>
      </c>
      <c r="C282" s="1" t="s">
        <v>21</v>
      </c>
      <c r="D282" s="1" t="s">
        <v>646</v>
      </c>
      <c r="E282" s="1" t="s">
        <v>246</v>
      </c>
      <c r="F282" s="1">
        <v>350.0</v>
      </c>
      <c r="G282" s="5">
        <v>0.36875</v>
      </c>
      <c r="H282" s="1">
        <v>11.0</v>
      </c>
      <c r="I282" s="5">
        <v>0.46875</v>
      </c>
      <c r="J282" s="1" t="str">
        <f t="array" ref="J282">XLOOKUP(B282,cat!B:B,cat!C:C)</f>
        <v>D</v>
      </c>
      <c r="K282" s="1">
        <f t="array" ref="K282">XLOOKUP(B282,cat!B:B,cat!D:D)</f>
        <v>207</v>
      </c>
      <c r="L282" s="7">
        <f t="shared" si="1"/>
        <v>0.1</v>
      </c>
      <c r="M282" s="1" t="str">
        <f t="shared" si="2"/>
        <v/>
      </c>
      <c r="P282" s="9"/>
      <c r="Q282" s="9">
        <f t="shared" si="3"/>
        <v>0</v>
      </c>
      <c r="R282" s="1" t="str">
        <f t="shared" si="4"/>
        <v>VLG</v>
      </c>
      <c r="S282" s="1" t="str">
        <f>IF($D282="LEBL", IF(COUNTIF('Paises ECAC'!B:B, C282)&gt;0, "ECAC","NO ECAC"), "")</f>
        <v/>
      </c>
    </row>
    <row r="283" ht="14.25" customHeight="1">
      <c r="A283" s="1" t="s">
        <v>647</v>
      </c>
      <c r="B283" s="1" t="s">
        <v>212</v>
      </c>
      <c r="C283" s="1" t="s">
        <v>21</v>
      </c>
      <c r="D283" s="1" t="s">
        <v>332</v>
      </c>
      <c r="E283" s="1" t="s">
        <v>428</v>
      </c>
      <c r="F283" s="1">
        <v>380.0</v>
      </c>
      <c r="G283" s="5">
        <v>0.3659722222222222</v>
      </c>
      <c r="H283" s="1">
        <v>17.0</v>
      </c>
      <c r="I283" s="5">
        <v>0.4930555555555556</v>
      </c>
      <c r="J283" s="1" t="str">
        <f t="array" ref="J283">XLOOKUP(B283,cat!B:B,cat!C:C)</f>
        <v>D</v>
      </c>
      <c r="K283" s="1">
        <f t="array" ref="K283">XLOOKUP(B283,cat!B:B,cat!D:D)</f>
        <v>200</v>
      </c>
      <c r="L283" s="7">
        <f t="shared" si="1"/>
        <v>0.1270833333</v>
      </c>
      <c r="M283" s="1" t="str">
        <f t="shared" si="2"/>
        <v/>
      </c>
      <c r="P283" s="9"/>
      <c r="Q283" s="9">
        <f t="shared" si="3"/>
        <v>0</v>
      </c>
      <c r="R283" s="1" t="str">
        <f t="shared" si="4"/>
        <v>SEU</v>
      </c>
      <c r="S283" s="1" t="str">
        <f>IF($D283="LEBL", IF(COUNTIF('Paises ECAC'!B:B, C283)&gt;0, "ECAC","NO ECAC"), "")</f>
        <v/>
      </c>
    </row>
    <row r="284" ht="14.25" customHeight="1">
      <c r="A284" s="1" t="s">
        <v>648</v>
      </c>
      <c r="B284" s="1" t="s">
        <v>19</v>
      </c>
      <c r="C284" s="1" t="s">
        <v>163</v>
      </c>
      <c r="D284" s="1" t="s">
        <v>21</v>
      </c>
      <c r="E284" s="1" t="s">
        <v>164</v>
      </c>
      <c r="F284" s="1">
        <v>370.0</v>
      </c>
      <c r="G284" s="5">
        <v>0.3159722222222222</v>
      </c>
      <c r="H284" s="1">
        <v>15.0</v>
      </c>
      <c r="I284" s="5">
        <v>0.3715277777777778</v>
      </c>
      <c r="J284" s="1" t="str">
        <f t="array" ref="J284">XLOOKUP(B284,cat!B:B,cat!C:C)</f>
        <v>D</v>
      </c>
      <c r="K284" s="1">
        <f t="array" ref="K284">XLOOKUP(B284,cat!B:B,cat!D:D)</f>
        <v>184</v>
      </c>
      <c r="L284" s="7">
        <f t="shared" si="1"/>
        <v>0.05555555556</v>
      </c>
      <c r="M284" s="7">
        <f t="shared" si="2"/>
        <v>0.03243055556</v>
      </c>
      <c r="P284" s="9"/>
      <c r="Q284" s="9">
        <f t="shared" si="3"/>
        <v>646.0166667</v>
      </c>
      <c r="R284" s="1" t="str">
        <f t="shared" si="4"/>
        <v>RYR</v>
      </c>
      <c r="S284" s="1" t="str">
        <f>IF($D284="LEBL", IF(COUNTIF('Paises ECAC'!B:B, C284)&gt;0, "ECAC","NO ECAC"), "")</f>
        <v>ECAC</v>
      </c>
    </row>
    <row r="285" ht="14.25" customHeight="1">
      <c r="A285" s="1" t="s">
        <v>649</v>
      </c>
      <c r="B285" s="1" t="s">
        <v>174</v>
      </c>
      <c r="C285" s="1" t="s">
        <v>21</v>
      </c>
      <c r="D285" s="1" t="s">
        <v>175</v>
      </c>
      <c r="E285" s="1" t="s">
        <v>176</v>
      </c>
      <c r="F285" s="1">
        <v>390.0</v>
      </c>
      <c r="G285" s="5">
        <v>0.36736111111111114</v>
      </c>
      <c r="H285" s="1">
        <v>9.0</v>
      </c>
      <c r="I285" s="5">
        <v>0.6319444444444444</v>
      </c>
      <c r="J285" s="1" t="str">
        <f t="array" ref="J285">XLOOKUP(B285,cat!B:B,cat!C:C)</f>
        <v>B</v>
      </c>
      <c r="K285" s="1">
        <f t="array" ref="K285">XLOOKUP(B285,cat!B:B,cat!D:D)</f>
        <v>327</v>
      </c>
      <c r="L285" s="7">
        <f t="shared" si="1"/>
        <v>0.2645833333</v>
      </c>
      <c r="M285" s="1" t="str">
        <f t="shared" si="2"/>
        <v/>
      </c>
      <c r="P285" s="9"/>
      <c r="Q285" s="9">
        <f t="shared" si="3"/>
        <v>0</v>
      </c>
      <c r="R285" s="1" t="str">
        <f t="shared" si="4"/>
        <v>ETD</v>
      </c>
      <c r="S285" s="1" t="str">
        <f>IF($D285="LEBL", IF(COUNTIF('Paises ECAC'!B:B, C285)&gt;0, "ECAC","NO ECAC"), "")</f>
        <v/>
      </c>
    </row>
    <row r="286" ht="14.25" customHeight="1">
      <c r="A286" s="1" t="s">
        <v>650</v>
      </c>
      <c r="B286" s="1" t="s">
        <v>30</v>
      </c>
      <c r="C286" s="1" t="s">
        <v>158</v>
      </c>
      <c r="D286" s="1" t="s">
        <v>21</v>
      </c>
      <c r="E286" s="1" t="s">
        <v>32</v>
      </c>
      <c r="F286" s="1">
        <v>330.0</v>
      </c>
      <c r="G286" s="5">
        <v>0.3236111111111111</v>
      </c>
      <c r="H286" s="1">
        <v>11.0</v>
      </c>
      <c r="I286" s="5">
        <v>0.3715277777777778</v>
      </c>
      <c r="J286" s="1" t="str">
        <f t="array" ref="J286">XLOOKUP(B286,cat!B:B,cat!C:C)</f>
        <v>D</v>
      </c>
      <c r="K286" s="1">
        <f t="array" ref="K286">XLOOKUP(B286,cat!B:B,cat!D:D)</f>
        <v>173</v>
      </c>
      <c r="L286" s="7">
        <f t="shared" si="1"/>
        <v>0.04791666667</v>
      </c>
      <c r="M286" s="7">
        <f t="shared" si="2"/>
        <v>0.02756944444</v>
      </c>
      <c r="P286" s="9"/>
      <c r="Q286" s="9">
        <f t="shared" si="3"/>
        <v>549.1833333</v>
      </c>
      <c r="R286" s="1" t="str">
        <f t="shared" si="4"/>
        <v>VLG</v>
      </c>
      <c r="S286" s="1" t="str">
        <f>IF($D286="LEBL", IF(COUNTIF('Paises ECAC'!B:B, C286)&gt;0, "ECAC","NO ECAC"), "")</f>
        <v>ECAC</v>
      </c>
    </row>
    <row r="287" ht="14.25" customHeight="1">
      <c r="A287" s="1" t="s">
        <v>651</v>
      </c>
      <c r="B287" s="1" t="s">
        <v>35</v>
      </c>
      <c r="C287" s="1" t="s">
        <v>137</v>
      </c>
      <c r="D287" s="1" t="s">
        <v>21</v>
      </c>
      <c r="E287" s="1" t="s">
        <v>254</v>
      </c>
      <c r="F287" s="1">
        <v>330.0</v>
      </c>
      <c r="G287" s="5">
        <v>0.3298611111111111</v>
      </c>
      <c r="H287" s="1">
        <v>10.0</v>
      </c>
      <c r="I287" s="5">
        <v>0.3715277777777778</v>
      </c>
      <c r="J287" s="1" t="str">
        <f t="array" ref="J287">XLOOKUP(B287,cat!B:B,cat!C:C)</f>
        <v>D</v>
      </c>
      <c r="K287" s="1">
        <f t="array" ref="K287">XLOOKUP(B287,cat!B:B,cat!D:D)</f>
        <v>207</v>
      </c>
      <c r="L287" s="7">
        <f t="shared" si="1"/>
        <v>0.04166666667</v>
      </c>
      <c r="M287" s="7">
        <f t="shared" si="2"/>
        <v>0.02201388889</v>
      </c>
      <c r="P287" s="9"/>
      <c r="Q287" s="9">
        <f t="shared" si="3"/>
        <v>438.5166667</v>
      </c>
      <c r="R287" s="1" t="str">
        <f t="shared" si="4"/>
        <v>VLG</v>
      </c>
      <c r="S287" s="1" t="str">
        <f>IF($D287="LEBL", IF(COUNTIF('Paises ECAC'!B:B, C287)&gt;0, "ECAC","NO ECAC"), "")</f>
        <v>ECAC</v>
      </c>
    </row>
    <row r="288" ht="14.25" customHeight="1">
      <c r="A288" s="1" t="s">
        <v>652</v>
      </c>
      <c r="B288" s="1" t="s">
        <v>35</v>
      </c>
      <c r="C288" s="1" t="s">
        <v>279</v>
      </c>
      <c r="D288" s="1" t="s">
        <v>21</v>
      </c>
      <c r="E288" s="1" t="s">
        <v>280</v>
      </c>
      <c r="F288" s="1">
        <v>330.0</v>
      </c>
      <c r="G288" s="5">
        <v>0.3263888888888889</v>
      </c>
      <c r="H288" s="1">
        <v>10.0</v>
      </c>
      <c r="I288" s="5">
        <v>0.375</v>
      </c>
      <c r="J288" s="1" t="str">
        <f t="array" ref="J288">XLOOKUP(B288,cat!B:B,cat!C:C)</f>
        <v>D</v>
      </c>
      <c r="K288" s="1">
        <f t="array" ref="K288">XLOOKUP(B288,cat!B:B,cat!D:D)</f>
        <v>207</v>
      </c>
      <c r="L288" s="7">
        <f t="shared" si="1"/>
        <v>0.04861111111</v>
      </c>
      <c r="M288" s="7">
        <f t="shared" si="2"/>
        <v>0.02895833333</v>
      </c>
      <c r="P288" s="9"/>
      <c r="Q288" s="9">
        <f t="shared" si="3"/>
        <v>576.85</v>
      </c>
      <c r="R288" s="1" t="str">
        <f t="shared" si="4"/>
        <v>VLG</v>
      </c>
      <c r="S288" s="1" t="str">
        <f>IF($D288="LEBL", IF(COUNTIF('Paises ECAC'!B:B, C288)&gt;0, "ECAC","NO ECAC"), "")</f>
        <v>ECAC</v>
      </c>
    </row>
    <row r="289" ht="14.25" customHeight="1">
      <c r="A289" s="1" t="s">
        <v>653</v>
      </c>
      <c r="B289" s="1" t="s">
        <v>30</v>
      </c>
      <c r="C289" s="1" t="s">
        <v>21</v>
      </c>
      <c r="D289" s="1" t="s">
        <v>271</v>
      </c>
      <c r="E289" s="1" t="s">
        <v>98</v>
      </c>
      <c r="F289" s="1">
        <v>380.0</v>
      </c>
      <c r="G289" s="5">
        <v>0.36944444444444446</v>
      </c>
      <c r="H289" s="1">
        <v>12.0</v>
      </c>
      <c r="I289" s="5">
        <v>0.4479166666666667</v>
      </c>
      <c r="J289" s="1" t="str">
        <f t="array" ref="J289">XLOOKUP(B289,cat!B:B,cat!C:C)</f>
        <v>D</v>
      </c>
      <c r="K289" s="1">
        <f t="array" ref="K289">XLOOKUP(B289,cat!B:B,cat!D:D)</f>
        <v>173</v>
      </c>
      <c r="L289" s="7">
        <f t="shared" si="1"/>
        <v>0.07847222222</v>
      </c>
      <c r="M289" s="1" t="str">
        <f t="shared" si="2"/>
        <v/>
      </c>
      <c r="P289" s="9"/>
      <c r="Q289" s="9">
        <f t="shared" si="3"/>
        <v>0</v>
      </c>
      <c r="R289" s="1" t="str">
        <f t="shared" si="4"/>
        <v>VLG</v>
      </c>
      <c r="S289" s="1" t="str">
        <f>IF($D289="LEBL", IF(COUNTIF('Paises ECAC'!B:B, C289)&gt;0, "ECAC","NO ECAC"), "")</f>
        <v/>
      </c>
    </row>
    <row r="290" ht="14.25" customHeight="1">
      <c r="A290" s="1" t="s">
        <v>654</v>
      </c>
      <c r="B290" s="1" t="s">
        <v>35</v>
      </c>
      <c r="C290" s="1" t="s">
        <v>21</v>
      </c>
      <c r="D290" s="1" t="s">
        <v>234</v>
      </c>
      <c r="E290" s="1" t="s">
        <v>520</v>
      </c>
      <c r="F290" s="1">
        <v>290.0</v>
      </c>
      <c r="G290" s="5">
        <v>0.3659722222222222</v>
      </c>
      <c r="H290" s="1">
        <v>12.0</v>
      </c>
      <c r="I290" s="5">
        <v>0.4097222222222222</v>
      </c>
      <c r="J290" s="1" t="str">
        <f t="array" ref="J290">XLOOKUP(B290,cat!B:B,cat!C:C)</f>
        <v>D</v>
      </c>
      <c r="K290" s="1">
        <f t="array" ref="K290">XLOOKUP(B290,cat!B:B,cat!D:D)</f>
        <v>207</v>
      </c>
      <c r="L290" s="7">
        <f t="shared" si="1"/>
        <v>0.04375</v>
      </c>
      <c r="M290" s="1" t="str">
        <f t="shared" si="2"/>
        <v/>
      </c>
      <c r="P290" s="9"/>
      <c r="Q290" s="9">
        <f t="shared" si="3"/>
        <v>0</v>
      </c>
      <c r="R290" s="1" t="str">
        <f t="shared" si="4"/>
        <v>IBE</v>
      </c>
      <c r="S290" s="1" t="str">
        <f>IF($D290="LEBL", IF(COUNTIF('Paises ECAC'!B:B, C290)&gt;0, "ECAC","NO ECAC"), "")</f>
        <v/>
      </c>
    </row>
    <row r="291" ht="14.25" customHeight="1">
      <c r="A291" s="1" t="s">
        <v>655</v>
      </c>
      <c r="B291" s="1" t="s">
        <v>212</v>
      </c>
      <c r="C291" s="1" t="s">
        <v>26</v>
      </c>
      <c r="D291" s="1" t="s">
        <v>21</v>
      </c>
      <c r="E291" s="1" t="s">
        <v>656</v>
      </c>
      <c r="F291" s="1">
        <v>340.0</v>
      </c>
      <c r="G291" s="5">
        <v>0.26805555555555555</v>
      </c>
      <c r="H291" s="1">
        <v>12.0</v>
      </c>
      <c r="I291" s="5">
        <v>0.375</v>
      </c>
      <c r="J291" s="1" t="str">
        <f t="array" ref="J291">XLOOKUP(B291,cat!B:B,cat!C:C)</f>
        <v>D</v>
      </c>
      <c r="K291" s="1">
        <f t="array" ref="K291">XLOOKUP(B291,cat!B:B,cat!D:D)</f>
        <v>200</v>
      </c>
      <c r="L291" s="7">
        <f t="shared" si="1"/>
        <v>0.1069444444</v>
      </c>
      <c r="M291" s="7">
        <f t="shared" si="2"/>
        <v>0.08590277778</v>
      </c>
      <c r="P291" s="9"/>
      <c r="Q291" s="9">
        <f t="shared" si="3"/>
        <v>1711.183333</v>
      </c>
      <c r="R291" s="1" t="str">
        <f t="shared" si="4"/>
        <v>AEE</v>
      </c>
      <c r="S291" s="1" t="str">
        <f>IF($D291="LEBL", IF(COUNTIF('Paises ECAC'!B:B, C291)&gt;0, "ECAC","NO ECAC"), "")</f>
        <v>ECAC</v>
      </c>
    </row>
    <row r="292" ht="14.25" customHeight="1">
      <c r="A292" s="1" t="s">
        <v>657</v>
      </c>
      <c r="B292" s="1" t="s">
        <v>35</v>
      </c>
      <c r="C292" s="1" t="s">
        <v>116</v>
      </c>
      <c r="D292" s="1" t="s">
        <v>21</v>
      </c>
      <c r="E292" s="1" t="s">
        <v>658</v>
      </c>
      <c r="F292" s="1">
        <v>370.0</v>
      </c>
      <c r="G292" s="5">
        <v>0.3229166666666667</v>
      </c>
      <c r="H292" s="1">
        <v>23.0</v>
      </c>
      <c r="I292" s="5">
        <v>0.375</v>
      </c>
      <c r="J292" s="1" t="str">
        <f t="array" ref="J292">XLOOKUP(B292,cat!B:B,cat!C:C)</f>
        <v>D</v>
      </c>
      <c r="K292" s="1">
        <f t="array" ref="K292">XLOOKUP(B292,cat!B:B,cat!D:D)</f>
        <v>207</v>
      </c>
      <c r="L292" s="7">
        <f t="shared" si="1"/>
        <v>0.05208333333</v>
      </c>
      <c r="M292" s="7">
        <f t="shared" si="2"/>
        <v>0.02340277778</v>
      </c>
      <c r="P292" s="9"/>
      <c r="Q292" s="9">
        <f t="shared" si="3"/>
        <v>466.1833333</v>
      </c>
      <c r="R292" s="1" t="str">
        <f t="shared" si="4"/>
        <v>AFR</v>
      </c>
      <c r="S292" s="1" t="str">
        <f>IF($D292="LEBL", IF(COUNTIF('Paises ECAC'!B:B, C292)&gt;0, "ECAC","NO ECAC"), "")</f>
        <v>ECAC</v>
      </c>
    </row>
    <row r="293" ht="14.25" customHeight="1">
      <c r="A293" s="1" t="s">
        <v>659</v>
      </c>
      <c r="B293" s="1" t="s">
        <v>35</v>
      </c>
      <c r="C293" s="1" t="s">
        <v>21</v>
      </c>
      <c r="D293" s="1" t="s">
        <v>221</v>
      </c>
      <c r="E293" s="1" t="s">
        <v>219</v>
      </c>
      <c r="F293" s="1">
        <v>340.0</v>
      </c>
      <c r="G293" s="5">
        <v>0.3763888888888889</v>
      </c>
      <c r="H293" s="1">
        <v>12.0</v>
      </c>
      <c r="I293" s="5">
        <v>0.4479166666666667</v>
      </c>
      <c r="J293" s="1" t="str">
        <f t="array" ref="J293">XLOOKUP(B293,cat!B:B,cat!C:C)</f>
        <v>D</v>
      </c>
      <c r="K293" s="1">
        <f t="array" ref="K293">XLOOKUP(B293,cat!B:B,cat!D:D)</f>
        <v>207</v>
      </c>
      <c r="L293" s="7">
        <f t="shared" si="1"/>
        <v>0.07152777778</v>
      </c>
      <c r="M293" s="1" t="str">
        <f t="shared" si="2"/>
        <v/>
      </c>
      <c r="P293" s="9"/>
      <c r="Q293" s="9">
        <f t="shared" si="3"/>
        <v>0</v>
      </c>
      <c r="R293" s="1" t="str">
        <f t="shared" si="4"/>
        <v>VLG</v>
      </c>
      <c r="S293" s="1" t="str">
        <f>IF($D293="LEBL", IF(COUNTIF('Paises ECAC'!B:B, C293)&gt;0, "ECAC","NO ECAC"), "")</f>
        <v/>
      </c>
    </row>
    <row r="294" ht="14.25" customHeight="1">
      <c r="A294" s="1" t="s">
        <v>660</v>
      </c>
      <c r="B294" s="1" t="s">
        <v>35</v>
      </c>
      <c r="C294" s="1" t="s">
        <v>100</v>
      </c>
      <c r="D294" s="1" t="s">
        <v>21</v>
      </c>
      <c r="E294" s="1" t="s">
        <v>190</v>
      </c>
      <c r="F294" s="1">
        <v>350.0</v>
      </c>
      <c r="G294" s="5">
        <v>0.3229166666666667</v>
      </c>
      <c r="H294" s="1">
        <v>11.0</v>
      </c>
      <c r="I294" s="5">
        <v>0.3784722222222222</v>
      </c>
      <c r="J294" s="1" t="str">
        <f t="array" ref="J294">XLOOKUP(B294,cat!B:B,cat!C:C)</f>
        <v>D</v>
      </c>
      <c r="K294" s="1">
        <f t="array" ref="K294">XLOOKUP(B294,cat!B:B,cat!D:D)</f>
        <v>207</v>
      </c>
      <c r="L294" s="7">
        <f t="shared" si="1"/>
        <v>0.05555555556</v>
      </c>
      <c r="M294" s="7">
        <f t="shared" si="2"/>
        <v>0.03520833333</v>
      </c>
      <c r="P294" s="9"/>
      <c r="Q294" s="9">
        <f t="shared" si="3"/>
        <v>701.35</v>
      </c>
      <c r="R294" s="1" t="str">
        <f t="shared" si="4"/>
        <v>VLG</v>
      </c>
      <c r="S294" s="1" t="str">
        <f>IF($D294="LEBL", IF(COUNTIF('Paises ECAC'!B:B, C294)&gt;0, "ECAC","NO ECAC"), "")</f>
        <v>ECAC</v>
      </c>
    </row>
    <row r="295" ht="14.25" customHeight="1">
      <c r="A295" s="1" t="s">
        <v>661</v>
      </c>
      <c r="B295" s="1" t="s">
        <v>212</v>
      </c>
      <c r="C295" s="1" t="s">
        <v>21</v>
      </c>
      <c r="D295" s="1" t="s">
        <v>397</v>
      </c>
      <c r="E295" s="1" t="s">
        <v>539</v>
      </c>
      <c r="F295" s="1">
        <v>370.0</v>
      </c>
      <c r="G295" s="5">
        <v>0.3784722222222222</v>
      </c>
      <c r="H295" s="1">
        <v>20.0</v>
      </c>
      <c r="I295" s="5">
        <v>0.4756944444444444</v>
      </c>
      <c r="J295" s="1" t="str">
        <f t="array" ref="J295">XLOOKUP(B295,cat!B:B,cat!C:C)</f>
        <v>D</v>
      </c>
      <c r="K295" s="1">
        <f t="array" ref="K295">XLOOKUP(B295,cat!B:B,cat!D:D)</f>
        <v>200</v>
      </c>
      <c r="L295" s="7">
        <f t="shared" si="1"/>
        <v>0.09722222222</v>
      </c>
      <c r="M295" s="1" t="str">
        <f t="shared" si="2"/>
        <v/>
      </c>
      <c r="P295" s="9"/>
      <c r="Q295" s="9">
        <f t="shared" si="3"/>
        <v>0</v>
      </c>
      <c r="R295" s="1" t="str">
        <f t="shared" si="4"/>
        <v>WZZ</v>
      </c>
      <c r="S295" s="1" t="str">
        <f>IF($D295="LEBL", IF(COUNTIF('Paises ECAC'!B:B, C295)&gt;0, "ECAC","NO ECAC"), "")</f>
        <v/>
      </c>
    </row>
    <row r="296" ht="14.25" customHeight="1">
      <c r="A296" s="1" t="s">
        <v>662</v>
      </c>
      <c r="B296" s="1" t="s">
        <v>35</v>
      </c>
      <c r="C296" s="1" t="s">
        <v>107</v>
      </c>
      <c r="D296" s="1" t="s">
        <v>21</v>
      </c>
      <c r="E296" s="1" t="s">
        <v>663</v>
      </c>
      <c r="F296" s="1">
        <v>360.0</v>
      </c>
      <c r="G296" s="5">
        <v>0.30833333333333335</v>
      </c>
      <c r="H296" s="1">
        <v>19.0</v>
      </c>
      <c r="I296" s="5">
        <v>0.3784722222222222</v>
      </c>
      <c r="J296" s="1" t="str">
        <f t="array" ref="J296">XLOOKUP(B296,cat!B:B,cat!C:C)</f>
        <v>D</v>
      </c>
      <c r="K296" s="1">
        <f t="array" ref="K296">XLOOKUP(B296,cat!B:B,cat!D:D)</f>
        <v>207</v>
      </c>
      <c r="L296" s="7">
        <f t="shared" si="1"/>
        <v>0.07013888889</v>
      </c>
      <c r="M296" s="7">
        <f t="shared" si="2"/>
        <v>0.04423611111</v>
      </c>
      <c r="P296" s="9"/>
      <c r="Q296" s="9">
        <f t="shared" si="3"/>
        <v>881.1833333</v>
      </c>
      <c r="R296" s="1" t="str">
        <f t="shared" si="4"/>
        <v>TAP</v>
      </c>
      <c r="S296" s="1" t="str">
        <f>IF($D296="LEBL", IF(COUNTIF('Paises ECAC'!B:B, C296)&gt;0, "ECAC","NO ECAC"), "")</f>
        <v>ECAC</v>
      </c>
    </row>
    <row r="297" ht="14.25" customHeight="1">
      <c r="A297" s="1" t="s">
        <v>664</v>
      </c>
      <c r="B297" s="1" t="s">
        <v>30</v>
      </c>
      <c r="C297" s="1" t="s">
        <v>21</v>
      </c>
      <c r="D297" s="1" t="s">
        <v>509</v>
      </c>
      <c r="E297" s="1" t="s">
        <v>510</v>
      </c>
      <c r="F297" s="1">
        <v>360.0</v>
      </c>
      <c r="G297" s="5">
        <v>0.3763888888888889</v>
      </c>
      <c r="H297" s="1">
        <v>20.0</v>
      </c>
      <c r="I297" s="5">
        <v>0.4513888888888889</v>
      </c>
      <c r="J297" s="1" t="str">
        <f t="array" ref="J297">XLOOKUP(B297,cat!B:B,cat!C:C)</f>
        <v>D</v>
      </c>
      <c r="K297" s="1">
        <f t="array" ref="K297">XLOOKUP(B297,cat!B:B,cat!D:D)</f>
        <v>173</v>
      </c>
      <c r="L297" s="7">
        <f t="shared" si="1"/>
        <v>0.075</v>
      </c>
      <c r="M297" s="1" t="str">
        <f t="shared" si="2"/>
        <v/>
      </c>
      <c r="P297" s="9"/>
      <c r="Q297" s="9">
        <f t="shared" si="3"/>
        <v>0</v>
      </c>
      <c r="R297" s="1" t="str">
        <f t="shared" si="4"/>
        <v>EWG</v>
      </c>
      <c r="S297" s="1" t="str">
        <f>IF($D297="LEBL", IF(COUNTIF('Paises ECAC'!B:B, C297)&gt;0, "ECAC","NO ECAC"), "")</f>
        <v/>
      </c>
    </row>
    <row r="298" ht="14.25" customHeight="1">
      <c r="A298" s="1" t="s">
        <v>665</v>
      </c>
      <c r="B298" s="1" t="s">
        <v>19</v>
      </c>
      <c r="C298" s="1" t="s">
        <v>21</v>
      </c>
      <c r="D298" s="1" t="s">
        <v>527</v>
      </c>
      <c r="E298" s="1" t="s">
        <v>130</v>
      </c>
      <c r="F298" s="1">
        <v>380.0</v>
      </c>
      <c r="G298" s="5">
        <v>0.3680555555555556</v>
      </c>
      <c r="H298" s="1">
        <v>20.0</v>
      </c>
      <c r="I298" s="5">
        <v>0.4548611111111111</v>
      </c>
      <c r="J298" s="1" t="str">
        <f t="array" ref="J298">XLOOKUP(B298,cat!B:B,cat!C:C)</f>
        <v>D</v>
      </c>
      <c r="K298" s="1">
        <f t="array" ref="K298">XLOOKUP(B298,cat!B:B,cat!D:D)</f>
        <v>184</v>
      </c>
      <c r="L298" s="7">
        <f t="shared" si="1"/>
        <v>0.08680555556</v>
      </c>
      <c r="M298" s="1" t="str">
        <f t="shared" si="2"/>
        <v/>
      </c>
      <c r="P298" s="9"/>
      <c r="Q298" s="9">
        <f t="shared" si="3"/>
        <v>0</v>
      </c>
      <c r="R298" s="1" t="str">
        <f t="shared" si="4"/>
        <v>RYR</v>
      </c>
      <c r="S298" s="1" t="str">
        <f>IF($D298="LEBL", IF(COUNTIF('Paises ECAC'!B:B, C298)&gt;0, "ECAC","NO ECAC"), "")</f>
        <v/>
      </c>
    </row>
    <row r="299" ht="14.25" customHeight="1">
      <c r="A299" s="1" t="s">
        <v>666</v>
      </c>
      <c r="B299" s="1" t="s">
        <v>477</v>
      </c>
      <c r="C299" s="1" t="s">
        <v>667</v>
      </c>
      <c r="D299" s="1" t="s">
        <v>21</v>
      </c>
      <c r="E299" s="1" t="s">
        <v>668</v>
      </c>
      <c r="F299" s="1">
        <v>410.0</v>
      </c>
      <c r="G299" s="5">
        <v>0.05347222222222222</v>
      </c>
      <c r="H299" s="1">
        <v>37.0</v>
      </c>
      <c r="I299" s="5">
        <v>0.3819444444444444</v>
      </c>
      <c r="J299" s="1" t="str">
        <f t="array" ref="J299">XLOOKUP(B299,cat!B:B,cat!C:C)</f>
        <v>B</v>
      </c>
      <c r="K299" s="1">
        <f t="array" ref="K299">XLOOKUP(B299,cat!B:B,cat!D:D)</f>
        <v>266</v>
      </c>
      <c r="L299" s="7">
        <f t="shared" si="1"/>
        <v>0.3284722222</v>
      </c>
      <c r="M299" s="7">
        <f t="shared" si="2"/>
        <v>0.2900694444</v>
      </c>
      <c r="P299" s="9"/>
      <c r="Q299" s="9">
        <f t="shared" si="3"/>
        <v>6265.5</v>
      </c>
      <c r="R299" s="1" t="str">
        <f t="shared" si="4"/>
        <v>AAL</v>
      </c>
      <c r="S299" s="1" t="str">
        <f>IF($D299="LEBL", IF(COUNTIF('Paises ECAC'!B:B, C299)&gt;0, "ECAC","NO ECAC"), "")</f>
        <v>NO ECAC</v>
      </c>
    </row>
    <row r="300" ht="14.25" customHeight="1">
      <c r="A300" s="1" t="s">
        <v>669</v>
      </c>
      <c r="B300" s="1" t="s">
        <v>136</v>
      </c>
      <c r="C300" s="1" t="s">
        <v>237</v>
      </c>
      <c r="D300" s="1" t="s">
        <v>21</v>
      </c>
      <c r="E300" s="1" t="s">
        <v>238</v>
      </c>
      <c r="F300" s="1">
        <v>330.0</v>
      </c>
      <c r="G300" s="5">
        <v>0.32916666666666666</v>
      </c>
      <c r="H300" s="1">
        <v>11.0</v>
      </c>
      <c r="I300" s="5">
        <v>0.3819444444444444</v>
      </c>
      <c r="J300" s="1" t="str">
        <f t="array" ref="J300">XLOOKUP(B300,cat!B:B,cat!C:C)</f>
        <v>D</v>
      </c>
      <c r="K300" s="1">
        <f t="array" ref="K300">XLOOKUP(B300,cat!B:B,cat!D:D)</f>
        <v>144</v>
      </c>
      <c r="L300" s="7">
        <f t="shared" si="1"/>
        <v>0.05277777778</v>
      </c>
      <c r="M300" s="7">
        <f t="shared" si="2"/>
        <v>0.03243055556</v>
      </c>
      <c r="P300" s="9"/>
      <c r="Q300" s="9">
        <f t="shared" si="3"/>
        <v>646.0166667</v>
      </c>
      <c r="R300" s="1" t="str">
        <f t="shared" si="4"/>
        <v>EJU</v>
      </c>
      <c r="S300" s="1" t="str">
        <f>IF($D300="LEBL", IF(COUNTIF('Paises ECAC'!B:B, C300)&gt;0, "ECAC","NO ECAC"), "")</f>
        <v>ECAC</v>
      </c>
    </row>
    <row r="301" ht="14.25" customHeight="1">
      <c r="A301" s="1" t="s">
        <v>670</v>
      </c>
      <c r="B301" s="1" t="s">
        <v>57</v>
      </c>
      <c r="C301" s="1" t="s">
        <v>21</v>
      </c>
      <c r="D301" s="1" t="s">
        <v>58</v>
      </c>
      <c r="E301" s="1" t="s">
        <v>79</v>
      </c>
      <c r="F301" s="1">
        <v>400.0</v>
      </c>
      <c r="G301" s="5">
        <v>0.37430555555555556</v>
      </c>
      <c r="H301" s="1">
        <v>19.0</v>
      </c>
      <c r="I301" s="5">
        <v>0.90625</v>
      </c>
      <c r="J301" s="1" t="str">
        <f t="array" ref="J301">XLOOKUP(B301,cat!B:B,cat!C:C)</f>
        <v>B</v>
      </c>
      <c r="K301" s="1">
        <f t="array" ref="K301">XLOOKUP(B301,cat!B:B,cat!D:D)</f>
        <v>281</v>
      </c>
      <c r="L301" s="7">
        <f t="shared" si="1"/>
        <v>0.5319444444</v>
      </c>
      <c r="M301" s="1" t="str">
        <f t="shared" si="2"/>
        <v/>
      </c>
      <c r="P301" s="9"/>
      <c r="Q301" s="9">
        <f t="shared" si="3"/>
        <v>0</v>
      </c>
      <c r="R301" s="1" t="str">
        <f t="shared" si="4"/>
        <v>IBE</v>
      </c>
      <c r="S301" s="1" t="str">
        <f>IF($D301="LEBL", IF(COUNTIF('Paises ECAC'!B:B, C301)&gt;0, "ECAC","NO ECAC"), "")</f>
        <v/>
      </c>
    </row>
    <row r="302" ht="14.25" customHeight="1">
      <c r="A302" s="1" t="s">
        <v>671</v>
      </c>
      <c r="B302" s="1" t="s">
        <v>136</v>
      </c>
      <c r="C302" s="1" t="s">
        <v>21</v>
      </c>
      <c r="D302" s="1" t="s">
        <v>541</v>
      </c>
      <c r="E302" s="1" t="s">
        <v>542</v>
      </c>
      <c r="F302" s="1">
        <v>340.0</v>
      </c>
      <c r="G302" s="5">
        <v>0.38263888888888886</v>
      </c>
      <c r="H302" s="1">
        <v>21.0</v>
      </c>
      <c r="I302" s="5">
        <v>0.4618055555555556</v>
      </c>
      <c r="J302" s="1" t="str">
        <f t="array" ref="J302">XLOOKUP(B302,cat!B:B,cat!C:C)</f>
        <v>D</v>
      </c>
      <c r="K302" s="1">
        <f t="array" ref="K302">XLOOKUP(B302,cat!B:B,cat!D:D)</f>
        <v>144</v>
      </c>
      <c r="L302" s="7">
        <f t="shared" si="1"/>
        <v>0.07916666667</v>
      </c>
      <c r="M302" s="1" t="str">
        <f t="shared" si="2"/>
        <v/>
      </c>
      <c r="P302" s="9"/>
      <c r="Q302" s="9">
        <f t="shared" si="3"/>
        <v>0</v>
      </c>
      <c r="R302" s="1" t="str">
        <f t="shared" si="4"/>
        <v>EZY</v>
      </c>
      <c r="S302" s="1" t="str">
        <f>IF($D302="LEBL", IF(COUNTIF('Paises ECAC'!B:B, C302)&gt;0, "ECAC","NO ECAC"), "")</f>
        <v/>
      </c>
    </row>
    <row r="303" ht="14.25" customHeight="1">
      <c r="A303" s="1" t="s">
        <v>672</v>
      </c>
      <c r="B303" s="1" t="s">
        <v>30</v>
      </c>
      <c r="C303" s="1" t="s">
        <v>143</v>
      </c>
      <c r="D303" s="1" t="s">
        <v>21</v>
      </c>
      <c r="E303" s="1" t="s">
        <v>323</v>
      </c>
      <c r="F303" s="1">
        <v>180.0</v>
      </c>
      <c r="G303" s="5">
        <v>0.36736111111111114</v>
      </c>
      <c r="H303" s="1">
        <v>10.0</v>
      </c>
      <c r="I303" s="5">
        <v>0.3819444444444444</v>
      </c>
      <c r="J303" s="1" t="str">
        <f t="array" ref="J303">XLOOKUP(B303,cat!B:B,cat!C:C)</f>
        <v>D</v>
      </c>
      <c r="K303" s="1">
        <f t="array" ref="K303">XLOOKUP(B303,cat!B:B,cat!D:D)</f>
        <v>173</v>
      </c>
      <c r="L303" s="7">
        <f t="shared" si="1"/>
        <v>0.01458333333</v>
      </c>
      <c r="M303" s="7">
        <f t="shared" si="2"/>
        <v>0.007638888889</v>
      </c>
      <c r="P303" s="9"/>
      <c r="Q303" s="9">
        <f t="shared" si="3"/>
        <v>152.1666667</v>
      </c>
      <c r="R303" s="1" t="str">
        <f t="shared" si="4"/>
        <v>VLG</v>
      </c>
      <c r="S303" s="1" t="str">
        <f>IF($D303="LEBL", IF(COUNTIF('Paises ECAC'!B:B, C303)&gt;0, "ECAC","NO ECAC"), "")</f>
        <v>ECAC</v>
      </c>
    </row>
    <row r="304" ht="14.25" customHeight="1">
      <c r="A304" s="1" t="s">
        <v>673</v>
      </c>
      <c r="B304" s="1" t="s">
        <v>19</v>
      </c>
      <c r="C304" s="1" t="s">
        <v>21</v>
      </c>
      <c r="D304" s="1" t="s">
        <v>41</v>
      </c>
      <c r="E304" s="1" t="s">
        <v>517</v>
      </c>
      <c r="F304" s="1">
        <v>360.0</v>
      </c>
      <c r="G304" s="5">
        <v>0.38680555555555557</v>
      </c>
      <c r="H304" s="1">
        <v>16.0</v>
      </c>
      <c r="I304" s="5">
        <v>0.4722222222222222</v>
      </c>
      <c r="J304" s="1" t="str">
        <f t="array" ref="J304">XLOOKUP(B304,cat!B:B,cat!C:C)</f>
        <v>D</v>
      </c>
      <c r="K304" s="1">
        <f t="array" ref="K304">XLOOKUP(B304,cat!B:B,cat!D:D)</f>
        <v>184</v>
      </c>
      <c r="L304" s="7">
        <f t="shared" si="1"/>
        <v>0.08541666667</v>
      </c>
      <c r="M304" s="1" t="str">
        <f t="shared" si="2"/>
        <v/>
      </c>
      <c r="P304" s="9"/>
      <c r="Q304" s="9">
        <f t="shared" si="3"/>
        <v>0</v>
      </c>
      <c r="R304" s="1" t="str">
        <f t="shared" si="4"/>
        <v>RYR</v>
      </c>
      <c r="S304" s="1" t="str">
        <f>IF($D304="LEBL", IF(COUNTIF('Paises ECAC'!B:B, C304)&gt;0, "ECAC","NO ECAC"), "")</f>
        <v/>
      </c>
    </row>
    <row r="305" ht="14.25" customHeight="1">
      <c r="A305" s="1" t="s">
        <v>674</v>
      </c>
      <c r="B305" s="1" t="s">
        <v>30</v>
      </c>
      <c r="C305" s="1" t="s">
        <v>21</v>
      </c>
      <c r="D305" s="1" t="s">
        <v>675</v>
      </c>
      <c r="E305" s="1" t="s">
        <v>206</v>
      </c>
      <c r="F305" s="1">
        <v>360.0</v>
      </c>
      <c r="G305" s="5">
        <v>0.3840277777777778</v>
      </c>
      <c r="H305" s="1">
        <v>10.0</v>
      </c>
      <c r="I305" s="5">
        <v>0.4722222222222222</v>
      </c>
      <c r="J305" s="1" t="str">
        <f t="array" ref="J305">XLOOKUP(B305,cat!B:B,cat!C:C)</f>
        <v>D</v>
      </c>
      <c r="K305" s="1">
        <f t="array" ref="K305">XLOOKUP(B305,cat!B:B,cat!D:D)</f>
        <v>173</v>
      </c>
      <c r="L305" s="7">
        <f t="shared" si="1"/>
        <v>0.08819444444</v>
      </c>
      <c r="M305" s="1" t="str">
        <f t="shared" si="2"/>
        <v/>
      </c>
      <c r="P305" s="9"/>
      <c r="Q305" s="9">
        <f t="shared" si="3"/>
        <v>0</v>
      </c>
      <c r="R305" s="1" t="str">
        <f t="shared" si="4"/>
        <v>VLG</v>
      </c>
      <c r="S305" s="1" t="str">
        <f>IF($D305="LEBL", IF(COUNTIF('Paises ECAC'!B:B, C305)&gt;0, "ECAC","NO ECAC"), "")</f>
        <v/>
      </c>
    </row>
    <row r="306" ht="14.25" customHeight="1">
      <c r="A306" s="1" t="s">
        <v>676</v>
      </c>
      <c r="B306" s="1" t="s">
        <v>40</v>
      </c>
      <c r="C306" s="1" t="s">
        <v>21</v>
      </c>
      <c r="D306" s="1" t="s">
        <v>504</v>
      </c>
      <c r="E306" s="1" t="s">
        <v>505</v>
      </c>
      <c r="F306" s="1">
        <v>380.0</v>
      </c>
      <c r="G306" s="5">
        <v>0.3854166666666667</v>
      </c>
      <c r="H306" s="1">
        <v>20.0</v>
      </c>
      <c r="I306" s="5">
        <v>0.5347222222222222</v>
      </c>
      <c r="J306" s="1" t="str">
        <f t="array" ref="J306">XLOOKUP(B306,cat!B:B,cat!C:C)</f>
        <v>D</v>
      </c>
      <c r="K306" s="1">
        <f t="array" ref="K306">XLOOKUP(B306,cat!B:B,cat!D:D)</f>
        <v>186</v>
      </c>
      <c r="L306" s="7">
        <f t="shared" si="1"/>
        <v>0.1493055556</v>
      </c>
      <c r="M306" s="1" t="str">
        <f t="shared" si="2"/>
        <v/>
      </c>
      <c r="P306" s="9"/>
      <c r="Q306" s="9">
        <f t="shared" si="3"/>
        <v>0</v>
      </c>
      <c r="R306" s="1" t="str">
        <f t="shared" si="4"/>
        <v>NSZ</v>
      </c>
      <c r="S306" s="1" t="str">
        <f>IF($D306="LEBL", IF(COUNTIF('Paises ECAC'!B:B, C306)&gt;0, "ECAC","NO ECAC"), "")</f>
        <v/>
      </c>
    </row>
    <row r="307" ht="14.25" customHeight="1">
      <c r="A307" s="1" t="s">
        <v>677</v>
      </c>
      <c r="B307" s="1" t="s">
        <v>19</v>
      </c>
      <c r="C307" s="1" t="s">
        <v>678</v>
      </c>
      <c r="D307" s="1" t="s">
        <v>21</v>
      </c>
      <c r="E307" s="1" t="s">
        <v>679</v>
      </c>
      <c r="F307" s="1">
        <v>380.0</v>
      </c>
      <c r="G307" s="5">
        <v>0.32083333333333336</v>
      </c>
      <c r="H307" s="1">
        <v>12.0</v>
      </c>
      <c r="I307" s="5">
        <v>0.3854166666666667</v>
      </c>
      <c r="J307" s="1" t="str">
        <f t="array" ref="J307">XLOOKUP(B307,cat!B:B,cat!C:C)</f>
        <v>D</v>
      </c>
      <c r="K307" s="1">
        <f t="array" ref="K307">XLOOKUP(B307,cat!B:B,cat!D:D)</f>
        <v>184</v>
      </c>
      <c r="L307" s="7">
        <f t="shared" si="1"/>
        <v>0.06458333333</v>
      </c>
      <c r="M307" s="7">
        <f t="shared" si="2"/>
        <v>0.04354166667</v>
      </c>
      <c r="P307" s="9"/>
      <c r="Q307" s="9">
        <f t="shared" si="3"/>
        <v>867.35</v>
      </c>
      <c r="R307" s="1" t="str">
        <f t="shared" si="4"/>
        <v>RYR</v>
      </c>
      <c r="S307" s="1" t="str">
        <f>IF($D307="LEBL", IF(COUNTIF('Paises ECAC'!B:B, C307)&gt;0, "ECAC","NO ECAC"), "")</f>
        <v>ECAC</v>
      </c>
    </row>
    <row r="308" ht="14.25" customHeight="1">
      <c r="A308" s="1" t="s">
        <v>680</v>
      </c>
      <c r="B308" s="1" t="s">
        <v>681</v>
      </c>
      <c r="C308" s="1" t="s">
        <v>682</v>
      </c>
      <c r="D308" s="1" t="s">
        <v>21</v>
      </c>
      <c r="E308" s="1" t="s">
        <v>683</v>
      </c>
      <c r="F308" s="1">
        <v>270.0</v>
      </c>
      <c r="G308" s="5">
        <v>0.3347222222222222</v>
      </c>
      <c r="H308" s="1">
        <v>12.0</v>
      </c>
      <c r="I308" s="5">
        <v>0.3854166666666667</v>
      </c>
      <c r="J308" s="1" t="str">
        <f t="array" ref="J308">XLOOKUP(B308,cat!B:B,cat!C:C)</f>
        <v>E</v>
      </c>
      <c r="K308" s="1">
        <f t="array" ref="K308">XLOOKUP(B308,cat!B:B,cat!D:D)</f>
        <v>15</v>
      </c>
      <c r="L308" s="7">
        <f t="shared" si="1"/>
        <v>0.05069444444</v>
      </c>
      <c r="M308" s="7">
        <f t="shared" si="2"/>
        <v>0.02965277778</v>
      </c>
      <c r="P308" s="9"/>
      <c r="Q308" s="9">
        <f t="shared" si="3"/>
        <v>320.25</v>
      </c>
      <c r="R308" s="1" t="str">
        <f t="shared" si="4"/>
        <v>QQE</v>
      </c>
      <c r="S308" s="1" t="str">
        <f>IF($D308="LEBL", IF(COUNTIF('Paises ECAC'!B:B, C308)&gt;0, "ECAC","NO ECAC"), "")</f>
        <v>ECAC</v>
      </c>
    </row>
    <row r="309" ht="14.25" customHeight="1">
      <c r="A309" s="1" t="s">
        <v>684</v>
      </c>
      <c r="B309" s="1" t="s">
        <v>40</v>
      </c>
      <c r="C309" s="1" t="s">
        <v>21</v>
      </c>
      <c r="D309" s="1" t="s">
        <v>524</v>
      </c>
      <c r="E309" s="1" t="s">
        <v>525</v>
      </c>
      <c r="F309" s="1">
        <v>360.0</v>
      </c>
      <c r="G309" s="5">
        <v>0.38819444444444445</v>
      </c>
      <c r="H309" s="1">
        <v>20.0</v>
      </c>
      <c r="I309" s="5">
        <v>0.4826388888888889</v>
      </c>
      <c r="J309" s="1" t="str">
        <f t="array" ref="J309">XLOOKUP(B309,cat!B:B,cat!C:C)</f>
        <v>D</v>
      </c>
      <c r="K309" s="1">
        <f t="array" ref="K309">XLOOKUP(B309,cat!B:B,cat!D:D)</f>
        <v>186</v>
      </c>
      <c r="L309" s="7">
        <f t="shared" si="1"/>
        <v>0.09444444444</v>
      </c>
      <c r="M309" s="1" t="str">
        <f t="shared" si="2"/>
        <v/>
      </c>
      <c r="P309" s="9"/>
      <c r="Q309" s="9">
        <f t="shared" si="3"/>
        <v>0</v>
      </c>
      <c r="R309" s="1" t="str">
        <f t="shared" si="4"/>
        <v>RYR</v>
      </c>
      <c r="S309" s="1" t="str">
        <f>IF($D309="LEBL", IF(COUNTIF('Paises ECAC'!B:B, C309)&gt;0, "ECAC","NO ECAC"), "")</f>
        <v/>
      </c>
    </row>
    <row r="310" ht="14.25" customHeight="1">
      <c r="A310" s="1" t="s">
        <v>685</v>
      </c>
      <c r="B310" s="1" t="s">
        <v>19</v>
      </c>
      <c r="C310" s="1" t="s">
        <v>156</v>
      </c>
      <c r="D310" s="1" t="s">
        <v>21</v>
      </c>
      <c r="E310" s="1" t="s">
        <v>313</v>
      </c>
      <c r="F310" s="1">
        <v>180.0</v>
      </c>
      <c r="G310" s="5">
        <v>0.3576388888888889</v>
      </c>
      <c r="H310" s="1">
        <v>17.0</v>
      </c>
      <c r="I310" s="5">
        <v>0.3854166666666667</v>
      </c>
      <c r="J310" s="1" t="str">
        <f t="array" ref="J310">XLOOKUP(B310,cat!B:B,cat!C:C)</f>
        <v>D</v>
      </c>
      <c r="K310" s="1">
        <f t="array" ref="K310">XLOOKUP(B310,cat!B:B,cat!D:D)</f>
        <v>184</v>
      </c>
      <c r="L310" s="7">
        <f t="shared" si="1"/>
        <v>0.02777777778</v>
      </c>
      <c r="M310" s="7">
        <f t="shared" si="2"/>
        <v>0.003263888889</v>
      </c>
      <c r="P310" s="9"/>
      <c r="Q310" s="9">
        <f t="shared" si="3"/>
        <v>65.01666667</v>
      </c>
      <c r="R310" s="1" t="str">
        <f t="shared" si="4"/>
        <v>AEA</v>
      </c>
      <c r="S310" s="1" t="str">
        <f>IF($D310="LEBL", IF(COUNTIF('Paises ECAC'!B:B, C310)&gt;0, "ECAC","NO ECAC"), "")</f>
        <v>ECAC</v>
      </c>
    </row>
    <row r="311" ht="14.25" customHeight="1">
      <c r="A311" s="1" t="s">
        <v>686</v>
      </c>
      <c r="B311" s="1" t="s">
        <v>19</v>
      </c>
      <c r="C311" s="1" t="s">
        <v>581</v>
      </c>
      <c r="D311" s="1" t="s">
        <v>21</v>
      </c>
      <c r="E311" s="1" t="s">
        <v>687</v>
      </c>
      <c r="F311" s="1">
        <v>390.0</v>
      </c>
      <c r="G311" s="5">
        <v>0.31180555555555556</v>
      </c>
      <c r="H311" s="1">
        <v>18.0</v>
      </c>
      <c r="I311" s="5">
        <v>0.3854166666666667</v>
      </c>
      <c r="J311" s="1" t="str">
        <f t="array" ref="J311">XLOOKUP(B311,cat!B:B,cat!C:C)</f>
        <v>D</v>
      </c>
      <c r="K311" s="1">
        <f t="array" ref="K311">XLOOKUP(B311,cat!B:B,cat!D:D)</f>
        <v>184</v>
      </c>
      <c r="L311" s="7">
        <f t="shared" si="1"/>
        <v>0.07361111111</v>
      </c>
      <c r="M311" s="7">
        <f t="shared" si="2"/>
        <v>0.04840277778</v>
      </c>
      <c r="P311" s="9"/>
      <c r="Q311" s="9">
        <f t="shared" si="3"/>
        <v>964.1833333</v>
      </c>
      <c r="R311" s="1" t="str">
        <f t="shared" si="4"/>
        <v>EXS</v>
      </c>
      <c r="S311" s="1" t="str">
        <f>IF($D311="LEBL", IF(COUNTIF('Paises ECAC'!B:B, C311)&gt;0, "ECAC","NO ECAC"), "")</f>
        <v>ECAC</v>
      </c>
    </row>
    <row r="312" ht="14.25" customHeight="1">
      <c r="A312" s="1" t="s">
        <v>688</v>
      </c>
      <c r="B312" s="1" t="s">
        <v>40</v>
      </c>
      <c r="C312" s="1" t="s">
        <v>119</v>
      </c>
      <c r="D312" s="1" t="s">
        <v>21</v>
      </c>
      <c r="E312" s="1" t="s">
        <v>120</v>
      </c>
      <c r="F312" s="1">
        <v>390.0</v>
      </c>
      <c r="G312" s="5">
        <v>0.3020833333333333</v>
      </c>
      <c r="H312" s="1">
        <v>10.0</v>
      </c>
      <c r="I312" s="5">
        <v>0.3888888888888889</v>
      </c>
      <c r="J312" s="1" t="str">
        <f t="array" ref="J312">XLOOKUP(B312,cat!B:B,cat!C:C)</f>
        <v>D</v>
      </c>
      <c r="K312" s="1">
        <f t="array" ref="K312">XLOOKUP(B312,cat!B:B,cat!D:D)</f>
        <v>186</v>
      </c>
      <c r="L312" s="7">
        <f t="shared" si="1"/>
        <v>0.08680555556</v>
      </c>
      <c r="M312" s="7">
        <f t="shared" si="2"/>
        <v>0.06715277778</v>
      </c>
      <c r="P312" s="9"/>
      <c r="Q312" s="9">
        <f t="shared" si="3"/>
        <v>1337.683333</v>
      </c>
      <c r="R312" s="1" t="str">
        <f t="shared" si="4"/>
        <v>RYR</v>
      </c>
      <c r="S312" s="1" t="str">
        <f>IF($D312="LEBL", IF(COUNTIF('Paises ECAC'!B:B, C312)&gt;0, "ECAC","NO ECAC"), "")</f>
        <v>ECAC</v>
      </c>
    </row>
    <row r="313" ht="14.25" customHeight="1">
      <c r="A313" s="1" t="s">
        <v>689</v>
      </c>
      <c r="B313" s="1" t="s">
        <v>19</v>
      </c>
      <c r="C313" s="1" t="s">
        <v>21</v>
      </c>
      <c r="D313" s="1" t="s">
        <v>690</v>
      </c>
      <c r="E313" s="1" t="s">
        <v>691</v>
      </c>
      <c r="F313" s="1">
        <v>380.0</v>
      </c>
      <c r="G313" s="5">
        <v>0.3902777777777778</v>
      </c>
      <c r="H313" s="1">
        <v>17.0</v>
      </c>
      <c r="I313" s="5">
        <v>0.4756944444444444</v>
      </c>
      <c r="J313" s="1" t="str">
        <f t="array" ref="J313">XLOOKUP(B313,cat!B:B,cat!C:C)</f>
        <v>D</v>
      </c>
      <c r="K313" s="1">
        <f t="array" ref="K313">XLOOKUP(B313,cat!B:B,cat!D:D)</f>
        <v>184</v>
      </c>
      <c r="L313" s="7">
        <f t="shared" si="1"/>
        <v>0.08541666667</v>
      </c>
      <c r="M313" s="1" t="str">
        <f t="shared" si="2"/>
        <v/>
      </c>
      <c r="P313" s="9"/>
      <c r="Q313" s="9">
        <f t="shared" si="3"/>
        <v>0</v>
      </c>
      <c r="R313" s="1" t="str">
        <f t="shared" si="4"/>
        <v>ABR</v>
      </c>
      <c r="S313" s="1" t="str">
        <f>IF($D313="LEBL", IF(COUNTIF('Paises ECAC'!B:B, C313)&gt;0, "ECAC","NO ECAC"), "")</f>
        <v/>
      </c>
    </row>
    <row r="314" ht="14.25" customHeight="1">
      <c r="A314" s="1" t="s">
        <v>692</v>
      </c>
      <c r="B314" s="1" t="s">
        <v>30</v>
      </c>
      <c r="C314" s="1" t="s">
        <v>20</v>
      </c>
      <c r="D314" s="1" t="s">
        <v>21</v>
      </c>
      <c r="E314" s="1" t="s">
        <v>202</v>
      </c>
      <c r="F314" s="1">
        <v>320.0</v>
      </c>
      <c r="G314" s="5">
        <v>0.3347222222222222</v>
      </c>
      <c r="H314" s="1">
        <v>10.0</v>
      </c>
      <c r="I314" s="5">
        <v>0.3888888888888889</v>
      </c>
      <c r="J314" s="1" t="str">
        <f t="array" ref="J314">XLOOKUP(B314,cat!B:B,cat!C:C)</f>
        <v>D</v>
      </c>
      <c r="K314" s="1">
        <f t="array" ref="K314">XLOOKUP(B314,cat!B:B,cat!D:D)</f>
        <v>173</v>
      </c>
      <c r="L314" s="7">
        <f t="shared" si="1"/>
        <v>0.05416666667</v>
      </c>
      <c r="M314" s="7">
        <f t="shared" si="2"/>
        <v>0.03451388889</v>
      </c>
      <c r="P314" s="9"/>
      <c r="Q314" s="9">
        <f t="shared" si="3"/>
        <v>687.5166667</v>
      </c>
      <c r="R314" s="1" t="str">
        <f t="shared" si="4"/>
        <v>VLG</v>
      </c>
      <c r="S314" s="1" t="str">
        <f>IF($D314="LEBL", IF(COUNTIF('Paises ECAC'!B:B, C314)&gt;0, "ECAC","NO ECAC"), "")</f>
        <v>ECAC</v>
      </c>
    </row>
    <row r="315" ht="14.25" customHeight="1">
      <c r="A315" s="1" t="s">
        <v>693</v>
      </c>
      <c r="B315" s="1" t="s">
        <v>182</v>
      </c>
      <c r="C315" s="1" t="s">
        <v>21</v>
      </c>
      <c r="D315" s="1" t="s">
        <v>384</v>
      </c>
      <c r="E315" s="1" t="s">
        <v>385</v>
      </c>
      <c r="F315" s="1">
        <v>400.0</v>
      </c>
      <c r="G315" s="5">
        <v>0.39166666666666666</v>
      </c>
      <c r="H315" s="1">
        <v>14.0</v>
      </c>
      <c r="I315" s="5">
        <v>0.6979166666666666</v>
      </c>
      <c r="J315" s="1" t="str">
        <f t="array" ref="J315">XLOOKUP(B315,cat!B:B,cat!C:C)</f>
        <v>B</v>
      </c>
      <c r="K315" s="1">
        <f t="array" ref="K315">XLOOKUP(B315,cat!B:B,cat!D:D)</f>
        <v>284</v>
      </c>
      <c r="L315" s="7">
        <f t="shared" si="1"/>
        <v>0.30625</v>
      </c>
      <c r="M315" s="1" t="str">
        <f t="shared" si="2"/>
        <v/>
      </c>
      <c r="P315" s="9"/>
      <c r="Q315" s="9">
        <f t="shared" si="3"/>
        <v>0</v>
      </c>
      <c r="R315" s="1" t="str">
        <f t="shared" si="4"/>
        <v>UAL</v>
      </c>
      <c r="S315" s="1" t="str">
        <f>IF($D315="LEBL", IF(COUNTIF('Paises ECAC'!B:B, C315)&gt;0, "ECAC","NO ECAC"), "")</f>
        <v/>
      </c>
    </row>
    <row r="316" ht="14.25" customHeight="1">
      <c r="A316" s="1" t="s">
        <v>694</v>
      </c>
      <c r="B316" s="1" t="s">
        <v>30</v>
      </c>
      <c r="C316" s="1" t="s">
        <v>74</v>
      </c>
      <c r="D316" s="1" t="s">
        <v>21</v>
      </c>
      <c r="E316" s="1" t="s">
        <v>285</v>
      </c>
      <c r="F316" s="1">
        <v>370.0</v>
      </c>
      <c r="G316" s="5">
        <v>0.3416666666666667</v>
      </c>
      <c r="H316" s="1">
        <v>13.0</v>
      </c>
      <c r="I316" s="5">
        <v>0.3888888888888889</v>
      </c>
      <c r="J316" s="1" t="str">
        <f t="array" ref="J316">XLOOKUP(B316,cat!B:B,cat!C:C)</f>
        <v>D</v>
      </c>
      <c r="K316" s="1">
        <f t="array" ref="K316">XLOOKUP(B316,cat!B:B,cat!D:D)</f>
        <v>173</v>
      </c>
      <c r="L316" s="7">
        <f t="shared" si="1"/>
        <v>0.04722222222</v>
      </c>
      <c r="M316" s="7">
        <f t="shared" si="2"/>
        <v>0.02548611111</v>
      </c>
      <c r="P316" s="9"/>
      <c r="Q316" s="9">
        <f t="shared" si="3"/>
        <v>507.6833333</v>
      </c>
      <c r="R316" s="1" t="str">
        <f t="shared" si="4"/>
        <v>VLG</v>
      </c>
      <c r="S316" s="1" t="str">
        <f>IF($D316="LEBL", IF(COUNTIF('Paises ECAC'!B:B, C316)&gt;0, "ECAC","NO ECAC"), "")</f>
        <v>ECAC</v>
      </c>
    </row>
    <row r="317" ht="14.25" customHeight="1">
      <c r="A317" s="1" t="s">
        <v>695</v>
      </c>
      <c r="B317" s="1" t="s">
        <v>30</v>
      </c>
      <c r="C317" s="1" t="s">
        <v>199</v>
      </c>
      <c r="D317" s="1" t="s">
        <v>21</v>
      </c>
      <c r="E317" s="1" t="s">
        <v>696</v>
      </c>
      <c r="F317" s="1">
        <v>390.0</v>
      </c>
      <c r="G317" s="5">
        <v>0.3277777777777778</v>
      </c>
      <c r="H317" s="1">
        <v>12.0</v>
      </c>
      <c r="I317" s="5">
        <v>0.3888888888888889</v>
      </c>
      <c r="J317" s="1" t="str">
        <f t="array" ref="J317">XLOOKUP(B317,cat!B:B,cat!C:C)</f>
        <v>D</v>
      </c>
      <c r="K317" s="1">
        <f t="array" ref="K317">XLOOKUP(B317,cat!B:B,cat!D:D)</f>
        <v>173</v>
      </c>
      <c r="L317" s="7">
        <f t="shared" si="1"/>
        <v>0.06111111111</v>
      </c>
      <c r="M317" s="7">
        <f t="shared" si="2"/>
        <v>0.04006944444</v>
      </c>
      <c r="P317" s="9"/>
      <c r="Q317" s="9">
        <f t="shared" si="3"/>
        <v>798.1833333</v>
      </c>
      <c r="R317" s="1" t="str">
        <f t="shared" si="4"/>
        <v>BEL</v>
      </c>
      <c r="S317" s="1" t="str">
        <f>IF($D317="LEBL", IF(COUNTIF('Paises ECAC'!B:B, C317)&gt;0, "ECAC","NO ECAC"), "")</f>
        <v>ECAC</v>
      </c>
    </row>
    <row r="318" ht="14.25" customHeight="1">
      <c r="A318" s="1" t="s">
        <v>697</v>
      </c>
      <c r="B318" s="1" t="s">
        <v>443</v>
      </c>
      <c r="C318" s="1" t="s">
        <v>21</v>
      </c>
      <c r="D318" s="1" t="s">
        <v>169</v>
      </c>
      <c r="E318" s="1" t="s">
        <v>558</v>
      </c>
      <c r="F318" s="1">
        <v>340.0</v>
      </c>
      <c r="G318" s="5">
        <v>0.3923611111111111</v>
      </c>
      <c r="H318" s="1">
        <v>10.0</v>
      </c>
      <c r="I318" s="5">
        <v>0.4652777777777778</v>
      </c>
      <c r="J318" s="1" t="str">
        <f t="array" ref="J318">XLOOKUP(B318,cat!B:B,cat!C:C)</f>
        <v>D</v>
      </c>
      <c r="K318" s="1">
        <f t="array" ref="K318">XLOOKUP(B318,cat!B:B,cat!D:D)</f>
        <v>183</v>
      </c>
      <c r="L318" s="7">
        <f t="shared" si="1"/>
        <v>0.07291666667</v>
      </c>
      <c r="M318" s="1" t="str">
        <f t="shared" si="2"/>
        <v/>
      </c>
      <c r="P318" s="9"/>
      <c r="Q318" s="9">
        <f t="shared" si="3"/>
        <v>0</v>
      </c>
      <c r="R318" s="1" t="str">
        <f t="shared" si="4"/>
        <v>KLM</v>
      </c>
      <c r="S318" s="1" t="str">
        <f>IF($D318="LEBL", IF(COUNTIF('Paises ECAC'!B:B, C318)&gt;0, "ECAC","NO ECAC"), "")</f>
        <v/>
      </c>
    </row>
    <row r="319" ht="14.25" customHeight="1">
      <c r="A319" s="1" t="s">
        <v>698</v>
      </c>
      <c r="B319" s="1" t="s">
        <v>19</v>
      </c>
      <c r="C319" s="1" t="s">
        <v>21</v>
      </c>
      <c r="D319" s="1" t="s">
        <v>541</v>
      </c>
      <c r="E319" s="1" t="s">
        <v>111</v>
      </c>
      <c r="F319" s="1">
        <v>340.0</v>
      </c>
      <c r="G319" s="5">
        <v>0.3888888888888889</v>
      </c>
      <c r="H319" s="1">
        <v>20.0</v>
      </c>
      <c r="I319" s="5">
        <v>0.4722222222222222</v>
      </c>
      <c r="J319" s="1" t="str">
        <f t="array" ref="J319">XLOOKUP(B319,cat!B:B,cat!C:C)</f>
        <v>D</v>
      </c>
      <c r="K319" s="1">
        <f t="array" ref="K319">XLOOKUP(B319,cat!B:B,cat!D:D)</f>
        <v>184</v>
      </c>
      <c r="L319" s="7">
        <f t="shared" si="1"/>
        <v>0.08333333333</v>
      </c>
      <c r="M319" s="1" t="str">
        <f t="shared" si="2"/>
        <v/>
      </c>
      <c r="P319" s="9"/>
      <c r="Q319" s="9">
        <f t="shared" si="3"/>
        <v>0</v>
      </c>
      <c r="R319" s="1" t="str">
        <f t="shared" si="4"/>
        <v>RYR</v>
      </c>
      <c r="S319" s="1" t="str">
        <f>IF($D319="LEBL", IF(COUNTIF('Paises ECAC'!B:B, C319)&gt;0, "ECAC","NO ECAC"), "")</f>
        <v/>
      </c>
    </row>
    <row r="320" ht="14.25" customHeight="1">
      <c r="A320" s="1" t="s">
        <v>699</v>
      </c>
      <c r="B320" s="1" t="s">
        <v>25</v>
      </c>
      <c r="C320" s="1" t="s">
        <v>21</v>
      </c>
      <c r="D320" s="1" t="s">
        <v>700</v>
      </c>
      <c r="E320" s="1" t="s">
        <v>64</v>
      </c>
      <c r="F320" s="1">
        <v>310.0</v>
      </c>
      <c r="G320" s="5">
        <v>0.39375</v>
      </c>
      <c r="H320" s="1">
        <v>10.0</v>
      </c>
      <c r="I320" s="5">
        <v>0.4513888888888889</v>
      </c>
      <c r="J320" s="1" t="str">
        <f t="array" ref="J320">XLOOKUP(B320,cat!B:B,cat!C:C)</f>
        <v>D</v>
      </c>
      <c r="K320" s="1">
        <f t="array" ref="K320">XLOOKUP(B320,cat!B:B,cat!D:D)</f>
        <v>180</v>
      </c>
      <c r="L320" s="7">
        <f t="shared" si="1"/>
        <v>0.05763888889</v>
      </c>
      <c r="M320" s="1" t="str">
        <f t="shared" si="2"/>
        <v/>
      </c>
      <c r="P320" s="9"/>
      <c r="Q320" s="9">
        <f t="shared" si="3"/>
        <v>0</v>
      </c>
      <c r="R320" s="1" t="str">
        <f t="shared" si="4"/>
        <v>VLG</v>
      </c>
      <c r="S320" s="1" t="str">
        <f>IF($D320="LEBL", IF(COUNTIF('Paises ECAC'!B:B, C320)&gt;0, "ECAC","NO ECAC"), "")</f>
        <v/>
      </c>
    </row>
    <row r="321" ht="14.25" customHeight="1">
      <c r="A321" s="1" t="s">
        <v>701</v>
      </c>
      <c r="B321" s="1" t="s">
        <v>35</v>
      </c>
      <c r="C321" s="1" t="s">
        <v>199</v>
      </c>
      <c r="D321" s="1" t="s">
        <v>21</v>
      </c>
      <c r="E321" s="1" t="s">
        <v>200</v>
      </c>
      <c r="F321" s="1">
        <v>370.0</v>
      </c>
      <c r="G321" s="5">
        <v>0.33055555555555555</v>
      </c>
      <c r="H321" s="1">
        <v>11.0</v>
      </c>
      <c r="I321" s="5">
        <v>0.3923611111111111</v>
      </c>
      <c r="J321" s="1" t="str">
        <f t="array" ref="J321">XLOOKUP(B321,cat!B:B,cat!C:C)</f>
        <v>D</v>
      </c>
      <c r="K321" s="1">
        <f t="array" ref="K321">XLOOKUP(B321,cat!B:B,cat!D:D)</f>
        <v>207</v>
      </c>
      <c r="L321" s="7">
        <f t="shared" si="1"/>
        <v>0.06180555556</v>
      </c>
      <c r="M321" s="7">
        <f t="shared" si="2"/>
        <v>0.04145833333</v>
      </c>
      <c r="P321" s="9"/>
      <c r="Q321" s="9">
        <f t="shared" si="3"/>
        <v>825.85</v>
      </c>
      <c r="R321" s="1" t="str">
        <f t="shared" si="4"/>
        <v>VLG</v>
      </c>
      <c r="S321" s="1" t="str">
        <f>IF($D321="LEBL", IF(COUNTIF('Paises ECAC'!B:B, C321)&gt;0, "ECAC","NO ECAC"), "")</f>
        <v>ECAC</v>
      </c>
    </row>
    <row r="322" ht="14.25" customHeight="1">
      <c r="A322" s="1" t="s">
        <v>702</v>
      </c>
      <c r="B322" s="1" t="s">
        <v>136</v>
      </c>
      <c r="C322" s="1" t="s">
        <v>21</v>
      </c>
      <c r="D322" s="1" t="s">
        <v>369</v>
      </c>
      <c r="E322" s="1" t="s">
        <v>311</v>
      </c>
      <c r="F322" s="1">
        <v>340.0</v>
      </c>
      <c r="G322" s="5">
        <v>0.39375</v>
      </c>
      <c r="H322" s="1">
        <v>12.0</v>
      </c>
      <c r="I322" s="5">
        <v>0.4479166666666667</v>
      </c>
      <c r="J322" s="1" t="str">
        <f t="array" ref="J322">XLOOKUP(B322,cat!B:B,cat!C:C)</f>
        <v>D</v>
      </c>
      <c r="K322" s="1">
        <f t="array" ref="K322">XLOOKUP(B322,cat!B:B,cat!D:D)</f>
        <v>144</v>
      </c>
      <c r="L322" s="7">
        <f t="shared" si="1"/>
        <v>0.05416666667</v>
      </c>
      <c r="M322" s="1" t="str">
        <f t="shared" si="2"/>
        <v/>
      </c>
      <c r="P322" s="9"/>
      <c r="Q322" s="9">
        <f t="shared" si="3"/>
        <v>0</v>
      </c>
      <c r="R322" s="1" t="str">
        <f t="shared" si="4"/>
        <v>VLG</v>
      </c>
      <c r="S322" s="1" t="str">
        <f>IF($D322="LEBL", IF(COUNTIF('Paises ECAC'!B:B, C322)&gt;0, "ECAC","NO ECAC"), "")</f>
        <v/>
      </c>
    </row>
    <row r="323" ht="14.25" customHeight="1">
      <c r="A323" s="1" t="s">
        <v>703</v>
      </c>
      <c r="B323" s="1" t="s">
        <v>30</v>
      </c>
      <c r="C323" s="1" t="s">
        <v>21</v>
      </c>
      <c r="D323" s="1" t="s">
        <v>178</v>
      </c>
      <c r="E323" s="1" t="s">
        <v>404</v>
      </c>
      <c r="F323" s="1">
        <v>380.0</v>
      </c>
      <c r="G323" s="5">
        <v>0.38958333333333334</v>
      </c>
      <c r="H323" s="1">
        <v>11.0</v>
      </c>
      <c r="I323" s="5">
        <v>0.46875</v>
      </c>
      <c r="J323" s="1" t="str">
        <f t="array" ref="J323">XLOOKUP(B323,cat!B:B,cat!C:C)</f>
        <v>D</v>
      </c>
      <c r="K323" s="1">
        <f t="array" ref="K323">XLOOKUP(B323,cat!B:B,cat!D:D)</f>
        <v>173</v>
      </c>
      <c r="L323" s="7">
        <f t="shared" si="1"/>
        <v>0.07916666667</v>
      </c>
      <c r="M323" s="1" t="str">
        <f t="shared" si="2"/>
        <v/>
      </c>
      <c r="P323" s="9"/>
      <c r="Q323" s="9">
        <f t="shared" si="3"/>
        <v>0</v>
      </c>
      <c r="R323" s="1" t="str">
        <f t="shared" si="4"/>
        <v>VLG</v>
      </c>
      <c r="S323" s="1" t="str">
        <f>IF($D323="LEBL", IF(COUNTIF('Paises ECAC'!B:B, C323)&gt;0, "ECAC","NO ECAC"), "")</f>
        <v/>
      </c>
    </row>
    <row r="324" ht="14.25" customHeight="1">
      <c r="A324" s="1" t="s">
        <v>704</v>
      </c>
      <c r="B324" s="1" t="s">
        <v>30</v>
      </c>
      <c r="C324" s="1" t="s">
        <v>21</v>
      </c>
      <c r="D324" s="1" t="s">
        <v>301</v>
      </c>
      <c r="E324" s="1" t="s">
        <v>83</v>
      </c>
      <c r="F324" s="1">
        <v>370.0</v>
      </c>
      <c r="G324" s="5">
        <v>0.3923611111111111</v>
      </c>
      <c r="H324" s="1">
        <v>11.0</v>
      </c>
      <c r="I324" s="5">
        <v>0.5138888888888888</v>
      </c>
      <c r="J324" s="1" t="str">
        <f t="array" ref="J324">XLOOKUP(B324,cat!B:B,cat!C:C)</f>
        <v>D</v>
      </c>
      <c r="K324" s="1">
        <f t="array" ref="K324">XLOOKUP(B324,cat!B:B,cat!D:D)</f>
        <v>173</v>
      </c>
      <c r="L324" s="7">
        <f t="shared" si="1"/>
        <v>0.1215277778</v>
      </c>
      <c r="M324" s="1" t="str">
        <f t="shared" si="2"/>
        <v/>
      </c>
      <c r="P324" s="9"/>
      <c r="Q324" s="9">
        <f t="shared" si="3"/>
        <v>0</v>
      </c>
      <c r="R324" s="1" t="str">
        <f t="shared" si="4"/>
        <v>VLG</v>
      </c>
      <c r="S324" s="1" t="str">
        <f>IF($D324="LEBL", IF(COUNTIF('Paises ECAC'!B:B, C324)&gt;0, "ECAC","NO ECAC"), "")</f>
        <v/>
      </c>
    </row>
    <row r="325" ht="14.25" customHeight="1">
      <c r="A325" s="1" t="s">
        <v>705</v>
      </c>
      <c r="B325" s="1" t="s">
        <v>35</v>
      </c>
      <c r="C325" s="1" t="s">
        <v>227</v>
      </c>
      <c r="D325" s="1" t="s">
        <v>21</v>
      </c>
      <c r="E325" s="1" t="s">
        <v>706</v>
      </c>
      <c r="F325" s="1">
        <v>370.0</v>
      </c>
      <c r="G325" s="5">
        <v>0.33611111111111114</v>
      </c>
      <c r="H325" s="1">
        <v>14.0</v>
      </c>
      <c r="I325" s="5">
        <v>0.3958333333333333</v>
      </c>
      <c r="J325" s="1" t="str">
        <f t="array" ref="J325">XLOOKUP(B325,cat!B:B,cat!C:C)</f>
        <v>D</v>
      </c>
      <c r="K325" s="1">
        <f t="array" ref="K325">XLOOKUP(B325,cat!B:B,cat!D:D)</f>
        <v>207</v>
      </c>
      <c r="L325" s="7">
        <f t="shared" si="1"/>
        <v>0.05972222222</v>
      </c>
      <c r="M325" s="7">
        <f t="shared" si="2"/>
        <v>0.03729166667</v>
      </c>
      <c r="P325" s="9"/>
      <c r="Q325" s="9">
        <f t="shared" si="3"/>
        <v>742.85</v>
      </c>
      <c r="R325" s="1" t="str">
        <f t="shared" si="4"/>
        <v>DLH</v>
      </c>
      <c r="S325" s="1" t="str">
        <f>IF($D325="LEBL", IF(COUNTIF('Paises ECAC'!B:B, C325)&gt;0, "ECAC","NO ECAC"), "")</f>
        <v>ECAC</v>
      </c>
    </row>
    <row r="326" ht="14.25" customHeight="1">
      <c r="A326" s="1" t="s">
        <v>707</v>
      </c>
      <c r="B326" s="1" t="s">
        <v>35</v>
      </c>
      <c r="C326" s="1" t="s">
        <v>298</v>
      </c>
      <c r="D326" s="1" t="s">
        <v>21</v>
      </c>
      <c r="E326" s="1" t="s">
        <v>299</v>
      </c>
      <c r="F326" s="1">
        <v>320.0</v>
      </c>
      <c r="G326" s="5">
        <v>0.34097222222222223</v>
      </c>
      <c r="H326" s="1">
        <v>6.0</v>
      </c>
      <c r="I326" s="5">
        <v>0.3958333333333333</v>
      </c>
      <c r="J326" s="1" t="str">
        <f t="array" ref="J326">XLOOKUP(B326,cat!B:B,cat!C:C)</f>
        <v>D</v>
      </c>
      <c r="K326" s="1">
        <f t="array" ref="K326">XLOOKUP(B326,cat!B:B,cat!D:D)</f>
        <v>207</v>
      </c>
      <c r="L326" s="7">
        <f t="shared" si="1"/>
        <v>0.05486111111</v>
      </c>
      <c r="M326" s="7">
        <f t="shared" si="2"/>
        <v>0.03798611111</v>
      </c>
      <c r="P326" s="9"/>
      <c r="Q326" s="9">
        <f t="shared" si="3"/>
        <v>756.6833333</v>
      </c>
      <c r="R326" s="1" t="str">
        <f t="shared" si="4"/>
        <v>VLG</v>
      </c>
      <c r="S326" s="1" t="str">
        <f>IF($D326="LEBL", IF(COUNTIF('Paises ECAC'!B:B, C326)&gt;0, "ECAC","NO ECAC"), "")</f>
        <v>NO ECAC</v>
      </c>
    </row>
    <row r="327" ht="14.25" customHeight="1">
      <c r="A327" s="1" t="s">
        <v>708</v>
      </c>
      <c r="B327" s="1" t="s">
        <v>30</v>
      </c>
      <c r="C327" s="1" t="s">
        <v>21</v>
      </c>
      <c r="D327" s="1" t="s">
        <v>137</v>
      </c>
      <c r="E327" s="1" t="s">
        <v>154</v>
      </c>
      <c r="F327" s="1">
        <v>320.0</v>
      </c>
      <c r="G327" s="5">
        <v>0.39444444444444443</v>
      </c>
      <c r="H327" s="1">
        <v>10.0</v>
      </c>
      <c r="I327" s="5">
        <v>0.4479166666666667</v>
      </c>
      <c r="J327" s="1" t="str">
        <f t="array" ref="J327">XLOOKUP(B327,cat!B:B,cat!C:C)</f>
        <v>D</v>
      </c>
      <c r="K327" s="1">
        <f t="array" ref="K327">XLOOKUP(B327,cat!B:B,cat!D:D)</f>
        <v>173</v>
      </c>
      <c r="L327" s="7">
        <f t="shared" si="1"/>
        <v>0.05347222222</v>
      </c>
      <c r="M327" s="1" t="str">
        <f t="shared" si="2"/>
        <v/>
      </c>
      <c r="P327" s="9"/>
      <c r="Q327" s="9">
        <f t="shared" si="3"/>
        <v>0</v>
      </c>
      <c r="R327" s="1" t="str">
        <f t="shared" si="4"/>
        <v>VLG</v>
      </c>
      <c r="S327" s="1" t="str">
        <f>IF($D327="LEBL", IF(COUNTIF('Paises ECAC'!B:B, C327)&gt;0, "ECAC","NO ECAC"), "")</f>
        <v/>
      </c>
    </row>
    <row r="328" ht="14.25" customHeight="1">
      <c r="A328" s="1" t="s">
        <v>709</v>
      </c>
      <c r="B328" s="1" t="s">
        <v>19</v>
      </c>
      <c r="C328" s="1" t="s">
        <v>21</v>
      </c>
      <c r="D328" s="1" t="s">
        <v>282</v>
      </c>
      <c r="E328" s="1" t="s">
        <v>101</v>
      </c>
      <c r="F328" s="1">
        <v>250.0</v>
      </c>
      <c r="G328" s="5">
        <v>0.3972222222222222</v>
      </c>
      <c r="H328" s="1">
        <v>20.0</v>
      </c>
      <c r="I328" s="5">
        <v>0.4270833333333333</v>
      </c>
      <c r="J328" s="1" t="str">
        <f t="array" ref="J328">XLOOKUP(B328,cat!B:B,cat!C:C)</f>
        <v>D</v>
      </c>
      <c r="K328" s="1">
        <f t="array" ref="K328">XLOOKUP(B328,cat!B:B,cat!D:D)</f>
        <v>184</v>
      </c>
      <c r="L328" s="7">
        <f t="shared" si="1"/>
        <v>0.02986111111</v>
      </c>
      <c r="M328" s="1" t="str">
        <f t="shared" si="2"/>
        <v/>
      </c>
      <c r="P328" s="9"/>
      <c r="Q328" s="9">
        <f t="shared" si="3"/>
        <v>0</v>
      </c>
      <c r="R328" s="1" t="str">
        <f t="shared" si="4"/>
        <v>RYR</v>
      </c>
      <c r="S328" s="1" t="str">
        <f>IF($D328="LEBL", IF(COUNTIF('Paises ECAC'!B:B, C328)&gt;0, "ECAC","NO ECAC"), "")</f>
        <v/>
      </c>
    </row>
    <row r="329" ht="14.25" customHeight="1">
      <c r="A329" s="1" t="s">
        <v>710</v>
      </c>
      <c r="B329" s="1" t="s">
        <v>57</v>
      </c>
      <c r="C329" s="1" t="s">
        <v>196</v>
      </c>
      <c r="D329" s="1" t="s">
        <v>21</v>
      </c>
      <c r="E329" s="1" t="s">
        <v>711</v>
      </c>
      <c r="F329" s="1">
        <v>410.0</v>
      </c>
      <c r="G329" s="5">
        <v>0.13819444444444445</v>
      </c>
      <c r="H329" s="1">
        <v>19.0</v>
      </c>
      <c r="I329" s="5">
        <v>0.3958333333333333</v>
      </c>
      <c r="J329" s="1" t="str">
        <f t="array" ref="J329">XLOOKUP(B329,cat!B:B,cat!C:C)</f>
        <v>B</v>
      </c>
      <c r="K329" s="1">
        <f t="array" ref="K329">XLOOKUP(B329,cat!B:B,cat!D:D)</f>
        <v>281</v>
      </c>
      <c r="L329" s="7">
        <f t="shared" si="1"/>
        <v>0.2576388889</v>
      </c>
      <c r="M329" s="7">
        <f t="shared" si="2"/>
        <v>0.2317361111</v>
      </c>
      <c r="P329" s="9"/>
      <c r="Q329" s="9">
        <f t="shared" si="3"/>
        <v>5005.5</v>
      </c>
      <c r="R329" s="1" t="str">
        <f t="shared" si="4"/>
        <v>IBE</v>
      </c>
      <c r="S329" s="1" t="str">
        <f>IF($D329="LEBL", IF(COUNTIF('Paises ECAC'!B:B, C329)&gt;0, "ECAC","NO ECAC"), "")</f>
        <v>NO ECAC</v>
      </c>
    </row>
    <row r="330" ht="14.25" customHeight="1">
      <c r="A330" s="1" t="s">
        <v>712</v>
      </c>
      <c r="B330" s="1" t="s">
        <v>443</v>
      </c>
      <c r="C330" s="1" t="s">
        <v>21</v>
      </c>
      <c r="D330" s="1" t="s">
        <v>444</v>
      </c>
      <c r="E330" s="1" t="s">
        <v>445</v>
      </c>
      <c r="F330" s="1">
        <v>350.0</v>
      </c>
      <c r="G330" s="5">
        <v>0.39652777777777776</v>
      </c>
      <c r="H330" s="1">
        <v>13.0</v>
      </c>
      <c r="I330" s="5">
        <v>0.5520833333333334</v>
      </c>
      <c r="J330" s="1" t="str">
        <f t="array" ref="J330">XLOOKUP(B330,cat!B:B,cat!C:C)</f>
        <v>D</v>
      </c>
      <c r="K330" s="1">
        <f t="array" ref="K330">XLOOKUP(B330,cat!B:B,cat!D:D)</f>
        <v>183</v>
      </c>
      <c r="L330" s="7">
        <f t="shared" si="1"/>
        <v>0.1555555556</v>
      </c>
      <c r="M330" s="1" t="str">
        <f t="shared" si="2"/>
        <v/>
      </c>
      <c r="P330" s="9"/>
      <c r="Q330" s="9">
        <f t="shared" si="3"/>
        <v>0</v>
      </c>
      <c r="R330" s="1" t="str">
        <f t="shared" si="4"/>
        <v>ELY</v>
      </c>
      <c r="S330" s="1" t="str">
        <f>IF($D330="LEBL", IF(COUNTIF('Paises ECAC'!B:B, C330)&gt;0, "ECAC","NO ECAC"), "")</f>
        <v/>
      </c>
    </row>
    <row r="331" ht="14.25" customHeight="1">
      <c r="A331" s="1" t="s">
        <v>713</v>
      </c>
      <c r="B331" s="1" t="s">
        <v>25</v>
      </c>
      <c r="C331" s="1" t="s">
        <v>21</v>
      </c>
      <c r="D331" s="1" t="s">
        <v>714</v>
      </c>
      <c r="E331" s="1" t="s">
        <v>362</v>
      </c>
      <c r="F331" s="1">
        <v>340.0</v>
      </c>
      <c r="G331" s="5">
        <v>0.39861111111111114</v>
      </c>
      <c r="H331" s="1">
        <v>10.0</v>
      </c>
      <c r="I331" s="5">
        <v>0.4305555555555556</v>
      </c>
      <c r="J331" s="1" t="str">
        <f t="array" ref="J331">XLOOKUP(B331,cat!B:B,cat!C:C)</f>
        <v>D</v>
      </c>
      <c r="K331" s="1">
        <f t="array" ref="K331">XLOOKUP(B331,cat!B:B,cat!D:D)</f>
        <v>180</v>
      </c>
      <c r="L331" s="7">
        <f t="shared" si="1"/>
        <v>0.03194444444</v>
      </c>
      <c r="M331" s="1" t="str">
        <f t="shared" si="2"/>
        <v/>
      </c>
      <c r="P331" s="9"/>
      <c r="Q331" s="9">
        <f t="shared" si="3"/>
        <v>0</v>
      </c>
      <c r="R331" s="1" t="str">
        <f t="shared" si="4"/>
        <v>VLG</v>
      </c>
      <c r="S331" s="1" t="str">
        <f>IF($D331="LEBL", IF(COUNTIF('Paises ECAC'!B:B, C331)&gt;0, "ECAC","NO ECAC"), "")</f>
        <v/>
      </c>
    </row>
    <row r="332" ht="14.25" customHeight="1">
      <c r="A332" s="1" t="s">
        <v>715</v>
      </c>
      <c r="B332" s="1" t="s">
        <v>30</v>
      </c>
      <c r="C332" s="1" t="s">
        <v>267</v>
      </c>
      <c r="D332" s="1" t="s">
        <v>21</v>
      </c>
      <c r="E332" s="1" t="s">
        <v>86</v>
      </c>
      <c r="F332" s="1">
        <v>370.0</v>
      </c>
      <c r="G332" s="5">
        <v>0.34444444444444444</v>
      </c>
      <c r="H332" s="1">
        <v>11.0</v>
      </c>
      <c r="I332" s="5">
        <v>0.3993055555555556</v>
      </c>
      <c r="J332" s="1" t="str">
        <f t="array" ref="J332">XLOOKUP(B332,cat!B:B,cat!C:C)</f>
        <v>D</v>
      </c>
      <c r="K332" s="1">
        <f t="array" ref="K332">XLOOKUP(B332,cat!B:B,cat!D:D)</f>
        <v>173</v>
      </c>
      <c r="L332" s="7">
        <f t="shared" si="1"/>
        <v>0.05486111111</v>
      </c>
      <c r="M332" s="7">
        <f t="shared" si="2"/>
        <v>0.03451388889</v>
      </c>
      <c r="P332" s="9"/>
      <c r="Q332" s="9">
        <f t="shared" si="3"/>
        <v>687.5166667</v>
      </c>
      <c r="R332" s="1" t="str">
        <f t="shared" si="4"/>
        <v>VLG</v>
      </c>
      <c r="S332" s="1" t="str">
        <f>IF($D332="LEBL", IF(COUNTIF('Paises ECAC'!B:B, C332)&gt;0, "ECAC","NO ECAC"), "")</f>
        <v>ECAC</v>
      </c>
    </row>
    <row r="333" ht="14.25" customHeight="1">
      <c r="A333" s="1" t="s">
        <v>716</v>
      </c>
      <c r="B333" s="1" t="s">
        <v>19</v>
      </c>
      <c r="C333" s="1" t="s">
        <v>21</v>
      </c>
      <c r="D333" s="1" t="s">
        <v>140</v>
      </c>
      <c r="E333" s="1" t="s">
        <v>146</v>
      </c>
      <c r="F333" s="1">
        <v>340.0</v>
      </c>
      <c r="G333" s="5">
        <v>0.40208333333333335</v>
      </c>
      <c r="H333" s="1">
        <v>20.0</v>
      </c>
      <c r="I333" s="5">
        <v>0.4548611111111111</v>
      </c>
      <c r="J333" s="1" t="str">
        <f t="array" ref="J333">XLOOKUP(B333,cat!B:B,cat!C:C)</f>
        <v>D</v>
      </c>
      <c r="K333" s="1">
        <f t="array" ref="K333">XLOOKUP(B333,cat!B:B,cat!D:D)</f>
        <v>184</v>
      </c>
      <c r="L333" s="7">
        <f t="shared" si="1"/>
        <v>0.05277777778</v>
      </c>
      <c r="M333" s="1" t="str">
        <f t="shared" si="2"/>
        <v/>
      </c>
      <c r="P333" s="9"/>
      <c r="Q333" s="9">
        <f t="shared" si="3"/>
        <v>0</v>
      </c>
      <c r="R333" s="1" t="str">
        <f t="shared" si="4"/>
        <v>RYR</v>
      </c>
      <c r="S333" s="1" t="str">
        <f>IF($D333="LEBL", IF(COUNTIF('Paises ECAC'!B:B, C333)&gt;0, "ECAC","NO ECAC"), "")</f>
        <v/>
      </c>
    </row>
    <row r="334" ht="14.25" customHeight="1">
      <c r="A334" s="1" t="s">
        <v>717</v>
      </c>
      <c r="B334" s="1" t="s">
        <v>25</v>
      </c>
      <c r="C334" s="1" t="s">
        <v>74</v>
      </c>
      <c r="D334" s="1" t="s">
        <v>21</v>
      </c>
      <c r="E334" s="1" t="s">
        <v>718</v>
      </c>
      <c r="F334" s="1">
        <v>370.0</v>
      </c>
      <c r="G334" s="5">
        <v>0.3416666666666667</v>
      </c>
      <c r="H334" s="1">
        <v>7.0</v>
      </c>
      <c r="I334" s="5">
        <v>0.3993055555555556</v>
      </c>
      <c r="J334" s="1" t="str">
        <f t="array" ref="J334">XLOOKUP(B334,cat!B:B,cat!C:C)</f>
        <v>D</v>
      </c>
      <c r="K334" s="1">
        <f t="array" ref="K334">XLOOKUP(B334,cat!B:B,cat!D:D)</f>
        <v>180</v>
      </c>
      <c r="L334" s="7">
        <f t="shared" si="1"/>
        <v>0.05763888889</v>
      </c>
      <c r="M334" s="7">
        <f t="shared" si="2"/>
        <v>0.04006944444</v>
      </c>
      <c r="P334" s="9"/>
      <c r="Q334" s="9">
        <f t="shared" si="3"/>
        <v>798.1833333</v>
      </c>
      <c r="R334" s="1" t="str">
        <f t="shared" si="4"/>
        <v>TVF</v>
      </c>
      <c r="S334" s="1" t="str">
        <f>IF($D334="LEBL", IF(COUNTIF('Paises ECAC'!B:B, C334)&gt;0, "ECAC","NO ECAC"), "")</f>
        <v>ECAC</v>
      </c>
    </row>
    <row r="335" ht="14.25" customHeight="1">
      <c r="A335" s="1" t="s">
        <v>409</v>
      </c>
      <c r="B335" s="1" t="s">
        <v>410</v>
      </c>
      <c r="C335" s="1" t="s">
        <v>21</v>
      </c>
      <c r="D335" s="1" t="s">
        <v>719</v>
      </c>
      <c r="E335" s="1" t="s">
        <v>412</v>
      </c>
      <c r="F335" s="1">
        <v>380.0</v>
      </c>
      <c r="G335" s="5">
        <v>0.3902777777777778</v>
      </c>
      <c r="H335" s="1">
        <v>17.0</v>
      </c>
      <c r="I335" s="5">
        <v>0.8645833333333334</v>
      </c>
      <c r="J335" s="1" t="str">
        <f t="array" ref="J335">XLOOKUP(B335,cat!B:B,cat!C:C)</f>
        <v>B</v>
      </c>
      <c r="K335" s="1">
        <f t="array" ref="K335">XLOOKUP(B335,cat!B:B,cat!D:D)</f>
        <v>302</v>
      </c>
      <c r="L335" s="7">
        <f t="shared" si="1"/>
        <v>0.4743055556</v>
      </c>
      <c r="M335" s="1" t="str">
        <f t="shared" si="2"/>
        <v/>
      </c>
      <c r="P335" s="9"/>
      <c r="Q335" s="9">
        <f t="shared" si="3"/>
        <v>0</v>
      </c>
      <c r="R335" s="1" t="str">
        <f t="shared" si="4"/>
        <v>UAE</v>
      </c>
      <c r="S335" s="1" t="str">
        <f>IF($D335="LEBL", IF(COUNTIF('Paises ECAC'!B:B, C335)&gt;0, "ECAC","NO ECAC"), "")</f>
        <v/>
      </c>
    </row>
    <row r="336" ht="14.25" customHeight="1">
      <c r="A336" s="1" t="s">
        <v>720</v>
      </c>
      <c r="B336" s="1" t="s">
        <v>30</v>
      </c>
      <c r="C336" s="1" t="s">
        <v>21</v>
      </c>
      <c r="D336" s="1" t="s">
        <v>584</v>
      </c>
      <c r="E336" s="1" t="s">
        <v>585</v>
      </c>
      <c r="F336" s="1">
        <v>361.0</v>
      </c>
      <c r="G336" s="5">
        <v>0.4027777777777778</v>
      </c>
      <c r="H336" s="1">
        <v>20.0</v>
      </c>
      <c r="I336" s="5">
        <v>0.4965277777777778</v>
      </c>
      <c r="J336" s="1" t="str">
        <f t="array" ref="J336">XLOOKUP(B336,cat!B:B,cat!C:C)</f>
        <v>D</v>
      </c>
      <c r="K336" s="1">
        <f t="array" ref="K336">XLOOKUP(B336,cat!B:B,cat!D:D)</f>
        <v>173</v>
      </c>
      <c r="L336" s="7">
        <f t="shared" si="1"/>
        <v>0.09375</v>
      </c>
      <c r="M336" s="1" t="str">
        <f t="shared" si="2"/>
        <v/>
      </c>
      <c r="P336" s="9"/>
      <c r="Q336" s="9">
        <f t="shared" si="3"/>
        <v>0</v>
      </c>
      <c r="R336" s="1" t="str">
        <f t="shared" si="4"/>
        <v>EZY</v>
      </c>
      <c r="S336" s="1" t="str">
        <f>IF($D336="LEBL", IF(COUNTIF('Paises ECAC'!B:B, C336)&gt;0, "ECAC","NO ECAC"), "")</f>
        <v/>
      </c>
    </row>
    <row r="337" ht="14.25" customHeight="1">
      <c r="A337" s="1" t="s">
        <v>721</v>
      </c>
      <c r="B337" s="1" t="s">
        <v>19</v>
      </c>
      <c r="C337" s="1" t="s">
        <v>21</v>
      </c>
      <c r="D337" s="1" t="s">
        <v>527</v>
      </c>
      <c r="E337" s="1" t="s">
        <v>556</v>
      </c>
      <c r="F337" s="1">
        <v>320.0</v>
      </c>
      <c r="G337" s="5">
        <v>0.40069444444444446</v>
      </c>
      <c r="H337" s="1">
        <v>20.0</v>
      </c>
      <c r="I337" s="5">
        <v>0.4861111111111111</v>
      </c>
      <c r="J337" s="1" t="str">
        <f t="array" ref="J337">XLOOKUP(B337,cat!B:B,cat!C:C)</f>
        <v>D</v>
      </c>
      <c r="K337" s="1">
        <f t="array" ref="K337">XLOOKUP(B337,cat!B:B,cat!D:D)</f>
        <v>184</v>
      </c>
      <c r="L337" s="7">
        <f t="shared" si="1"/>
        <v>0.08541666667</v>
      </c>
      <c r="M337" s="1" t="str">
        <f t="shared" si="2"/>
        <v/>
      </c>
      <c r="P337" s="9"/>
      <c r="Q337" s="9">
        <f t="shared" si="3"/>
        <v>0</v>
      </c>
      <c r="R337" s="1" t="str">
        <f t="shared" si="4"/>
        <v>EXS</v>
      </c>
      <c r="S337" s="1" t="str">
        <f>IF($D337="LEBL", IF(COUNTIF('Paises ECAC'!B:B, C337)&gt;0, "ECAC","NO ECAC"), "")</f>
        <v/>
      </c>
    </row>
    <row r="338" ht="14.25" customHeight="1">
      <c r="A338" s="1" t="s">
        <v>722</v>
      </c>
      <c r="B338" s="1" t="s">
        <v>35</v>
      </c>
      <c r="C338" s="1" t="s">
        <v>271</v>
      </c>
      <c r="D338" s="1" t="s">
        <v>21</v>
      </c>
      <c r="E338" s="1" t="s">
        <v>272</v>
      </c>
      <c r="F338" s="1">
        <v>340.0</v>
      </c>
      <c r="G338" s="5">
        <v>0.34305555555555556</v>
      </c>
      <c r="H338" s="1">
        <v>9.0</v>
      </c>
      <c r="I338" s="5">
        <v>0.4027777777777778</v>
      </c>
      <c r="J338" s="1" t="str">
        <f t="array" ref="J338">XLOOKUP(B338,cat!B:B,cat!C:C)</f>
        <v>D</v>
      </c>
      <c r="K338" s="1">
        <f t="array" ref="K338">XLOOKUP(B338,cat!B:B,cat!D:D)</f>
        <v>207</v>
      </c>
      <c r="L338" s="7">
        <f t="shared" si="1"/>
        <v>0.05972222222</v>
      </c>
      <c r="M338" s="7">
        <f t="shared" si="2"/>
        <v>0.04076388889</v>
      </c>
      <c r="P338" s="9"/>
      <c r="Q338" s="9">
        <f t="shared" si="3"/>
        <v>812.0166667</v>
      </c>
      <c r="R338" s="1" t="str">
        <f t="shared" si="4"/>
        <v>VLG</v>
      </c>
      <c r="S338" s="1" t="str">
        <f>IF($D338="LEBL", IF(COUNTIF('Paises ECAC'!B:B, C338)&gt;0, "ECAC","NO ECAC"), "")</f>
        <v>ECAC</v>
      </c>
    </row>
    <row r="339" ht="14.25" customHeight="1">
      <c r="A339" s="1" t="s">
        <v>723</v>
      </c>
      <c r="B339" s="1" t="s">
        <v>25</v>
      </c>
      <c r="C339" s="1" t="s">
        <v>21</v>
      </c>
      <c r="D339" s="1" t="s">
        <v>74</v>
      </c>
      <c r="E339" s="1" t="s">
        <v>225</v>
      </c>
      <c r="F339" s="1">
        <v>340.0</v>
      </c>
      <c r="G339" s="5">
        <v>0.40347222222222223</v>
      </c>
      <c r="H339" s="1">
        <v>11.0</v>
      </c>
      <c r="I339" s="5">
        <v>0.4583333333333333</v>
      </c>
      <c r="J339" s="1" t="str">
        <f t="array" ref="J339">XLOOKUP(B339,cat!B:B,cat!C:C)</f>
        <v>D</v>
      </c>
      <c r="K339" s="1">
        <f t="array" ref="K339">XLOOKUP(B339,cat!B:B,cat!D:D)</f>
        <v>180</v>
      </c>
      <c r="L339" s="7">
        <f t="shared" si="1"/>
        <v>0.05486111111</v>
      </c>
      <c r="M339" s="1" t="str">
        <f t="shared" si="2"/>
        <v/>
      </c>
      <c r="P339" s="9"/>
      <c r="Q339" s="9">
        <f t="shared" si="3"/>
        <v>0</v>
      </c>
      <c r="R339" s="1" t="str">
        <f t="shared" si="4"/>
        <v>VLG</v>
      </c>
      <c r="S339" s="1" t="str">
        <f>IF($D339="LEBL", IF(COUNTIF('Paises ECAC'!B:B, C339)&gt;0, "ECAC","NO ECAC"), "")</f>
        <v/>
      </c>
    </row>
    <row r="340" ht="14.25" customHeight="1">
      <c r="A340" s="1" t="s">
        <v>724</v>
      </c>
      <c r="B340" s="1" t="s">
        <v>576</v>
      </c>
      <c r="C340" s="1" t="s">
        <v>133</v>
      </c>
      <c r="D340" s="1" t="s">
        <v>21</v>
      </c>
      <c r="E340" s="1" t="s">
        <v>725</v>
      </c>
      <c r="F340" s="1">
        <v>390.0</v>
      </c>
      <c r="G340" s="5">
        <v>0.10069444444444445</v>
      </c>
      <c r="H340" s="1">
        <v>30.0</v>
      </c>
      <c r="I340" s="5">
        <v>0.40625</v>
      </c>
      <c r="J340" s="1" t="str">
        <f t="array" ref="J340">XLOOKUP(B340,cat!B:B,cat!C:C)</f>
        <v>B</v>
      </c>
      <c r="K340" s="1">
        <f t="array" ref="K340">XLOOKUP(B340,cat!B:B,cat!D:D)</f>
        <v>284</v>
      </c>
      <c r="L340" s="7">
        <f t="shared" si="1"/>
        <v>0.3055555556</v>
      </c>
      <c r="M340" s="7">
        <f t="shared" si="2"/>
        <v>0.2720138889</v>
      </c>
      <c r="P340" s="9"/>
      <c r="Q340" s="9">
        <f t="shared" si="3"/>
        <v>5875.5</v>
      </c>
      <c r="R340" s="1" t="str">
        <f t="shared" si="4"/>
        <v>DAL</v>
      </c>
      <c r="S340" s="1" t="str">
        <f>IF($D340="LEBL", IF(COUNTIF('Paises ECAC'!B:B, C340)&gt;0, "ECAC","NO ECAC"), "")</f>
        <v>NO ECAC</v>
      </c>
    </row>
    <row r="341" ht="14.25" customHeight="1">
      <c r="A341" s="1" t="s">
        <v>726</v>
      </c>
      <c r="B341" s="1" t="s">
        <v>19</v>
      </c>
      <c r="C341" s="1" t="s">
        <v>21</v>
      </c>
      <c r="D341" s="1" t="s">
        <v>240</v>
      </c>
      <c r="E341" s="1" t="s">
        <v>568</v>
      </c>
      <c r="F341" s="1">
        <v>390.0</v>
      </c>
      <c r="G341" s="5">
        <v>0.40625</v>
      </c>
      <c r="H341" s="1">
        <v>20.0</v>
      </c>
      <c r="I341" s="5">
        <v>0.5381944444444444</v>
      </c>
      <c r="J341" s="1" t="str">
        <f t="array" ref="J341">XLOOKUP(B341,cat!B:B,cat!C:C)</f>
        <v>D</v>
      </c>
      <c r="K341" s="1">
        <f t="array" ref="K341">XLOOKUP(B341,cat!B:B,cat!D:D)</f>
        <v>184</v>
      </c>
      <c r="L341" s="7">
        <f t="shared" si="1"/>
        <v>0.1319444444</v>
      </c>
      <c r="M341" s="1" t="str">
        <f t="shared" si="2"/>
        <v/>
      </c>
      <c r="P341" s="9"/>
      <c r="Q341" s="9">
        <f t="shared" si="3"/>
        <v>0</v>
      </c>
      <c r="R341" s="1" t="str">
        <f t="shared" si="4"/>
        <v>NSZ</v>
      </c>
      <c r="S341" s="1" t="str">
        <f>IF($D341="LEBL", IF(COUNTIF('Paises ECAC'!B:B, C341)&gt;0, "ECAC","NO ECAC"), "")</f>
        <v/>
      </c>
    </row>
    <row r="342" ht="14.25" customHeight="1">
      <c r="A342" s="1" t="s">
        <v>727</v>
      </c>
      <c r="B342" s="1" t="s">
        <v>30</v>
      </c>
      <c r="C342" s="1" t="s">
        <v>21</v>
      </c>
      <c r="D342" s="1" t="s">
        <v>322</v>
      </c>
      <c r="E342" s="1" t="s">
        <v>259</v>
      </c>
      <c r="F342" s="1">
        <v>330.0</v>
      </c>
      <c r="G342" s="5">
        <v>0.4076388888888889</v>
      </c>
      <c r="H342" s="1">
        <v>12.0</v>
      </c>
      <c r="I342" s="5">
        <v>0.4548611111111111</v>
      </c>
      <c r="J342" s="1" t="str">
        <f t="array" ref="J342">XLOOKUP(B342,cat!B:B,cat!C:C)</f>
        <v>D</v>
      </c>
      <c r="K342" s="1">
        <f t="array" ref="K342">XLOOKUP(B342,cat!B:B,cat!D:D)</f>
        <v>173</v>
      </c>
      <c r="L342" s="7">
        <f t="shared" si="1"/>
        <v>0.04722222222</v>
      </c>
      <c r="M342" s="1" t="str">
        <f t="shared" si="2"/>
        <v/>
      </c>
      <c r="P342" s="9"/>
      <c r="Q342" s="9">
        <f t="shared" si="3"/>
        <v>0</v>
      </c>
      <c r="R342" s="1" t="str">
        <f t="shared" si="4"/>
        <v>VLG</v>
      </c>
      <c r="S342" s="1" t="str">
        <f>IF($D342="LEBL", IF(COUNTIF('Paises ECAC'!B:B, C342)&gt;0, "ECAC","NO ECAC"), "")</f>
        <v/>
      </c>
    </row>
    <row r="343" ht="14.25" customHeight="1">
      <c r="A343" s="1" t="s">
        <v>728</v>
      </c>
      <c r="B343" s="1" t="s">
        <v>136</v>
      </c>
      <c r="C343" s="1" t="s">
        <v>21</v>
      </c>
      <c r="D343" s="1" t="s">
        <v>221</v>
      </c>
      <c r="E343" s="1" t="s">
        <v>619</v>
      </c>
      <c r="F343" s="1">
        <v>340.0</v>
      </c>
      <c r="G343" s="5">
        <v>0.4</v>
      </c>
      <c r="H343" s="1">
        <v>21.0</v>
      </c>
      <c r="I343" s="5">
        <v>0.4861111111111111</v>
      </c>
      <c r="J343" s="1" t="str">
        <f t="array" ref="J343">XLOOKUP(B343,cat!B:B,cat!C:C)</f>
        <v>D</v>
      </c>
      <c r="K343" s="1">
        <f t="array" ref="K343">XLOOKUP(B343,cat!B:B,cat!D:D)</f>
        <v>144</v>
      </c>
      <c r="L343" s="7">
        <f t="shared" si="1"/>
        <v>0.08611111111</v>
      </c>
      <c r="M343" s="1" t="str">
        <f t="shared" si="2"/>
        <v/>
      </c>
      <c r="P343" s="9"/>
      <c r="Q343" s="9">
        <f t="shared" si="3"/>
        <v>0</v>
      </c>
      <c r="R343" s="1" t="str">
        <f t="shared" si="4"/>
        <v>EZY</v>
      </c>
      <c r="S343" s="1" t="str">
        <f>IF($D343="LEBL", IF(COUNTIF('Paises ECAC'!B:B, C343)&gt;0, "ECAC","NO ECAC"), "")</f>
        <v/>
      </c>
    </row>
    <row r="344" ht="14.25" customHeight="1">
      <c r="A344" s="1" t="s">
        <v>729</v>
      </c>
      <c r="B344" s="1" t="s">
        <v>30</v>
      </c>
      <c r="C344" s="1" t="s">
        <v>329</v>
      </c>
      <c r="D344" s="1" t="s">
        <v>21</v>
      </c>
      <c r="E344" s="1" t="s">
        <v>330</v>
      </c>
      <c r="F344" s="1">
        <v>320.0</v>
      </c>
      <c r="G344" s="5">
        <v>0.34375</v>
      </c>
      <c r="H344" s="1">
        <v>15.0</v>
      </c>
      <c r="I344" s="5">
        <v>0.40625</v>
      </c>
      <c r="J344" s="1" t="str">
        <f t="array" ref="J344">XLOOKUP(B344,cat!B:B,cat!C:C)</f>
        <v>D</v>
      </c>
      <c r="K344" s="1">
        <f t="array" ref="K344">XLOOKUP(B344,cat!B:B,cat!D:D)</f>
        <v>173</v>
      </c>
      <c r="L344" s="7">
        <f t="shared" si="1"/>
        <v>0.0625</v>
      </c>
      <c r="M344" s="7">
        <f t="shared" si="2"/>
        <v>0.039375</v>
      </c>
      <c r="P344" s="9"/>
      <c r="Q344" s="9">
        <f t="shared" si="3"/>
        <v>784.35</v>
      </c>
      <c r="R344" s="1" t="str">
        <f t="shared" si="4"/>
        <v>VLG</v>
      </c>
      <c r="S344" s="1" t="str">
        <f>IF($D344="LEBL", IF(COUNTIF('Paises ECAC'!B:B, C344)&gt;0, "ECAC","NO ECAC"), "")</f>
        <v>ECAC</v>
      </c>
    </row>
    <row r="345" ht="14.25" customHeight="1">
      <c r="A345" s="1" t="s">
        <v>730</v>
      </c>
      <c r="B345" s="1" t="s">
        <v>30</v>
      </c>
      <c r="C345" s="1" t="s">
        <v>21</v>
      </c>
      <c r="D345" s="1" t="s">
        <v>731</v>
      </c>
      <c r="E345" s="1" t="s">
        <v>598</v>
      </c>
      <c r="F345" s="1">
        <v>380.0</v>
      </c>
      <c r="G345" s="5">
        <v>0.40694444444444444</v>
      </c>
      <c r="H345" s="1">
        <v>11.0</v>
      </c>
      <c r="I345" s="5">
        <v>0.4791666666666667</v>
      </c>
      <c r="J345" s="1" t="str">
        <f t="array" ref="J345">XLOOKUP(B345,cat!B:B,cat!C:C)</f>
        <v>D</v>
      </c>
      <c r="K345" s="1">
        <f t="array" ref="K345">XLOOKUP(B345,cat!B:B,cat!D:D)</f>
        <v>173</v>
      </c>
      <c r="L345" s="7">
        <f t="shared" si="1"/>
        <v>0.07222222222</v>
      </c>
      <c r="M345" s="1" t="str">
        <f t="shared" si="2"/>
        <v/>
      </c>
      <c r="P345" s="9"/>
      <c r="Q345" s="9">
        <f t="shared" si="3"/>
        <v>0</v>
      </c>
      <c r="R345" s="1" t="str">
        <f t="shared" si="4"/>
        <v>VLG</v>
      </c>
      <c r="S345" s="1" t="str">
        <f>IF($D345="LEBL", IF(COUNTIF('Paises ECAC'!B:B, C345)&gt;0, "ECAC","NO ECAC"), "")</f>
        <v/>
      </c>
    </row>
    <row r="346" ht="14.25" customHeight="1">
      <c r="A346" s="1" t="s">
        <v>732</v>
      </c>
      <c r="B346" s="1" t="s">
        <v>35</v>
      </c>
      <c r="C346" s="1" t="s">
        <v>178</v>
      </c>
      <c r="D346" s="1" t="s">
        <v>21</v>
      </c>
      <c r="E346" s="1" t="s">
        <v>37</v>
      </c>
      <c r="F346" s="1">
        <v>340.0</v>
      </c>
      <c r="G346" s="5">
        <v>0.3326388888888889</v>
      </c>
      <c r="H346" s="1">
        <v>9.0</v>
      </c>
      <c r="I346" s="5">
        <v>0.4097222222222222</v>
      </c>
      <c r="J346" s="1" t="str">
        <f t="array" ref="J346">XLOOKUP(B346,cat!B:B,cat!C:C)</f>
        <v>D</v>
      </c>
      <c r="K346" s="1">
        <f t="array" ref="K346">XLOOKUP(B346,cat!B:B,cat!D:D)</f>
        <v>207</v>
      </c>
      <c r="L346" s="7">
        <f t="shared" si="1"/>
        <v>0.07708333333</v>
      </c>
      <c r="M346" s="7">
        <f t="shared" si="2"/>
        <v>0.058125</v>
      </c>
      <c r="P346" s="9"/>
      <c r="Q346" s="9">
        <f t="shared" si="3"/>
        <v>1157.85</v>
      </c>
      <c r="R346" s="1" t="str">
        <f t="shared" si="4"/>
        <v>VLG</v>
      </c>
      <c r="S346" s="1" t="str">
        <f>IF($D346="LEBL", IF(COUNTIF('Paises ECAC'!B:B, C346)&gt;0, "ECAC","NO ECAC"), "")</f>
        <v>ECAC</v>
      </c>
    </row>
    <row r="347" ht="14.25" customHeight="1">
      <c r="A347" s="1" t="s">
        <v>733</v>
      </c>
      <c r="B347" s="1" t="s">
        <v>136</v>
      </c>
      <c r="C347" s="1" t="s">
        <v>369</v>
      </c>
      <c r="D347" s="1" t="s">
        <v>21</v>
      </c>
      <c r="E347" s="1" t="s">
        <v>370</v>
      </c>
      <c r="F347" s="1">
        <v>350.0</v>
      </c>
      <c r="G347" s="5">
        <v>0.3576388888888889</v>
      </c>
      <c r="H347" s="1">
        <v>20.0</v>
      </c>
      <c r="I347" s="5">
        <v>0.4097222222222222</v>
      </c>
      <c r="J347" s="1" t="str">
        <f t="array" ref="J347">XLOOKUP(B347,cat!B:B,cat!C:C)</f>
        <v>D</v>
      </c>
      <c r="K347" s="1">
        <f t="array" ref="K347">XLOOKUP(B347,cat!B:B,cat!D:D)</f>
        <v>144</v>
      </c>
      <c r="L347" s="7">
        <f t="shared" si="1"/>
        <v>0.05208333333</v>
      </c>
      <c r="M347" s="7">
        <f t="shared" si="2"/>
        <v>0.02548611111</v>
      </c>
      <c r="P347" s="9"/>
      <c r="Q347" s="9">
        <f t="shared" si="3"/>
        <v>507.6833333</v>
      </c>
      <c r="R347" s="1" t="str">
        <f t="shared" si="4"/>
        <v>VLG</v>
      </c>
      <c r="S347" s="1" t="str">
        <f>IF($D347="LEBL", IF(COUNTIF('Paises ECAC'!B:B, C347)&gt;0, "ECAC","NO ECAC"), "")</f>
        <v>ECAC</v>
      </c>
    </row>
    <row r="348" ht="14.25" customHeight="1">
      <c r="A348" s="1" t="s">
        <v>734</v>
      </c>
      <c r="B348" s="1" t="s">
        <v>25</v>
      </c>
      <c r="C348" s="1" t="s">
        <v>21</v>
      </c>
      <c r="D348" s="1" t="s">
        <v>41</v>
      </c>
      <c r="E348" s="1" t="s">
        <v>550</v>
      </c>
      <c r="F348" s="1">
        <v>360.0</v>
      </c>
      <c r="G348" s="5">
        <v>0.4131944444444444</v>
      </c>
      <c r="H348" s="1">
        <v>21.0</v>
      </c>
      <c r="I348" s="5">
        <v>0.4965277777777778</v>
      </c>
      <c r="J348" s="1" t="str">
        <f t="array" ref="J348">XLOOKUP(B348,cat!B:B,cat!C:C)</f>
        <v>D</v>
      </c>
      <c r="K348" s="1">
        <f t="array" ref="K348">XLOOKUP(B348,cat!B:B,cat!D:D)</f>
        <v>180</v>
      </c>
      <c r="L348" s="7">
        <f t="shared" si="1"/>
        <v>0.08333333333</v>
      </c>
      <c r="M348" s="1" t="str">
        <f t="shared" si="2"/>
        <v/>
      </c>
      <c r="P348" s="9"/>
      <c r="Q348" s="9">
        <f t="shared" si="3"/>
        <v>0</v>
      </c>
      <c r="R348" s="1" t="str">
        <f t="shared" si="4"/>
        <v>EIN</v>
      </c>
      <c r="S348" s="1" t="str">
        <f>IF($D348="LEBL", IF(COUNTIF('Paises ECAC'!B:B, C348)&gt;0, "ECAC","NO ECAC"), "")</f>
        <v/>
      </c>
    </row>
    <row r="349" ht="14.25" customHeight="1">
      <c r="A349" s="1" t="s">
        <v>735</v>
      </c>
      <c r="B349" s="1" t="s">
        <v>19</v>
      </c>
      <c r="C349" s="1" t="s">
        <v>199</v>
      </c>
      <c r="D349" s="1" t="s">
        <v>21</v>
      </c>
      <c r="E349" s="1" t="s">
        <v>22</v>
      </c>
      <c r="F349" s="1">
        <v>370.0</v>
      </c>
      <c r="G349" s="5">
        <v>0.34652777777777777</v>
      </c>
      <c r="H349" s="1">
        <v>13.0</v>
      </c>
      <c r="I349" s="5">
        <v>0.4097222222222222</v>
      </c>
      <c r="J349" s="1" t="str">
        <f t="array" ref="J349">XLOOKUP(B349,cat!B:B,cat!C:C)</f>
        <v>D</v>
      </c>
      <c r="K349" s="1">
        <f t="array" ref="K349">XLOOKUP(B349,cat!B:B,cat!D:D)</f>
        <v>184</v>
      </c>
      <c r="L349" s="7">
        <f t="shared" si="1"/>
        <v>0.06319444444</v>
      </c>
      <c r="M349" s="7">
        <f t="shared" si="2"/>
        <v>0.04145833333</v>
      </c>
      <c r="P349" s="9"/>
      <c r="Q349" s="9">
        <f t="shared" si="3"/>
        <v>825.85</v>
      </c>
      <c r="R349" s="1" t="str">
        <f t="shared" si="4"/>
        <v>RYR</v>
      </c>
      <c r="S349" s="1" t="str">
        <f>IF($D349="LEBL", IF(COUNTIF('Paises ECAC'!B:B, C349)&gt;0, "ECAC","NO ECAC"), "")</f>
        <v>ECAC</v>
      </c>
    </row>
    <row r="350" ht="14.25" customHeight="1">
      <c r="A350" s="1" t="s">
        <v>736</v>
      </c>
      <c r="B350" s="1" t="s">
        <v>25</v>
      </c>
      <c r="C350" s="1" t="s">
        <v>88</v>
      </c>
      <c r="D350" s="1" t="s">
        <v>21</v>
      </c>
      <c r="E350" s="1" t="s">
        <v>89</v>
      </c>
      <c r="F350" s="1">
        <v>390.0</v>
      </c>
      <c r="G350" s="5">
        <v>0.3090277777777778</v>
      </c>
      <c r="H350" s="1">
        <v>10.0</v>
      </c>
      <c r="I350" s="5">
        <v>0.4097222222222222</v>
      </c>
      <c r="J350" s="1" t="str">
        <f t="array" ref="J350">XLOOKUP(B350,cat!B:B,cat!C:C)</f>
        <v>D</v>
      </c>
      <c r="K350" s="1">
        <f t="array" ref="K350">XLOOKUP(B350,cat!B:B,cat!D:D)</f>
        <v>180</v>
      </c>
      <c r="L350" s="7">
        <f t="shared" si="1"/>
        <v>0.1006944444</v>
      </c>
      <c r="M350" s="7">
        <f t="shared" si="2"/>
        <v>0.08104166667</v>
      </c>
      <c r="P350" s="9"/>
      <c r="Q350" s="9">
        <f t="shared" si="3"/>
        <v>1614.35</v>
      </c>
      <c r="R350" s="1" t="str">
        <f t="shared" si="4"/>
        <v>VLG</v>
      </c>
      <c r="S350" s="1" t="str">
        <f>IF($D350="LEBL", IF(COUNTIF('Paises ECAC'!B:B, C350)&gt;0, "ECAC","NO ECAC"), "")</f>
        <v>ECAC</v>
      </c>
    </row>
    <row r="351" ht="14.25" customHeight="1">
      <c r="A351" s="1" t="s">
        <v>737</v>
      </c>
      <c r="B351" s="1" t="s">
        <v>25</v>
      </c>
      <c r="C351" s="1" t="s">
        <v>21</v>
      </c>
      <c r="D351" s="1" t="s">
        <v>140</v>
      </c>
      <c r="E351" s="1" t="s">
        <v>615</v>
      </c>
      <c r="F351" s="1">
        <v>340.0</v>
      </c>
      <c r="G351" s="5">
        <v>0.4111111111111111</v>
      </c>
      <c r="H351" s="1">
        <v>10.0</v>
      </c>
      <c r="I351" s="5">
        <v>0.4652777777777778</v>
      </c>
      <c r="J351" s="1" t="str">
        <f t="array" ref="J351">XLOOKUP(B351,cat!B:B,cat!C:C)</f>
        <v>D</v>
      </c>
      <c r="K351" s="1">
        <f t="array" ref="K351">XLOOKUP(B351,cat!B:B,cat!D:D)</f>
        <v>180</v>
      </c>
      <c r="L351" s="7">
        <f t="shared" si="1"/>
        <v>0.05416666667</v>
      </c>
      <c r="M351" s="1" t="str">
        <f t="shared" si="2"/>
        <v/>
      </c>
      <c r="P351" s="9"/>
      <c r="Q351" s="9">
        <f t="shared" si="3"/>
        <v>0</v>
      </c>
      <c r="R351" s="1" t="str">
        <f t="shared" si="4"/>
        <v>ITY</v>
      </c>
      <c r="S351" s="1" t="str">
        <f>IF($D351="LEBL", IF(COUNTIF('Paises ECAC'!B:B, C351)&gt;0, "ECAC","NO ECAC"), "")</f>
        <v/>
      </c>
    </row>
    <row r="352" ht="14.25" customHeight="1">
      <c r="A352" s="1" t="s">
        <v>738</v>
      </c>
      <c r="B352" s="1" t="s">
        <v>136</v>
      </c>
      <c r="C352" s="1" t="s">
        <v>274</v>
      </c>
      <c r="D352" s="1" t="s">
        <v>21</v>
      </c>
      <c r="E352" s="1" t="s">
        <v>739</v>
      </c>
      <c r="F352" s="1">
        <v>350.0</v>
      </c>
      <c r="G352" s="5">
        <v>0.35208333333333336</v>
      </c>
      <c r="H352" s="1">
        <v>27.0</v>
      </c>
      <c r="I352" s="5">
        <v>0.4097222222222222</v>
      </c>
      <c r="J352" s="1" t="str">
        <f t="array" ref="J352">XLOOKUP(B352,cat!B:B,cat!C:C)</f>
        <v>D</v>
      </c>
      <c r="K352" s="1">
        <f t="array" ref="K352">XLOOKUP(B352,cat!B:B,cat!D:D)</f>
        <v>144</v>
      </c>
      <c r="L352" s="7">
        <f t="shared" si="1"/>
        <v>0.05763888889</v>
      </c>
      <c r="M352" s="7">
        <f t="shared" si="2"/>
        <v>0.02618055556</v>
      </c>
      <c r="P352" s="9"/>
      <c r="Q352" s="9">
        <f t="shared" si="3"/>
        <v>521.5166667</v>
      </c>
      <c r="R352" s="1" t="str">
        <f t="shared" si="4"/>
        <v>BAW</v>
      </c>
      <c r="S352" s="1" t="str">
        <f>IF($D352="LEBL", IF(COUNTIF('Paises ECAC'!B:B, C352)&gt;0, "ECAC","NO ECAC"), "")</f>
        <v>ECAC</v>
      </c>
    </row>
    <row r="353" ht="14.25" customHeight="1">
      <c r="A353" s="1" t="s">
        <v>740</v>
      </c>
      <c r="B353" s="1" t="s">
        <v>30</v>
      </c>
      <c r="C353" s="1" t="s">
        <v>21</v>
      </c>
      <c r="D353" s="1" t="s">
        <v>377</v>
      </c>
      <c r="E353" s="1" t="s">
        <v>252</v>
      </c>
      <c r="F353" s="1">
        <v>380.0</v>
      </c>
      <c r="G353" s="5">
        <v>0.41180555555555554</v>
      </c>
      <c r="H353" s="1">
        <v>10.0</v>
      </c>
      <c r="I353" s="5">
        <v>0.4965277777777778</v>
      </c>
      <c r="J353" s="1" t="str">
        <f t="array" ref="J353">XLOOKUP(B353,cat!B:B,cat!C:C)</f>
        <v>D</v>
      </c>
      <c r="K353" s="1">
        <f t="array" ref="K353">XLOOKUP(B353,cat!B:B,cat!D:D)</f>
        <v>173</v>
      </c>
      <c r="L353" s="7">
        <f t="shared" si="1"/>
        <v>0.08472222222</v>
      </c>
      <c r="M353" s="1" t="str">
        <f t="shared" si="2"/>
        <v/>
      </c>
      <c r="P353" s="9"/>
      <c r="Q353" s="9">
        <f t="shared" si="3"/>
        <v>0</v>
      </c>
      <c r="R353" s="1" t="str">
        <f t="shared" si="4"/>
        <v>VLG</v>
      </c>
      <c r="S353" s="1" t="str">
        <f>IF($D353="LEBL", IF(COUNTIF('Paises ECAC'!B:B, C353)&gt;0, "ECAC","NO ECAC"), "")</f>
        <v/>
      </c>
    </row>
    <row r="354" ht="14.25" customHeight="1">
      <c r="A354" s="1" t="s">
        <v>741</v>
      </c>
      <c r="B354" s="1" t="s">
        <v>212</v>
      </c>
      <c r="C354" s="1" t="s">
        <v>97</v>
      </c>
      <c r="D354" s="1" t="s">
        <v>21</v>
      </c>
      <c r="E354" s="1" t="s">
        <v>742</v>
      </c>
      <c r="F354" s="1">
        <v>330.0</v>
      </c>
      <c r="G354" s="5">
        <v>0.36875</v>
      </c>
      <c r="H354" s="1">
        <v>16.0</v>
      </c>
      <c r="I354" s="5">
        <v>0.4131944444444444</v>
      </c>
      <c r="J354" s="1" t="str">
        <f t="array" ref="J354">XLOOKUP(B354,cat!B:B,cat!C:C)</f>
        <v>D</v>
      </c>
      <c r="K354" s="1">
        <f t="array" ref="K354">XLOOKUP(B354,cat!B:B,cat!D:D)</f>
        <v>200</v>
      </c>
      <c r="L354" s="7">
        <f t="shared" si="1"/>
        <v>0.04444444444</v>
      </c>
      <c r="M354" s="7">
        <f t="shared" si="2"/>
        <v>0.020625</v>
      </c>
      <c r="P354" s="9"/>
      <c r="Q354" s="9">
        <f t="shared" si="3"/>
        <v>410.85</v>
      </c>
      <c r="R354" s="1" t="str">
        <f t="shared" si="4"/>
        <v>WMT</v>
      </c>
      <c r="S354" s="1" t="str">
        <f>IF($D354="LEBL", IF(COUNTIF('Paises ECAC'!B:B, C354)&gt;0, "ECAC","NO ECAC"), "")</f>
        <v>ECAC</v>
      </c>
    </row>
    <row r="355" ht="14.25" customHeight="1">
      <c r="A355" s="1" t="s">
        <v>743</v>
      </c>
      <c r="B355" s="1" t="s">
        <v>30</v>
      </c>
      <c r="C355" s="1" t="s">
        <v>218</v>
      </c>
      <c r="D355" s="1" t="s">
        <v>21</v>
      </c>
      <c r="E355" s="1" t="s">
        <v>393</v>
      </c>
      <c r="F355" s="1">
        <v>300.0</v>
      </c>
      <c r="G355" s="5">
        <v>0.3729166666666667</v>
      </c>
      <c r="H355" s="1">
        <v>10.0</v>
      </c>
      <c r="I355" s="5">
        <v>0.4131944444444444</v>
      </c>
      <c r="J355" s="1" t="str">
        <f t="array" ref="J355">XLOOKUP(B355,cat!B:B,cat!C:C)</f>
        <v>D</v>
      </c>
      <c r="K355" s="1">
        <f t="array" ref="K355">XLOOKUP(B355,cat!B:B,cat!D:D)</f>
        <v>173</v>
      </c>
      <c r="L355" s="7">
        <f t="shared" si="1"/>
        <v>0.04027777778</v>
      </c>
      <c r="M355" s="7">
        <f t="shared" si="2"/>
        <v>0.020625</v>
      </c>
      <c r="P355" s="9"/>
      <c r="Q355" s="9">
        <f t="shared" si="3"/>
        <v>410.85</v>
      </c>
      <c r="R355" s="1" t="str">
        <f t="shared" si="4"/>
        <v>VLG</v>
      </c>
      <c r="S355" s="1" t="str">
        <f>IF($D355="LEBL", IF(COUNTIF('Paises ECAC'!B:B, C355)&gt;0, "ECAC","NO ECAC"), "")</f>
        <v>ECAC</v>
      </c>
    </row>
    <row r="356" ht="14.25" customHeight="1">
      <c r="A356" s="1" t="s">
        <v>744</v>
      </c>
      <c r="B356" s="1" t="s">
        <v>182</v>
      </c>
      <c r="C356" s="1" t="s">
        <v>745</v>
      </c>
      <c r="D356" s="1" t="s">
        <v>21</v>
      </c>
      <c r="E356" s="1" t="s">
        <v>746</v>
      </c>
      <c r="F356" s="1">
        <v>410.0</v>
      </c>
      <c r="G356" s="5">
        <v>0.04861111111111111</v>
      </c>
      <c r="H356" s="1">
        <v>10.0</v>
      </c>
      <c r="I356" s="5">
        <v>0.4131944444444444</v>
      </c>
      <c r="J356" s="1" t="str">
        <f t="array" ref="J356">XLOOKUP(B356,cat!B:B,cat!C:C)</f>
        <v>B</v>
      </c>
      <c r="K356" s="1">
        <f t="array" ref="K356">XLOOKUP(B356,cat!B:B,cat!D:D)</f>
        <v>284</v>
      </c>
      <c r="L356" s="7">
        <f t="shared" si="1"/>
        <v>0.3645833333</v>
      </c>
      <c r="M356" s="7">
        <f t="shared" si="2"/>
        <v>0.3449305556</v>
      </c>
      <c r="P356" s="9"/>
      <c r="Q356" s="9">
        <f t="shared" si="3"/>
        <v>7450.5</v>
      </c>
      <c r="R356" s="1" t="str">
        <f t="shared" si="4"/>
        <v>WJA</v>
      </c>
      <c r="S356" s="1" t="str">
        <f>IF($D356="LEBL", IF(COUNTIF('Paises ECAC'!B:B, C356)&gt;0, "ECAC","NO ECAC"), "")</f>
        <v>NO ECAC</v>
      </c>
    </row>
    <row r="357" ht="14.25" customHeight="1">
      <c r="A357" s="1" t="s">
        <v>747</v>
      </c>
      <c r="B357" s="1" t="s">
        <v>35</v>
      </c>
      <c r="C357" s="1" t="s">
        <v>21</v>
      </c>
      <c r="D357" s="1" t="s">
        <v>251</v>
      </c>
      <c r="E357" s="1" t="s">
        <v>193</v>
      </c>
      <c r="F357" s="1">
        <v>350.0</v>
      </c>
      <c r="G357" s="5">
        <v>0.41041666666666665</v>
      </c>
      <c r="H357" s="1">
        <v>11.0</v>
      </c>
      <c r="I357" s="5">
        <v>0.4583333333333333</v>
      </c>
      <c r="J357" s="1" t="str">
        <f t="array" ref="J357">XLOOKUP(B357,cat!B:B,cat!C:C)</f>
        <v>D</v>
      </c>
      <c r="K357" s="1">
        <f t="array" ref="K357">XLOOKUP(B357,cat!B:B,cat!D:D)</f>
        <v>207</v>
      </c>
      <c r="L357" s="7">
        <f t="shared" si="1"/>
        <v>0.04791666667</v>
      </c>
      <c r="M357" s="1" t="str">
        <f t="shared" si="2"/>
        <v/>
      </c>
      <c r="P357" s="9"/>
      <c r="Q357" s="9">
        <f t="shared" si="3"/>
        <v>0</v>
      </c>
      <c r="R357" s="1" t="str">
        <f t="shared" si="4"/>
        <v>VLG</v>
      </c>
      <c r="S357" s="1" t="str">
        <f>IF($D357="LEBL", IF(COUNTIF('Paises ECAC'!B:B, C357)&gt;0, "ECAC","NO ECAC"), "")</f>
        <v/>
      </c>
    </row>
    <row r="358" ht="14.25" customHeight="1">
      <c r="A358" s="1" t="s">
        <v>748</v>
      </c>
      <c r="B358" s="1" t="s">
        <v>544</v>
      </c>
      <c r="C358" s="1" t="s">
        <v>21</v>
      </c>
      <c r="D358" s="1" t="s">
        <v>545</v>
      </c>
      <c r="E358" s="1" t="s">
        <v>546</v>
      </c>
      <c r="F358" s="1">
        <v>370.0</v>
      </c>
      <c r="G358" s="5">
        <v>0.41805555555555557</v>
      </c>
      <c r="H358" s="1">
        <v>16.0</v>
      </c>
      <c r="I358" s="5">
        <v>0.5590277777777778</v>
      </c>
      <c r="J358" s="1" t="str">
        <f t="array" ref="J358">XLOOKUP(B358,cat!B:B,cat!C:C)</f>
        <v>D</v>
      </c>
      <c r="K358" s="1">
        <f t="array" ref="K358">XLOOKUP(B358,cat!B:B,cat!D:D)</f>
        <v>148</v>
      </c>
      <c r="L358" s="7">
        <f t="shared" si="1"/>
        <v>0.1409722222</v>
      </c>
      <c r="M358" s="1" t="str">
        <f t="shared" si="2"/>
        <v/>
      </c>
      <c r="P358" s="9"/>
      <c r="Q358" s="9">
        <f t="shared" si="3"/>
        <v>0</v>
      </c>
      <c r="R358" s="1" t="str">
        <f t="shared" si="4"/>
        <v>CYP</v>
      </c>
      <c r="S358" s="1" t="str">
        <f>IF($D358="LEBL", IF(COUNTIF('Paises ECAC'!B:B, C358)&gt;0, "ECAC","NO ECAC"), "")</f>
        <v/>
      </c>
    </row>
    <row r="359" ht="14.25" customHeight="1">
      <c r="A359" s="1" t="s">
        <v>749</v>
      </c>
      <c r="B359" s="1" t="s">
        <v>30</v>
      </c>
      <c r="C359" s="1" t="s">
        <v>750</v>
      </c>
      <c r="D359" s="1" t="s">
        <v>21</v>
      </c>
      <c r="E359" s="1" t="s">
        <v>751</v>
      </c>
      <c r="F359" s="1">
        <v>340.0</v>
      </c>
      <c r="G359" s="5">
        <v>0.2326388888888889</v>
      </c>
      <c r="H359" s="1">
        <v>5.0</v>
      </c>
      <c r="I359" s="5">
        <v>0.4166666666666667</v>
      </c>
      <c r="J359" s="1" t="str">
        <f t="array" ref="J359">XLOOKUP(B359,cat!B:B,cat!C:C)</f>
        <v>D</v>
      </c>
      <c r="K359" s="1">
        <f t="array" ref="K359">XLOOKUP(B359,cat!B:B,cat!D:D)</f>
        <v>173</v>
      </c>
      <c r="L359" s="7">
        <f t="shared" si="1"/>
        <v>0.1840277778</v>
      </c>
      <c r="M359" s="7">
        <f t="shared" si="2"/>
        <v>0.1678472222</v>
      </c>
      <c r="P359" s="9"/>
      <c r="Q359" s="9">
        <f t="shared" si="3"/>
        <v>3343.516667</v>
      </c>
      <c r="R359" s="1" t="str">
        <f t="shared" si="4"/>
        <v>NMA</v>
      </c>
      <c r="S359" s="1" t="str">
        <f>IF($D359="LEBL", IF(COUNTIF('Paises ECAC'!B:B, C359)&gt;0, "ECAC","NO ECAC"), "")</f>
        <v>NO ECAC</v>
      </c>
    </row>
    <row r="360" ht="14.25" customHeight="1">
      <c r="A360" s="1" t="s">
        <v>752</v>
      </c>
      <c r="B360" s="1" t="s">
        <v>19</v>
      </c>
      <c r="C360" s="1" t="s">
        <v>21</v>
      </c>
      <c r="D360" s="1" t="s">
        <v>156</v>
      </c>
      <c r="E360" s="1" t="s">
        <v>95</v>
      </c>
      <c r="F360" s="1">
        <v>190.0</v>
      </c>
      <c r="G360" s="5">
        <v>0.40625</v>
      </c>
      <c r="H360" s="1">
        <v>20.0</v>
      </c>
      <c r="I360" s="5">
        <v>0.4340277777777778</v>
      </c>
      <c r="J360" s="1" t="str">
        <f t="array" ref="J360">XLOOKUP(B360,cat!B:B,cat!C:C)</f>
        <v>D</v>
      </c>
      <c r="K360" s="1">
        <f t="array" ref="K360">XLOOKUP(B360,cat!B:B,cat!D:D)</f>
        <v>184</v>
      </c>
      <c r="L360" s="7">
        <f t="shared" si="1"/>
        <v>0.02777777778</v>
      </c>
      <c r="M360" s="1" t="str">
        <f t="shared" si="2"/>
        <v/>
      </c>
      <c r="P360" s="9"/>
      <c r="Q360" s="9">
        <f t="shared" si="3"/>
        <v>0</v>
      </c>
      <c r="R360" s="1" t="str">
        <f t="shared" si="4"/>
        <v>RYR</v>
      </c>
      <c r="S360" s="1" t="str">
        <f>IF($D360="LEBL", IF(COUNTIF('Paises ECAC'!B:B, C360)&gt;0, "ECAC","NO ECAC"), "")</f>
        <v/>
      </c>
    </row>
    <row r="361" ht="14.25" customHeight="1">
      <c r="A361" s="1" t="s">
        <v>753</v>
      </c>
      <c r="B361" s="1" t="s">
        <v>19</v>
      </c>
      <c r="C361" s="1" t="s">
        <v>153</v>
      </c>
      <c r="D361" s="1" t="s">
        <v>21</v>
      </c>
      <c r="E361" s="1" t="s">
        <v>421</v>
      </c>
      <c r="F361" s="1">
        <v>350.0</v>
      </c>
      <c r="G361" s="5">
        <v>0.3611111111111111</v>
      </c>
      <c r="H361" s="1">
        <v>15.0</v>
      </c>
      <c r="I361" s="5">
        <v>0.4166666666666667</v>
      </c>
      <c r="J361" s="1" t="str">
        <f t="array" ref="J361">XLOOKUP(B361,cat!B:B,cat!C:C)</f>
        <v>D</v>
      </c>
      <c r="K361" s="1">
        <f t="array" ref="K361">XLOOKUP(B361,cat!B:B,cat!D:D)</f>
        <v>184</v>
      </c>
      <c r="L361" s="7">
        <f t="shared" si="1"/>
        <v>0.05555555556</v>
      </c>
      <c r="M361" s="7">
        <f t="shared" si="2"/>
        <v>0.03243055556</v>
      </c>
      <c r="P361" s="9"/>
      <c r="Q361" s="9">
        <f t="shared" si="3"/>
        <v>646.0166667</v>
      </c>
      <c r="R361" s="1" t="str">
        <f t="shared" si="4"/>
        <v>RYR</v>
      </c>
      <c r="S361" s="1" t="str">
        <f>IF($D361="LEBL", IF(COUNTIF('Paises ECAC'!B:B, C361)&gt;0, "ECAC","NO ECAC"), "")</f>
        <v>ECAC</v>
      </c>
    </row>
    <row r="362" ht="14.25" customHeight="1">
      <c r="A362" s="1" t="s">
        <v>754</v>
      </c>
      <c r="B362" s="1" t="s">
        <v>122</v>
      </c>
      <c r="C362" s="1" t="s">
        <v>21</v>
      </c>
      <c r="D362" s="1" t="s">
        <v>123</v>
      </c>
      <c r="E362" s="1" t="s">
        <v>124</v>
      </c>
      <c r="F362" s="1">
        <v>410.0</v>
      </c>
      <c r="G362" s="5">
        <v>0.4152777777777778</v>
      </c>
      <c r="H362" s="1">
        <v>20.0</v>
      </c>
      <c r="I362" s="5">
        <v>0.9479166666666666</v>
      </c>
      <c r="J362" s="1" t="str">
        <f t="array" ref="J362">XLOOKUP(B362,cat!B:B,cat!C:C)</f>
        <v>B</v>
      </c>
      <c r="K362" s="1">
        <f t="array" ref="K362">XLOOKUP(B362,cat!B:B,cat!D:D)</f>
        <v>297</v>
      </c>
      <c r="L362" s="7">
        <f t="shared" si="1"/>
        <v>0.5326388889</v>
      </c>
      <c r="M362" s="1" t="str">
        <f t="shared" si="2"/>
        <v/>
      </c>
      <c r="P362" s="9"/>
      <c r="Q362" s="9">
        <f t="shared" si="3"/>
        <v>0</v>
      </c>
      <c r="R362" s="1" t="str">
        <f t="shared" si="4"/>
        <v>SIA</v>
      </c>
      <c r="S362" s="1" t="str">
        <f>IF($D362="LEBL", IF(COUNTIF('Paises ECAC'!B:B, C362)&gt;0, "ECAC","NO ECAC"), "")</f>
        <v/>
      </c>
    </row>
    <row r="363" ht="14.25" customHeight="1">
      <c r="A363" s="1" t="s">
        <v>755</v>
      </c>
      <c r="B363" s="1" t="s">
        <v>182</v>
      </c>
      <c r="C363" s="1" t="s">
        <v>21</v>
      </c>
      <c r="D363" s="1" t="s">
        <v>234</v>
      </c>
      <c r="E363" s="1" t="s">
        <v>419</v>
      </c>
      <c r="F363" s="1">
        <v>290.0</v>
      </c>
      <c r="G363" s="5">
        <v>0.4166666666666667</v>
      </c>
      <c r="H363" s="1">
        <v>11.0</v>
      </c>
      <c r="I363" s="5">
        <v>0.4513888888888889</v>
      </c>
      <c r="J363" s="1" t="str">
        <f t="array" ref="J363">XLOOKUP(B363,cat!B:B,cat!C:C)</f>
        <v>B</v>
      </c>
      <c r="K363" s="1">
        <f t="array" ref="K363">XLOOKUP(B363,cat!B:B,cat!D:D)</f>
        <v>284</v>
      </c>
      <c r="L363" s="7">
        <f t="shared" si="1"/>
        <v>0.03472222222</v>
      </c>
      <c r="M363" s="1" t="str">
        <f t="shared" si="2"/>
        <v/>
      </c>
      <c r="P363" s="9"/>
      <c r="Q363" s="9">
        <f t="shared" si="3"/>
        <v>0</v>
      </c>
      <c r="R363" s="1" t="str">
        <f t="shared" si="4"/>
        <v>AEA</v>
      </c>
      <c r="S363" s="1" t="str">
        <f>IF($D363="LEBL", IF(COUNTIF('Paises ECAC'!B:B, C363)&gt;0, "ECAC","NO ECAC"), "")</f>
        <v/>
      </c>
    </row>
    <row r="364" ht="14.25" customHeight="1">
      <c r="A364" s="1" t="s">
        <v>756</v>
      </c>
      <c r="B364" s="1" t="s">
        <v>30</v>
      </c>
      <c r="C364" s="1" t="s">
        <v>21</v>
      </c>
      <c r="D364" s="1" t="s">
        <v>140</v>
      </c>
      <c r="E364" s="1" t="s">
        <v>644</v>
      </c>
      <c r="F364" s="1">
        <v>340.0</v>
      </c>
      <c r="G364" s="5">
        <v>0.42083333333333334</v>
      </c>
      <c r="H364" s="1">
        <v>11.0</v>
      </c>
      <c r="I364" s="5">
        <v>0.4756944444444444</v>
      </c>
      <c r="J364" s="1" t="str">
        <f t="array" ref="J364">XLOOKUP(B364,cat!B:B,cat!C:C)</f>
        <v>D</v>
      </c>
      <c r="K364" s="1">
        <f t="array" ref="K364">XLOOKUP(B364,cat!B:B,cat!D:D)</f>
        <v>173</v>
      </c>
      <c r="L364" s="7">
        <f t="shared" si="1"/>
        <v>0.05486111111</v>
      </c>
      <c r="M364" s="1" t="str">
        <f t="shared" si="2"/>
        <v/>
      </c>
      <c r="P364" s="9"/>
      <c r="Q364" s="9">
        <f t="shared" si="3"/>
        <v>0</v>
      </c>
      <c r="R364" s="1" t="str">
        <f t="shared" si="4"/>
        <v>VLG</v>
      </c>
      <c r="S364" s="1" t="str">
        <f>IF($D364="LEBL", IF(COUNTIF('Paises ECAC'!B:B, C364)&gt;0, "ECAC","NO ECAC"), "")</f>
        <v/>
      </c>
    </row>
    <row r="365" ht="14.25" customHeight="1">
      <c r="A365" s="1" t="s">
        <v>757</v>
      </c>
      <c r="B365" s="1" t="s">
        <v>19</v>
      </c>
      <c r="C365" s="1" t="s">
        <v>21</v>
      </c>
      <c r="D365" s="1" t="s">
        <v>700</v>
      </c>
      <c r="E365" s="1" t="s">
        <v>164</v>
      </c>
      <c r="F365" s="1">
        <v>370.0</v>
      </c>
      <c r="G365" s="5">
        <v>0.4270833333333333</v>
      </c>
      <c r="H365" s="1">
        <v>20.0</v>
      </c>
      <c r="I365" s="5">
        <v>0.4826388888888889</v>
      </c>
      <c r="J365" s="1" t="str">
        <f t="array" ref="J365">XLOOKUP(B365,cat!B:B,cat!C:C)</f>
        <v>D</v>
      </c>
      <c r="K365" s="1">
        <f t="array" ref="K365">XLOOKUP(B365,cat!B:B,cat!D:D)</f>
        <v>184</v>
      </c>
      <c r="L365" s="7">
        <f t="shared" si="1"/>
        <v>0.05555555556</v>
      </c>
      <c r="M365" s="1" t="str">
        <f t="shared" si="2"/>
        <v/>
      </c>
      <c r="P365" s="9"/>
      <c r="Q365" s="9">
        <f t="shared" si="3"/>
        <v>0</v>
      </c>
      <c r="R365" s="1" t="str">
        <f t="shared" si="4"/>
        <v>RYR</v>
      </c>
      <c r="S365" s="1" t="str">
        <f>IF($D365="LEBL", IF(COUNTIF('Paises ECAC'!B:B, C365)&gt;0, "ECAC","NO ECAC"), "")</f>
        <v/>
      </c>
    </row>
    <row r="366" ht="14.25" customHeight="1">
      <c r="A366" s="1" t="s">
        <v>758</v>
      </c>
      <c r="B366" s="1" t="s">
        <v>477</v>
      </c>
      <c r="C366" s="1" t="s">
        <v>21</v>
      </c>
      <c r="D366" s="1" t="s">
        <v>667</v>
      </c>
      <c r="E366" s="1" t="s">
        <v>531</v>
      </c>
      <c r="F366" s="1">
        <v>380.0</v>
      </c>
      <c r="G366" s="5">
        <v>0.41805555555555557</v>
      </c>
      <c r="H366" s="1">
        <v>13.0</v>
      </c>
      <c r="I366" s="5">
        <v>0.7569444444444444</v>
      </c>
      <c r="J366" s="1" t="str">
        <f t="array" ref="J366">XLOOKUP(B366,cat!B:B,cat!C:C)</f>
        <v>B</v>
      </c>
      <c r="K366" s="1">
        <f t="array" ref="K366">XLOOKUP(B366,cat!B:B,cat!D:D)</f>
        <v>266</v>
      </c>
      <c r="L366" s="7">
        <f t="shared" si="1"/>
        <v>0.3388888889</v>
      </c>
      <c r="M366" s="1" t="str">
        <f t="shared" si="2"/>
        <v/>
      </c>
      <c r="P366" s="9"/>
      <c r="Q366" s="9">
        <f t="shared" si="3"/>
        <v>0</v>
      </c>
      <c r="R366" s="1" t="str">
        <f t="shared" si="4"/>
        <v>AAL</v>
      </c>
      <c r="S366" s="1" t="str">
        <f>IF($D366="LEBL", IF(COUNTIF('Paises ECAC'!B:B, C366)&gt;0, "ECAC","NO ECAC"), "")</f>
        <v/>
      </c>
    </row>
    <row r="367" ht="14.25" customHeight="1">
      <c r="A367" s="1" t="s">
        <v>759</v>
      </c>
      <c r="B367" s="1" t="s">
        <v>122</v>
      </c>
      <c r="C367" s="1" t="s">
        <v>21</v>
      </c>
      <c r="D367" s="1" t="s">
        <v>513</v>
      </c>
      <c r="E367" s="1" t="s">
        <v>514</v>
      </c>
      <c r="F367" s="1">
        <v>380.0</v>
      </c>
      <c r="G367" s="5">
        <v>0.41041666666666665</v>
      </c>
      <c r="H367" s="1">
        <v>16.0</v>
      </c>
      <c r="I367" s="5">
        <v>0.78125</v>
      </c>
      <c r="J367" s="1" t="str">
        <f t="array" ref="J367">XLOOKUP(B367,cat!B:B,cat!C:C)</f>
        <v>B</v>
      </c>
      <c r="K367" s="1">
        <f t="array" ref="K367">XLOOKUP(B367,cat!B:B,cat!D:D)</f>
        <v>297</v>
      </c>
      <c r="L367" s="7">
        <f t="shared" si="1"/>
        <v>0.3708333333</v>
      </c>
      <c r="M367" s="1" t="str">
        <f t="shared" si="2"/>
        <v/>
      </c>
      <c r="P367" s="9"/>
      <c r="Q367" s="9">
        <f t="shared" si="3"/>
        <v>0</v>
      </c>
      <c r="R367" s="1" t="str">
        <f t="shared" si="4"/>
        <v>DAL</v>
      </c>
      <c r="S367" s="1" t="str">
        <f>IF($D367="LEBL", IF(COUNTIF('Paises ECAC'!B:B, C367)&gt;0, "ECAC","NO ECAC"), "")</f>
        <v/>
      </c>
    </row>
    <row r="368" ht="14.25" customHeight="1">
      <c r="A368" s="1" t="s">
        <v>760</v>
      </c>
      <c r="B368" s="1" t="s">
        <v>136</v>
      </c>
      <c r="C368" s="1" t="s">
        <v>221</v>
      </c>
      <c r="D368" s="1" t="s">
        <v>21</v>
      </c>
      <c r="E368" s="1" t="s">
        <v>232</v>
      </c>
      <c r="F368" s="1">
        <v>350.0</v>
      </c>
      <c r="G368" s="5">
        <v>0.36041666666666666</v>
      </c>
      <c r="H368" s="1">
        <v>13.0</v>
      </c>
      <c r="I368" s="5">
        <v>0.4236111111111111</v>
      </c>
      <c r="J368" s="1" t="str">
        <f t="array" ref="J368">XLOOKUP(B368,cat!B:B,cat!C:C)</f>
        <v>D</v>
      </c>
      <c r="K368" s="1">
        <f t="array" ref="K368">XLOOKUP(B368,cat!B:B,cat!D:D)</f>
        <v>144</v>
      </c>
      <c r="L368" s="7">
        <f t="shared" si="1"/>
        <v>0.06319444444</v>
      </c>
      <c r="M368" s="7">
        <f t="shared" si="2"/>
        <v>0.04145833333</v>
      </c>
      <c r="P368" s="9"/>
      <c r="Q368" s="9">
        <f t="shared" si="3"/>
        <v>825.85</v>
      </c>
      <c r="R368" s="1" t="str">
        <f t="shared" si="4"/>
        <v>EJU</v>
      </c>
      <c r="S368" s="1" t="str">
        <f>IF($D368="LEBL", IF(COUNTIF('Paises ECAC'!B:B, C368)&gt;0, "ECAC","NO ECAC"), "")</f>
        <v>ECAC</v>
      </c>
    </row>
    <row r="369" ht="14.25" customHeight="1">
      <c r="A369" s="1" t="s">
        <v>761</v>
      </c>
      <c r="B369" s="1" t="s">
        <v>30</v>
      </c>
      <c r="C369" s="1" t="s">
        <v>21</v>
      </c>
      <c r="D369" s="1" t="s">
        <v>282</v>
      </c>
      <c r="E369" s="1" t="s">
        <v>180</v>
      </c>
      <c r="F369" s="1">
        <v>270.0</v>
      </c>
      <c r="G369" s="5">
        <v>0.41875</v>
      </c>
      <c r="H369" s="1">
        <v>13.0</v>
      </c>
      <c r="I369" s="5">
        <v>0.4583333333333333</v>
      </c>
      <c r="J369" s="1" t="str">
        <f t="array" ref="J369">XLOOKUP(B369,cat!B:B,cat!C:C)</f>
        <v>D</v>
      </c>
      <c r="K369" s="1">
        <f t="array" ref="K369">XLOOKUP(B369,cat!B:B,cat!D:D)</f>
        <v>173</v>
      </c>
      <c r="L369" s="7">
        <f t="shared" si="1"/>
        <v>0.03958333333</v>
      </c>
      <c r="M369" s="1" t="str">
        <f t="shared" si="2"/>
        <v/>
      </c>
      <c r="P369" s="9"/>
      <c r="Q369" s="9">
        <f t="shared" si="3"/>
        <v>0</v>
      </c>
      <c r="R369" s="1" t="str">
        <f t="shared" si="4"/>
        <v>VLG</v>
      </c>
      <c r="S369" s="1" t="str">
        <f>IF($D369="LEBL", IF(COUNTIF('Paises ECAC'!B:B, C369)&gt;0, "ECAC","NO ECAC"), "")</f>
        <v/>
      </c>
    </row>
    <row r="370" ht="14.25" customHeight="1">
      <c r="A370" s="1" t="s">
        <v>762</v>
      </c>
      <c r="B370" s="1" t="s">
        <v>136</v>
      </c>
      <c r="C370" s="1" t="s">
        <v>21</v>
      </c>
      <c r="D370" s="1" t="s">
        <v>607</v>
      </c>
      <c r="E370" s="1" t="s">
        <v>608</v>
      </c>
      <c r="F370" s="1">
        <v>390.0</v>
      </c>
      <c r="G370" s="5">
        <v>0.42083333333333334</v>
      </c>
      <c r="H370" s="1">
        <v>16.0</v>
      </c>
      <c r="I370" s="5">
        <v>0.6284722222222222</v>
      </c>
      <c r="J370" s="1" t="str">
        <f t="array" ref="J370">XLOOKUP(B370,cat!B:B,cat!C:C)</f>
        <v>D</v>
      </c>
      <c r="K370" s="1">
        <f t="array" ref="K370">XLOOKUP(B370,cat!B:B,cat!D:D)</f>
        <v>144</v>
      </c>
      <c r="L370" s="7">
        <f t="shared" si="1"/>
        <v>0.2076388889</v>
      </c>
      <c r="M370" s="1" t="str">
        <f t="shared" si="2"/>
        <v/>
      </c>
      <c r="P370" s="9"/>
      <c r="Q370" s="9">
        <f t="shared" si="3"/>
        <v>0</v>
      </c>
      <c r="R370" s="1" t="str">
        <f t="shared" si="4"/>
        <v>AHY</v>
      </c>
      <c r="S370" s="1" t="str">
        <f>IF($D370="LEBL", IF(COUNTIF('Paises ECAC'!B:B, C370)&gt;0, "ECAC","NO ECAC"), "")</f>
        <v/>
      </c>
    </row>
    <row r="371" ht="14.25" customHeight="1">
      <c r="A371" s="1" t="s">
        <v>763</v>
      </c>
      <c r="B371" s="1" t="s">
        <v>30</v>
      </c>
      <c r="C371" s="1" t="s">
        <v>322</v>
      </c>
      <c r="D371" s="1" t="s">
        <v>21</v>
      </c>
      <c r="E371" s="1" t="s">
        <v>764</v>
      </c>
      <c r="F371" s="1">
        <v>340.0</v>
      </c>
      <c r="G371" s="5">
        <v>0.38125</v>
      </c>
      <c r="H371" s="1">
        <v>10.0</v>
      </c>
      <c r="I371" s="5">
        <v>0.4270833333333333</v>
      </c>
      <c r="J371" s="1" t="str">
        <f t="array" ref="J371">XLOOKUP(B371,cat!B:B,cat!C:C)</f>
        <v>D</v>
      </c>
      <c r="K371" s="1">
        <f t="array" ref="K371">XLOOKUP(B371,cat!B:B,cat!D:D)</f>
        <v>173</v>
      </c>
      <c r="L371" s="7">
        <f t="shared" si="1"/>
        <v>0.04583333333</v>
      </c>
      <c r="M371" s="7">
        <f t="shared" si="2"/>
        <v>0.02618055556</v>
      </c>
      <c r="P371" s="9"/>
      <c r="Q371" s="9">
        <f t="shared" si="3"/>
        <v>521.5166667</v>
      </c>
      <c r="R371" s="1" t="str">
        <f t="shared" si="4"/>
        <v>VLG</v>
      </c>
      <c r="S371" s="1" t="str">
        <f>IF($D371="LEBL", IF(COUNTIF('Paises ECAC'!B:B, C371)&gt;0, "ECAC","NO ECAC"), "")</f>
        <v>ECAC</v>
      </c>
    </row>
    <row r="372" ht="14.25" customHeight="1">
      <c r="A372" s="1" t="s">
        <v>765</v>
      </c>
      <c r="B372" s="1" t="s">
        <v>30</v>
      </c>
      <c r="C372" s="1" t="s">
        <v>21</v>
      </c>
      <c r="D372" s="1" t="s">
        <v>166</v>
      </c>
      <c r="E372" s="1" t="s">
        <v>537</v>
      </c>
      <c r="F372" s="1">
        <v>370.0</v>
      </c>
      <c r="G372" s="5">
        <v>0.4263888888888889</v>
      </c>
      <c r="H372" s="1">
        <v>9.0</v>
      </c>
      <c r="I372" s="5">
        <v>0.5486111111111112</v>
      </c>
      <c r="J372" s="1" t="str">
        <f t="array" ref="J372">XLOOKUP(B372,cat!B:B,cat!C:C)</f>
        <v>D</v>
      </c>
      <c r="K372" s="1">
        <f t="array" ref="K372">XLOOKUP(B372,cat!B:B,cat!D:D)</f>
        <v>173</v>
      </c>
      <c r="L372" s="7">
        <f t="shared" si="1"/>
        <v>0.1222222222</v>
      </c>
      <c r="M372" s="1" t="str">
        <f t="shared" si="2"/>
        <v/>
      </c>
      <c r="P372" s="9"/>
      <c r="Q372" s="9">
        <f t="shared" si="3"/>
        <v>0</v>
      </c>
      <c r="R372" s="1" t="str">
        <f t="shared" si="4"/>
        <v>VLG</v>
      </c>
      <c r="S372" s="1" t="str">
        <f>IF($D372="LEBL", IF(COUNTIF('Paises ECAC'!B:B, C372)&gt;0, "ECAC","NO ECAC"), "")</f>
        <v/>
      </c>
    </row>
    <row r="373" ht="14.25" customHeight="1">
      <c r="A373" s="1" t="s">
        <v>766</v>
      </c>
      <c r="B373" s="1" t="s">
        <v>767</v>
      </c>
      <c r="C373" s="1" t="s">
        <v>46</v>
      </c>
      <c r="D373" s="1" t="s">
        <v>21</v>
      </c>
      <c r="E373" s="1" t="s">
        <v>768</v>
      </c>
      <c r="F373" s="1">
        <v>100.0</v>
      </c>
      <c r="G373" s="5">
        <v>0.41597222222222224</v>
      </c>
      <c r="H373" s="1">
        <v>9.0</v>
      </c>
      <c r="I373" s="5">
        <v>0.4270833333333333</v>
      </c>
      <c r="J373" s="1" t="str">
        <f t="array" ref="J373">XLOOKUP(B373,cat!B:B,cat!C:C)</f>
        <v>F</v>
      </c>
      <c r="K373" s="1">
        <f t="array" ref="K373">XLOOKUP(B373,cat!B:B,cat!D:D)</f>
        <v>4</v>
      </c>
      <c r="L373" s="7">
        <f t="shared" si="1"/>
        <v>0.01111111111</v>
      </c>
      <c r="M373" s="7">
        <f t="shared" si="2"/>
        <v>0.004861111111</v>
      </c>
      <c r="P373" s="9"/>
      <c r="Q373" s="9">
        <f t="shared" si="3"/>
        <v>21</v>
      </c>
      <c r="R373" s="1" t="str">
        <f t="shared" si="4"/>
        <v>AAO</v>
      </c>
      <c r="S373" s="1" t="str">
        <f>IF($D373="LEBL", IF(COUNTIF('Paises ECAC'!B:B, C373)&gt;0, "ECAC","NO ECAC"), "")</f>
        <v>ECAC</v>
      </c>
    </row>
    <row r="374" ht="14.25" customHeight="1">
      <c r="A374" s="1" t="s">
        <v>769</v>
      </c>
      <c r="B374" s="1" t="s">
        <v>19</v>
      </c>
      <c r="C374" s="1" t="s">
        <v>68</v>
      </c>
      <c r="D374" s="1" t="s">
        <v>21</v>
      </c>
      <c r="E374" s="1" t="s">
        <v>770</v>
      </c>
      <c r="F374" s="1">
        <v>380.0</v>
      </c>
      <c r="G374" s="5">
        <v>0.3159722222222222</v>
      </c>
      <c r="H374" s="1">
        <v>15.0</v>
      </c>
      <c r="I374" s="5">
        <v>0.4270833333333333</v>
      </c>
      <c r="J374" s="1" t="str">
        <f t="array" ref="J374">XLOOKUP(B374,cat!B:B,cat!C:C)</f>
        <v>D</v>
      </c>
      <c r="K374" s="1">
        <f t="array" ref="K374">XLOOKUP(B374,cat!B:B,cat!D:D)</f>
        <v>184</v>
      </c>
      <c r="L374" s="7">
        <f t="shared" si="1"/>
        <v>0.1111111111</v>
      </c>
      <c r="M374" s="7">
        <f t="shared" si="2"/>
        <v>0.08798611111</v>
      </c>
      <c r="P374" s="9"/>
      <c r="Q374" s="9">
        <f t="shared" si="3"/>
        <v>1752.683333</v>
      </c>
      <c r="R374" s="1" t="str">
        <f t="shared" si="4"/>
        <v>LOT</v>
      </c>
      <c r="S374" s="1" t="str">
        <f>IF($D374="LEBL", IF(COUNTIF('Paises ECAC'!B:B, C374)&gt;0, "ECAC","NO ECAC"), "")</f>
        <v>ECAC</v>
      </c>
    </row>
    <row r="375" ht="14.25" customHeight="1">
      <c r="A375" s="1" t="s">
        <v>771</v>
      </c>
      <c r="B375" s="1" t="s">
        <v>772</v>
      </c>
      <c r="C375" s="1" t="s">
        <v>773</v>
      </c>
      <c r="D375" s="1" t="s">
        <v>21</v>
      </c>
      <c r="E375" s="1" t="s">
        <v>774</v>
      </c>
      <c r="F375" s="1">
        <v>310.0</v>
      </c>
      <c r="G375" s="5">
        <v>0.3784722222222222</v>
      </c>
      <c r="H375" s="1">
        <v>5.0</v>
      </c>
      <c r="I375" s="5">
        <v>0.4270833333333333</v>
      </c>
      <c r="J375" s="1" t="str">
        <f t="array" ref="J375">XLOOKUP(B375,cat!B:B,cat!C:C)</f>
        <v>F</v>
      </c>
      <c r="K375" s="1">
        <f t="array" ref="K375">XLOOKUP(B375,cat!B:B,cat!D:D)</f>
        <v>8</v>
      </c>
      <c r="L375" s="7">
        <f t="shared" si="1"/>
        <v>0.04861111111</v>
      </c>
      <c r="M375" s="7">
        <f t="shared" si="2"/>
        <v>0.03243055556</v>
      </c>
      <c r="P375" s="9"/>
      <c r="Q375" s="9">
        <f t="shared" si="3"/>
        <v>140.1</v>
      </c>
      <c r="R375" s="1" t="str">
        <f t="shared" si="4"/>
        <v>JFA</v>
      </c>
      <c r="S375" s="1" t="str">
        <f>IF($D375="LEBL", IF(COUNTIF('Paises ECAC'!B:B, C375)&gt;0, "ECAC","NO ECAC"), "")</f>
        <v>NO ECAC</v>
      </c>
    </row>
    <row r="376" ht="14.25" customHeight="1">
      <c r="A376" s="1" t="s">
        <v>775</v>
      </c>
      <c r="B376" s="1" t="s">
        <v>30</v>
      </c>
      <c r="C376" s="1" t="s">
        <v>21</v>
      </c>
      <c r="D376" s="1" t="s">
        <v>156</v>
      </c>
      <c r="E376" s="1" t="s">
        <v>186</v>
      </c>
      <c r="F376" s="1">
        <v>170.0</v>
      </c>
      <c r="G376" s="5">
        <v>0.42083333333333334</v>
      </c>
      <c r="H376" s="1">
        <v>11.0</v>
      </c>
      <c r="I376" s="5">
        <v>0.4479166666666667</v>
      </c>
      <c r="J376" s="1" t="str">
        <f t="array" ref="J376">XLOOKUP(B376,cat!B:B,cat!C:C)</f>
        <v>D</v>
      </c>
      <c r="K376" s="1">
        <f t="array" ref="K376">XLOOKUP(B376,cat!B:B,cat!D:D)</f>
        <v>173</v>
      </c>
      <c r="L376" s="7">
        <f t="shared" si="1"/>
        <v>0.02708333333</v>
      </c>
      <c r="M376" s="1" t="str">
        <f t="shared" si="2"/>
        <v/>
      </c>
      <c r="P376" s="9"/>
      <c r="Q376" s="9">
        <f t="shared" si="3"/>
        <v>0</v>
      </c>
      <c r="R376" s="1" t="str">
        <f t="shared" si="4"/>
        <v>VLG</v>
      </c>
      <c r="S376" s="1" t="str">
        <f>IF($D376="LEBL", IF(COUNTIF('Paises ECAC'!B:B, C376)&gt;0, "ECAC","NO ECAC"), "")</f>
        <v/>
      </c>
    </row>
    <row r="377" ht="14.25" customHeight="1">
      <c r="A377" s="1" t="s">
        <v>776</v>
      </c>
      <c r="B377" s="1" t="s">
        <v>35</v>
      </c>
      <c r="C377" s="1" t="s">
        <v>21</v>
      </c>
      <c r="D377" s="1" t="s">
        <v>97</v>
      </c>
      <c r="E377" s="1" t="s">
        <v>280</v>
      </c>
      <c r="F377" s="1">
        <v>300.0</v>
      </c>
      <c r="G377" s="5">
        <v>0.4270833333333333</v>
      </c>
      <c r="H377" s="1">
        <v>10.0</v>
      </c>
      <c r="I377" s="5">
        <v>0.4826388888888889</v>
      </c>
      <c r="J377" s="1" t="str">
        <f t="array" ref="J377">XLOOKUP(B377,cat!B:B,cat!C:C)</f>
        <v>D</v>
      </c>
      <c r="K377" s="1">
        <f t="array" ref="K377">XLOOKUP(B377,cat!B:B,cat!D:D)</f>
        <v>207</v>
      </c>
      <c r="L377" s="7">
        <f t="shared" si="1"/>
        <v>0.05555555556</v>
      </c>
      <c r="M377" s="1" t="str">
        <f t="shared" si="2"/>
        <v/>
      </c>
      <c r="P377" s="9"/>
      <c r="Q377" s="9">
        <f t="shared" si="3"/>
        <v>0</v>
      </c>
      <c r="R377" s="1" t="str">
        <f t="shared" si="4"/>
        <v>VLG</v>
      </c>
      <c r="S377" s="1" t="str">
        <f>IF($D377="LEBL", IF(COUNTIF('Paises ECAC'!B:B, C377)&gt;0, "ECAC","NO ECAC"), "")</f>
        <v/>
      </c>
    </row>
    <row r="378" ht="14.25" customHeight="1">
      <c r="A378" s="1" t="s">
        <v>777</v>
      </c>
      <c r="B378" s="1" t="s">
        <v>19</v>
      </c>
      <c r="C378" s="1" t="s">
        <v>169</v>
      </c>
      <c r="D378" s="1" t="s">
        <v>21</v>
      </c>
      <c r="E378" s="1" t="s">
        <v>778</v>
      </c>
      <c r="F378" s="1">
        <v>390.0</v>
      </c>
      <c r="G378" s="5">
        <v>0.3597222222222222</v>
      </c>
      <c r="H378" s="1">
        <v>15.0</v>
      </c>
      <c r="I378" s="5">
        <v>0.4305555555555556</v>
      </c>
      <c r="J378" s="1" t="str">
        <f t="array" ref="J378">XLOOKUP(B378,cat!B:B,cat!C:C)</f>
        <v>D</v>
      </c>
      <c r="K378" s="1">
        <f t="array" ref="K378">XLOOKUP(B378,cat!B:B,cat!D:D)</f>
        <v>184</v>
      </c>
      <c r="L378" s="7">
        <f t="shared" si="1"/>
        <v>0.07083333333</v>
      </c>
      <c r="M378" s="7">
        <f t="shared" si="2"/>
        <v>0.04770833333</v>
      </c>
      <c r="P378" s="9"/>
      <c r="Q378" s="9">
        <f t="shared" si="3"/>
        <v>950.35</v>
      </c>
      <c r="R378" s="1" t="str">
        <f t="shared" si="4"/>
        <v>KLM</v>
      </c>
      <c r="S378" s="1" t="str">
        <f>IF($D378="LEBL", IF(COUNTIF('Paises ECAC'!B:B, C378)&gt;0, "ECAC","NO ECAC"), "")</f>
        <v>ECAC</v>
      </c>
    </row>
    <row r="379" ht="14.25" customHeight="1">
      <c r="A379" s="1" t="s">
        <v>779</v>
      </c>
      <c r="B379" s="1" t="s">
        <v>30</v>
      </c>
      <c r="C379" s="1" t="s">
        <v>21</v>
      </c>
      <c r="D379" s="1" t="s">
        <v>199</v>
      </c>
      <c r="E379" s="1" t="s">
        <v>114</v>
      </c>
      <c r="F379" s="1">
        <v>340.0</v>
      </c>
      <c r="G379" s="5">
        <v>0.4284722222222222</v>
      </c>
      <c r="H379" s="1">
        <v>12.0</v>
      </c>
      <c r="I379" s="5">
        <v>0.5034722222222222</v>
      </c>
      <c r="J379" s="1" t="str">
        <f t="array" ref="J379">XLOOKUP(B379,cat!B:B,cat!C:C)</f>
        <v>D</v>
      </c>
      <c r="K379" s="1">
        <f t="array" ref="K379">XLOOKUP(B379,cat!B:B,cat!D:D)</f>
        <v>173</v>
      </c>
      <c r="L379" s="7">
        <f t="shared" si="1"/>
        <v>0.075</v>
      </c>
      <c r="M379" s="1" t="str">
        <f t="shared" si="2"/>
        <v/>
      </c>
      <c r="P379" s="9"/>
      <c r="Q379" s="9">
        <f t="shared" si="3"/>
        <v>0</v>
      </c>
      <c r="R379" s="1" t="str">
        <f t="shared" si="4"/>
        <v>VLG</v>
      </c>
      <c r="S379" s="1" t="str">
        <f>IF($D379="LEBL", IF(COUNTIF('Paises ECAC'!B:B, C379)&gt;0, "ECAC","NO ECAC"), "")</f>
        <v/>
      </c>
    </row>
    <row r="380" ht="14.25" customHeight="1">
      <c r="A380" s="1" t="s">
        <v>780</v>
      </c>
      <c r="B380" s="1" t="s">
        <v>35</v>
      </c>
      <c r="C380" s="1" t="s">
        <v>21</v>
      </c>
      <c r="D380" s="1" t="s">
        <v>287</v>
      </c>
      <c r="E380" s="1" t="s">
        <v>638</v>
      </c>
      <c r="F380" s="1">
        <v>360.0</v>
      </c>
      <c r="G380" s="5">
        <v>0.42916666666666664</v>
      </c>
      <c r="H380" s="1">
        <v>10.0</v>
      </c>
      <c r="I380" s="5">
        <v>0.5034722222222222</v>
      </c>
      <c r="J380" s="1" t="str">
        <f t="array" ref="J380">XLOOKUP(B380,cat!B:B,cat!C:C)</f>
        <v>D</v>
      </c>
      <c r="K380" s="1">
        <f t="array" ref="K380">XLOOKUP(B380,cat!B:B,cat!D:D)</f>
        <v>207</v>
      </c>
      <c r="L380" s="7">
        <f t="shared" si="1"/>
        <v>0.07430555556</v>
      </c>
      <c r="M380" s="1" t="str">
        <f t="shared" si="2"/>
        <v/>
      </c>
      <c r="P380" s="9"/>
      <c r="Q380" s="9">
        <f t="shared" si="3"/>
        <v>0</v>
      </c>
      <c r="R380" s="1" t="str">
        <f t="shared" si="4"/>
        <v>DLH</v>
      </c>
      <c r="S380" s="1" t="str">
        <f>IF($D380="LEBL", IF(COUNTIF('Paises ECAC'!B:B, C380)&gt;0, "ECAC","NO ECAC"), "")</f>
        <v/>
      </c>
    </row>
    <row r="381" ht="14.25" customHeight="1">
      <c r="A381" s="1" t="s">
        <v>781</v>
      </c>
      <c r="B381" s="1" t="s">
        <v>782</v>
      </c>
      <c r="C381" s="1" t="s">
        <v>369</v>
      </c>
      <c r="D381" s="1" t="s">
        <v>21</v>
      </c>
      <c r="E381" s="1" t="s">
        <v>783</v>
      </c>
      <c r="F381" s="1">
        <v>350.0</v>
      </c>
      <c r="G381" s="5">
        <v>0.3909722222222222</v>
      </c>
      <c r="H381" s="1">
        <v>20.0</v>
      </c>
      <c r="I381" s="5">
        <v>0.4305555555555556</v>
      </c>
      <c r="J381" s="1" t="str">
        <f t="array" ref="J381">XLOOKUP(B381,cat!B:B,cat!C:C)</f>
        <v>E</v>
      </c>
      <c r="K381" s="1">
        <f t="array" ref="K381">XLOOKUP(B381,cat!B:B,cat!D:D)</f>
        <v>142</v>
      </c>
      <c r="L381" s="7">
        <f t="shared" si="1"/>
        <v>0.03958333333</v>
      </c>
      <c r="M381" s="7">
        <f t="shared" si="2"/>
        <v>0.01298611111</v>
      </c>
      <c r="P381" s="9"/>
      <c r="Q381" s="9">
        <f t="shared" si="3"/>
        <v>140.25</v>
      </c>
      <c r="R381" s="1" t="str">
        <f t="shared" si="4"/>
        <v>AXE</v>
      </c>
      <c r="S381" s="1" t="str">
        <f>IF($D381="LEBL", IF(COUNTIF('Paises ECAC'!B:B, C381)&gt;0, "ECAC","NO ECAC"), "")</f>
        <v>ECAC</v>
      </c>
    </row>
    <row r="382" ht="14.25" customHeight="1">
      <c r="A382" s="1" t="s">
        <v>784</v>
      </c>
      <c r="B382" s="1" t="s">
        <v>19</v>
      </c>
      <c r="C382" s="1" t="s">
        <v>21</v>
      </c>
      <c r="D382" s="1" t="s">
        <v>156</v>
      </c>
      <c r="E382" s="1" t="s">
        <v>313</v>
      </c>
      <c r="F382" s="1">
        <v>170.0</v>
      </c>
      <c r="G382" s="5">
        <v>0.42777777777777776</v>
      </c>
      <c r="H382" s="1">
        <v>10.0</v>
      </c>
      <c r="I382" s="5">
        <v>0.4513888888888889</v>
      </c>
      <c r="J382" s="1" t="str">
        <f t="array" ref="J382">XLOOKUP(B382,cat!B:B,cat!C:C)</f>
        <v>D</v>
      </c>
      <c r="K382" s="1">
        <f t="array" ref="K382">XLOOKUP(B382,cat!B:B,cat!D:D)</f>
        <v>184</v>
      </c>
      <c r="L382" s="7">
        <f t="shared" si="1"/>
        <v>0.02361111111</v>
      </c>
      <c r="M382" s="1" t="str">
        <f t="shared" si="2"/>
        <v/>
      </c>
      <c r="P382" s="9"/>
      <c r="Q382" s="9">
        <f t="shared" si="3"/>
        <v>0</v>
      </c>
      <c r="R382" s="1" t="str">
        <f t="shared" si="4"/>
        <v>AEA</v>
      </c>
      <c r="S382" s="1" t="str">
        <f>IF($D382="LEBL", IF(COUNTIF('Paises ECAC'!B:B, C382)&gt;0, "ECAC","NO ECAC"), "")</f>
        <v/>
      </c>
    </row>
    <row r="383" ht="14.25" customHeight="1">
      <c r="A383" s="1" t="s">
        <v>785</v>
      </c>
      <c r="B383" s="1" t="s">
        <v>30</v>
      </c>
      <c r="C383" s="1" t="s">
        <v>21</v>
      </c>
      <c r="D383" s="1" t="s">
        <v>237</v>
      </c>
      <c r="E383" s="1" t="s">
        <v>202</v>
      </c>
      <c r="F383" s="1">
        <v>340.0</v>
      </c>
      <c r="G383" s="5">
        <v>0.43333333333333335</v>
      </c>
      <c r="H383" s="1">
        <v>11.0</v>
      </c>
      <c r="I383" s="5">
        <v>0.4895833333333333</v>
      </c>
      <c r="J383" s="1" t="str">
        <f t="array" ref="J383">XLOOKUP(B383,cat!B:B,cat!C:C)</f>
        <v>D</v>
      </c>
      <c r="K383" s="1">
        <f t="array" ref="K383">XLOOKUP(B383,cat!B:B,cat!D:D)</f>
        <v>173</v>
      </c>
      <c r="L383" s="7">
        <f t="shared" si="1"/>
        <v>0.05625</v>
      </c>
      <c r="M383" s="1" t="str">
        <f t="shared" si="2"/>
        <v/>
      </c>
      <c r="P383" s="9"/>
      <c r="Q383" s="9">
        <f t="shared" si="3"/>
        <v>0</v>
      </c>
      <c r="R383" s="1" t="str">
        <f t="shared" si="4"/>
        <v>VLG</v>
      </c>
      <c r="S383" s="1" t="str">
        <f>IF($D383="LEBL", IF(COUNTIF('Paises ECAC'!B:B, C383)&gt;0, "ECAC","NO ECAC"), "")</f>
        <v/>
      </c>
    </row>
    <row r="384" ht="14.25" customHeight="1">
      <c r="A384" s="1" t="s">
        <v>786</v>
      </c>
      <c r="B384" s="1" t="s">
        <v>40</v>
      </c>
      <c r="C384" s="1" t="s">
        <v>21</v>
      </c>
      <c r="D384" s="1" t="s">
        <v>245</v>
      </c>
      <c r="E384" s="1" t="s">
        <v>120</v>
      </c>
      <c r="F384" s="1">
        <v>190.0</v>
      </c>
      <c r="G384" s="5">
        <v>0.4326388888888889</v>
      </c>
      <c r="H384" s="1">
        <v>20.0</v>
      </c>
      <c r="I384" s="5">
        <v>0.4583333333333333</v>
      </c>
      <c r="J384" s="1" t="str">
        <f t="array" ref="J384">XLOOKUP(B384,cat!B:B,cat!C:C)</f>
        <v>D</v>
      </c>
      <c r="K384" s="1">
        <f t="array" ref="K384">XLOOKUP(B384,cat!B:B,cat!D:D)</f>
        <v>186</v>
      </c>
      <c r="L384" s="7">
        <f t="shared" si="1"/>
        <v>0.02569444444</v>
      </c>
      <c r="M384" s="1" t="str">
        <f t="shared" si="2"/>
        <v/>
      </c>
      <c r="P384" s="9"/>
      <c r="Q384" s="9">
        <f t="shared" si="3"/>
        <v>0</v>
      </c>
      <c r="R384" s="1" t="str">
        <f t="shared" si="4"/>
        <v>RYR</v>
      </c>
      <c r="S384" s="1" t="str">
        <f>IF($D384="LEBL", IF(COUNTIF('Paises ECAC'!B:B, C384)&gt;0, "ECAC","NO ECAC"), "")</f>
        <v/>
      </c>
    </row>
    <row r="385" ht="14.25" customHeight="1">
      <c r="A385" s="1" t="s">
        <v>787</v>
      </c>
      <c r="B385" s="1" t="s">
        <v>30</v>
      </c>
      <c r="C385" s="1" t="s">
        <v>287</v>
      </c>
      <c r="D385" s="1" t="s">
        <v>21</v>
      </c>
      <c r="E385" s="1" t="s">
        <v>788</v>
      </c>
      <c r="F385" s="1">
        <v>370.0</v>
      </c>
      <c r="G385" s="5">
        <v>0.375</v>
      </c>
      <c r="H385" s="1">
        <v>12.0</v>
      </c>
      <c r="I385" s="5">
        <v>0.4340277777777778</v>
      </c>
      <c r="J385" s="1" t="str">
        <f t="array" ref="J385">XLOOKUP(B385,cat!B:B,cat!C:C)</f>
        <v>D</v>
      </c>
      <c r="K385" s="1">
        <f t="array" ref="K385">XLOOKUP(B385,cat!B:B,cat!D:D)</f>
        <v>173</v>
      </c>
      <c r="L385" s="7">
        <f t="shared" si="1"/>
        <v>0.05902777778</v>
      </c>
      <c r="M385" s="7">
        <f t="shared" si="2"/>
        <v>0.03798611111</v>
      </c>
      <c r="P385" s="9"/>
      <c r="Q385" s="9">
        <f t="shared" si="3"/>
        <v>756.6833333</v>
      </c>
      <c r="R385" s="1" t="str">
        <f t="shared" si="4"/>
        <v>DLH</v>
      </c>
      <c r="S385" s="1" t="str">
        <f>IF($D385="LEBL", IF(COUNTIF('Paises ECAC'!B:B, C385)&gt;0, "ECAC","NO ECAC"), "")</f>
        <v>ECAC</v>
      </c>
    </row>
    <row r="386" ht="14.25" customHeight="1">
      <c r="A386" s="1" t="s">
        <v>789</v>
      </c>
      <c r="B386" s="1" t="s">
        <v>790</v>
      </c>
      <c r="C386" s="1" t="s">
        <v>682</v>
      </c>
      <c r="D386" s="1" t="s">
        <v>21</v>
      </c>
      <c r="E386" s="1" t="s">
        <v>791</v>
      </c>
      <c r="F386" s="1">
        <v>270.0</v>
      </c>
      <c r="G386" s="5">
        <v>0.3951388888888889</v>
      </c>
      <c r="H386" s="1">
        <v>14.0</v>
      </c>
      <c r="I386" s="5">
        <v>0.4340277777777778</v>
      </c>
      <c r="J386" s="1" t="str">
        <f t="array" ref="J386">XLOOKUP(B386,cat!B:B,cat!C:C)</f>
        <v>E</v>
      </c>
      <c r="K386" s="1">
        <f t="array" ref="K386">XLOOKUP(B386,cat!B:B,cat!D:D)</f>
        <v>49</v>
      </c>
      <c r="L386" s="7">
        <f t="shared" si="1"/>
        <v>0.03888888889</v>
      </c>
      <c r="M386" s="7">
        <f t="shared" si="2"/>
        <v>0.01645833333</v>
      </c>
      <c r="P386" s="9"/>
      <c r="Q386" s="9">
        <f t="shared" si="3"/>
        <v>177.75</v>
      </c>
      <c r="R386" s="1" t="str">
        <f t="shared" si="4"/>
        <v>AXY</v>
      </c>
      <c r="S386" s="1" t="str">
        <f>IF($D386="LEBL", IF(COUNTIF('Paises ECAC'!B:B, C386)&gt;0, "ECAC","NO ECAC"), "")</f>
        <v>ECAC</v>
      </c>
    </row>
    <row r="387" ht="14.25" customHeight="1">
      <c r="A387" s="1" t="s">
        <v>792</v>
      </c>
      <c r="B387" s="1" t="s">
        <v>576</v>
      </c>
      <c r="C387" s="1" t="s">
        <v>21</v>
      </c>
      <c r="D387" s="1" t="s">
        <v>343</v>
      </c>
      <c r="E387" s="1" t="s">
        <v>577</v>
      </c>
      <c r="F387" s="1">
        <v>400.0</v>
      </c>
      <c r="G387" s="5">
        <v>0.4361111111111111</v>
      </c>
      <c r="H387" s="1">
        <v>15.0</v>
      </c>
      <c r="I387" s="5">
        <v>0.5520833333333334</v>
      </c>
      <c r="J387" s="1" t="str">
        <f t="array" ref="J387">XLOOKUP(B387,cat!B:B,cat!C:C)</f>
        <v>B</v>
      </c>
      <c r="K387" s="1">
        <f t="array" ref="K387">XLOOKUP(B387,cat!B:B,cat!D:D)</f>
        <v>284</v>
      </c>
      <c r="L387" s="7">
        <f t="shared" si="1"/>
        <v>0.1159722222</v>
      </c>
      <c r="M387" s="1" t="str">
        <f t="shared" si="2"/>
        <v/>
      </c>
      <c r="P387" s="9"/>
      <c r="Q387" s="9">
        <f t="shared" si="3"/>
        <v>0</v>
      </c>
      <c r="R387" s="1" t="str">
        <f t="shared" si="4"/>
        <v>THY</v>
      </c>
      <c r="S387" s="1" t="str">
        <f>IF($D387="LEBL", IF(COUNTIF('Paises ECAC'!B:B, C387)&gt;0, "ECAC","NO ECAC"), "")</f>
        <v/>
      </c>
    </row>
    <row r="388" ht="14.25" customHeight="1">
      <c r="A388" s="1" t="s">
        <v>793</v>
      </c>
      <c r="B388" s="1" t="s">
        <v>212</v>
      </c>
      <c r="C388" s="1" t="s">
        <v>794</v>
      </c>
      <c r="D388" s="1" t="s">
        <v>21</v>
      </c>
      <c r="E388" s="1" t="s">
        <v>795</v>
      </c>
      <c r="F388" s="1">
        <v>330.0</v>
      </c>
      <c r="G388" s="5">
        <v>0.3055555555555556</v>
      </c>
      <c r="H388" s="1">
        <v>15.0</v>
      </c>
      <c r="I388" s="5">
        <v>0.4340277777777778</v>
      </c>
      <c r="J388" s="1" t="str">
        <f t="array" ref="J388">XLOOKUP(B388,cat!B:B,cat!C:C)</f>
        <v>D</v>
      </c>
      <c r="K388" s="1">
        <f t="array" ref="K388">XLOOKUP(B388,cat!B:B,cat!D:D)</f>
        <v>200</v>
      </c>
      <c r="L388" s="7">
        <f t="shared" si="1"/>
        <v>0.1284722222</v>
      </c>
      <c r="M388" s="7">
        <f t="shared" si="2"/>
        <v>0.1053472222</v>
      </c>
      <c r="P388" s="9"/>
      <c r="Q388" s="9">
        <f t="shared" si="3"/>
        <v>2098.516667</v>
      </c>
      <c r="R388" s="1" t="str">
        <f t="shared" si="4"/>
        <v>PGT</v>
      </c>
      <c r="S388" s="1" t="str">
        <f>IF($D388="LEBL", IF(COUNTIF('Paises ECAC'!B:B, C388)&gt;0, "ECAC","NO ECAC"), "")</f>
        <v>ECAC</v>
      </c>
    </row>
    <row r="389" ht="14.25" customHeight="1">
      <c r="A389" s="1" t="s">
        <v>796</v>
      </c>
      <c r="B389" s="1" t="s">
        <v>19</v>
      </c>
      <c r="C389" s="1" t="s">
        <v>129</v>
      </c>
      <c r="D389" s="1" t="s">
        <v>21</v>
      </c>
      <c r="E389" s="1" t="s">
        <v>797</v>
      </c>
      <c r="F389" s="1">
        <v>310.0</v>
      </c>
      <c r="G389" s="5">
        <v>0.39305555555555555</v>
      </c>
      <c r="H389" s="1">
        <v>13.0</v>
      </c>
      <c r="I389" s="5">
        <v>0.4340277777777778</v>
      </c>
      <c r="J389" s="1" t="str">
        <f t="array" ref="J389">XLOOKUP(B389,cat!B:B,cat!C:C)</f>
        <v>D</v>
      </c>
      <c r="K389" s="1">
        <f t="array" ref="K389">XLOOKUP(B389,cat!B:B,cat!D:D)</f>
        <v>184</v>
      </c>
      <c r="L389" s="7">
        <f t="shared" si="1"/>
        <v>0.04097222222</v>
      </c>
      <c r="M389" s="7">
        <f t="shared" si="2"/>
        <v>0.01923611111</v>
      </c>
      <c r="P389" s="9"/>
      <c r="Q389" s="9">
        <f t="shared" si="3"/>
        <v>383.1833333</v>
      </c>
      <c r="R389" s="1" t="str">
        <f t="shared" si="4"/>
        <v>RYR</v>
      </c>
      <c r="S389" s="1" t="str">
        <f>IF($D389="LEBL", IF(COUNTIF('Paises ECAC'!B:B, C389)&gt;0, "ECAC","NO ECAC"), "")</f>
        <v>ECAC</v>
      </c>
    </row>
    <row r="390" ht="14.25" customHeight="1">
      <c r="A390" s="1" t="s">
        <v>798</v>
      </c>
      <c r="B390" s="1" t="s">
        <v>35</v>
      </c>
      <c r="C390" s="1" t="s">
        <v>21</v>
      </c>
      <c r="D390" s="1" t="s">
        <v>581</v>
      </c>
      <c r="E390" s="1" t="s">
        <v>190</v>
      </c>
      <c r="F390" s="1">
        <v>340.0</v>
      </c>
      <c r="G390" s="5">
        <v>0.4361111111111111</v>
      </c>
      <c r="H390" s="1">
        <v>13.0</v>
      </c>
      <c r="I390" s="5">
        <v>0.5208333333333334</v>
      </c>
      <c r="J390" s="1" t="str">
        <f t="array" ref="J390">XLOOKUP(B390,cat!B:B,cat!C:C)</f>
        <v>D</v>
      </c>
      <c r="K390" s="1">
        <f t="array" ref="K390">XLOOKUP(B390,cat!B:B,cat!D:D)</f>
        <v>207</v>
      </c>
      <c r="L390" s="7">
        <f t="shared" si="1"/>
        <v>0.08472222222</v>
      </c>
      <c r="M390" s="1" t="str">
        <f t="shared" si="2"/>
        <v/>
      </c>
      <c r="P390" s="9"/>
      <c r="Q390" s="9">
        <f t="shared" si="3"/>
        <v>0</v>
      </c>
      <c r="R390" s="1" t="str">
        <f t="shared" si="4"/>
        <v>VLG</v>
      </c>
      <c r="S390" s="1" t="str">
        <f>IF($D390="LEBL", IF(COUNTIF('Paises ECAC'!B:B, C390)&gt;0, "ECAC","NO ECAC"), "")</f>
        <v/>
      </c>
    </row>
    <row r="391" ht="14.25" customHeight="1">
      <c r="A391" s="1" t="s">
        <v>799</v>
      </c>
      <c r="B391" s="1" t="s">
        <v>800</v>
      </c>
      <c r="C391" s="1" t="s">
        <v>21</v>
      </c>
      <c r="D391" s="1" t="s">
        <v>192</v>
      </c>
      <c r="E391" s="1" t="s">
        <v>801</v>
      </c>
      <c r="F391" s="1">
        <v>310.0</v>
      </c>
      <c r="G391" s="5">
        <v>0.4395833333333333</v>
      </c>
      <c r="H391" s="1">
        <v>20.0</v>
      </c>
      <c r="I391" s="5">
        <v>0.4861111111111111</v>
      </c>
      <c r="J391" s="1" t="str">
        <f t="array" ref="J391">XLOOKUP(B391,cat!B:B,cat!C:C)</f>
        <v>E</v>
      </c>
      <c r="K391" s="1">
        <f t="array" ref="K391">XLOOKUP(B391,cat!B:B,cat!D:D)</f>
        <v>9</v>
      </c>
      <c r="L391" s="7">
        <f t="shared" si="1"/>
        <v>0.04652777778</v>
      </c>
      <c r="M391" s="1" t="str">
        <f t="shared" si="2"/>
        <v/>
      </c>
      <c r="P391" s="9"/>
      <c r="Q391" s="9">
        <f t="shared" si="3"/>
        <v>0</v>
      </c>
      <c r="R391" s="1" t="str">
        <f t="shared" si="4"/>
        <v>NJE</v>
      </c>
      <c r="S391" s="1" t="str">
        <f>IF($D391="LEBL", IF(COUNTIF('Paises ECAC'!B:B, C391)&gt;0, "ECAC","NO ECAC"), "")</f>
        <v/>
      </c>
    </row>
    <row r="392" ht="14.25" customHeight="1">
      <c r="A392" s="1" t="s">
        <v>802</v>
      </c>
      <c r="B392" s="1" t="s">
        <v>35</v>
      </c>
      <c r="C392" s="1" t="s">
        <v>21</v>
      </c>
      <c r="D392" s="1" t="s">
        <v>107</v>
      </c>
      <c r="E392" s="1" t="s">
        <v>254</v>
      </c>
      <c r="F392" s="1">
        <v>350.0</v>
      </c>
      <c r="G392" s="5">
        <v>0.43333333333333335</v>
      </c>
      <c r="H392" s="1">
        <v>9.0</v>
      </c>
      <c r="I392" s="5">
        <v>0.4965277777777778</v>
      </c>
      <c r="J392" s="1" t="str">
        <f t="array" ref="J392">XLOOKUP(B392,cat!B:B,cat!C:C)</f>
        <v>D</v>
      </c>
      <c r="K392" s="1">
        <f t="array" ref="K392">XLOOKUP(B392,cat!B:B,cat!D:D)</f>
        <v>207</v>
      </c>
      <c r="L392" s="7">
        <f t="shared" si="1"/>
        <v>0.06319444444</v>
      </c>
      <c r="M392" s="1" t="str">
        <f t="shared" si="2"/>
        <v/>
      </c>
      <c r="P392" s="9"/>
      <c r="Q392" s="9">
        <f t="shared" si="3"/>
        <v>0</v>
      </c>
      <c r="R392" s="1" t="str">
        <f t="shared" si="4"/>
        <v>VLG</v>
      </c>
      <c r="S392" s="1" t="str">
        <f>IF($D392="LEBL", IF(COUNTIF('Paises ECAC'!B:B, C392)&gt;0, "ECAC","NO ECAC"), "")</f>
        <v/>
      </c>
    </row>
    <row r="393" ht="14.25" customHeight="1">
      <c r="A393" s="1" t="s">
        <v>803</v>
      </c>
      <c r="B393" s="1" t="s">
        <v>294</v>
      </c>
      <c r="C393" s="1" t="s">
        <v>21</v>
      </c>
      <c r="D393" s="1" t="s">
        <v>295</v>
      </c>
      <c r="E393" s="1" t="s">
        <v>470</v>
      </c>
      <c r="F393" s="1">
        <v>380.0</v>
      </c>
      <c r="G393" s="5">
        <v>0.43333333333333335</v>
      </c>
      <c r="H393" s="1">
        <v>14.0</v>
      </c>
      <c r="I393" s="5">
        <v>0.7291666666666666</v>
      </c>
      <c r="J393" s="1" t="str">
        <f t="array" ref="J393">XLOOKUP(B393,cat!B:B,cat!C:C)</f>
        <v>B</v>
      </c>
      <c r="K393" s="1">
        <f t="array" ref="K393">XLOOKUP(B393,cat!B:B,cat!D:D)</f>
        <v>331</v>
      </c>
      <c r="L393" s="7">
        <f t="shared" si="1"/>
        <v>0.2958333333</v>
      </c>
      <c r="M393" s="1" t="str">
        <f t="shared" si="2"/>
        <v/>
      </c>
      <c r="P393" s="9"/>
      <c r="Q393" s="9">
        <f t="shared" si="3"/>
        <v>0</v>
      </c>
      <c r="R393" s="1" t="str">
        <f t="shared" si="4"/>
        <v>ACA</v>
      </c>
      <c r="S393" s="1" t="str">
        <f>IF($D393="LEBL", IF(COUNTIF('Paises ECAC'!B:B, C393)&gt;0, "ECAC","NO ECAC"), "")</f>
        <v/>
      </c>
    </row>
    <row r="394" ht="14.25" customHeight="1">
      <c r="A394" s="1" t="s">
        <v>804</v>
      </c>
      <c r="B394" s="1" t="s">
        <v>122</v>
      </c>
      <c r="C394" s="1" t="s">
        <v>21</v>
      </c>
      <c r="D394" s="1" t="s">
        <v>307</v>
      </c>
      <c r="E394" s="1" t="s">
        <v>308</v>
      </c>
      <c r="F394" s="1">
        <v>390.0</v>
      </c>
      <c r="G394" s="5">
        <v>0.4395833333333333</v>
      </c>
      <c r="H394" s="1">
        <v>14.0</v>
      </c>
      <c r="I394" s="5">
        <v>0.8506944444444444</v>
      </c>
      <c r="J394" s="1" t="str">
        <f t="array" ref="J394">XLOOKUP(B394,cat!B:B,cat!C:C)</f>
        <v>B</v>
      </c>
      <c r="K394" s="1">
        <f t="array" ref="K394">XLOOKUP(B394,cat!B:B,cat!D:D)</f>
        <v>297</v>
      </c>
      <c r="L394" s="7">
        <f t="shared" si="1"/>
        <v>0.4111111111</v>
      </c>
      <c r="M394" s="1" t="str">
        <f t="shared" si="2"/>
        <v/>
      </c>
      <c r="P394" s="9"/>
      <c r="Q394" s="9">
        <f t="shared" si="3"/>
        <v>0</v>
      </c>
      <c r="R394" s="1" t="str">
        <f t="shared" si="4"/>
        <v>CCA</v>
      </c>
      <c r="S394" s="1" t="str">
        <f>IF($D394="LEBL", IF(COUNTIF('Paises ECAC'!B:B, C394)&gt;0, "ECAC","NO ECAC"), "")</f>
        <v/>
      </c>
    </row>
    <row r="395" ht="14.25" customHeight="1">
      <c r="A395" s="1" t="s">
        <v>805</v>
      </c>
      <c r="B395" s="1" t="s">
        <v>136</v>
      </c>
      <c r="C395" s="1" t="s">
        <v>335</v>
      </c>
      <c r="D395" s="1" t="s">
        <v>21</v>
      </c>
      <c r="E395" s="1" t="s">
        <v>336</v>
      </c>
      <c r="F395" s="1">
        <v>390.0</v>
      </c>
      <c r="G395" s="5">
        <v>0.37777777777777777</v>
      </c>
      <c r="H395" s="1">
        <v>9.0</v>
      </c>
      <c r="I395" s="5">
        <v>0.4409722222222222</v>
      </c>
      <c r="J395" s="1" t="str">
        <f t="array" ref="J395">XLOOKUP(B395,cat!B:B,cat!C:C)</f>
        <v>D</v>
      </c>
      <c r="K395" s="1">
        <f t="array" ref="K395">XLOOKUP(B395,cat!B:B,cat!D:D)</f>
        <v>144</v>
      </c>
      <c r="L395" s="7">
        <f t="shared" si="1"/>
        <v>0.06319444444</v>
      </c>
      <c r="M395" s="7">
        <f t="shared" si="2"/>
        <v>0.04423611111</v>
      </c>
      <c r="P395" s="9"/>
      <c r="Q395" s="9">
        <f t="shared" si="3"/>
        <v>881.1833333</v>
      </c>
      <c r="R395" s="1" t="str">
        <f t="shared" si="4"/>
        <v>EJU</v>
      </c>
      <c r="S395" s="1" t="str">
        <f>IF($D395="LEBL", IF(COUNTIF('Paises ECAC'!B:B, C395)&gt;0, "ECAC","NO ECAC"), "")</f>
        <v>ECAC</v>
      </c>
    </row>
    <row r="396" ht="14.25" customHeight="1">
      <c r="A396" s="1" t="s">
        <v>806</v>
      </c>
      <c r="B396" s="1" t="s">
        <v>30</v>
      </c>
      <c r="C396" s="1" t="s">
        <v>169</v>
      </c>
      <c r="D396" s="1" t="s">
        <v>21</v>
      </c>
      <c r="E396" s="1" t="s">
        <v>265</v>
      </c>
      <c r="F396" s="1">
        <v>370.0</v>
      </c>
      <c r="G396" s="5">
        <v>0.3625</v>
      </c>
      <c r="H396" s="1">
        <v>10.0</v>
      </c>
      <c r="I396" s="5">
        <v>0.4409722222222222</v>
      </c>
      <c r="J396" s="1" t="str">
        <f t="array" ref="J396">XLOOKUP(B396,cat!B:B,cat!C:C)</f>
        <v>D</v>
      </c>
      <c r="K396" s="1">
        <f t="array" ref="K396">XLOOKUP(B396,cat!B:B,cat!D:D)</f>
        <v>173</v>
      </c>
      <c r="L396" s="7">
        <f t="shared" si="1"/>
        <v>0.07847222222</v>
      </c>
      <c r="M396" s="7">
        <f t="shared" si="2"/>
        <v>0.05881944444</v>
      </c>
      <c r="P396" s="9"/>
      <c r="Q396" s="9">
        <f t="shared" si="3"/>
        <v>1171.683333</v>
      </c>
      <c r="R396" s="1" t="str">
        <f t="shared" si="4"/>
        <v>VLG</v>
      </c>
      <c r="S396" s="1" t="str">
        <f>IF($D396="LEBL", IF(COUNTIF('Paises ECAC'!B:B, C396)&gt;0, "ECAC","NO ECAC"), "")</f>
        <v>ECAC</v>
      </c>
    </row>
    <row r="397" ht="14.25" customHeight="1">
      <c r="A397" s="1" t="s">
        <v>807</v>
      </c>
      <c r="B397" s="1" t="s">
        <v>30</v>
      </c>
      <c r="C397" s="1" t="s">
        <v>21</v>
      </c>
      <c r="D397" s="1" t="s">
        <v>808</v>
      </c>
      <c r="E397" s="1" t="s">
        <v>32</v>
      </c>
      <c r="F397" s="1">
        <v>340.0</v>
      </c>
      <c r="G397" s="5">
        <v>0.4423611111111111</v>
      </c>
      <c r="H397" s="1">
        <v>12.0</v>
      </c>
      <c r="I397" s="5">
        <v>0.4895833333333333</v>
      </c>
      <c r="J397" s="1" t="str">
        <f t="array" ref="J397">XLOOKUP(B397,cat!B:B,cat!C:C)</f>
        <v>D</v>
      </c>
      <c r="K397" s="1">
        <f t="array" ref="K397">XLOOKUP(B397,cat!B:B,cat!D:D)</f>
        <v>173</v>
      </c>
      <c r="L397" s="7">
        <f t="shared" si="1"/>
        <v>0.04722222222</v>
      </c>
      <c r="M397" s="1" t="str">
        <f t="shared" si="2"/>
        <v/>
      </c>
      <c r="P397" s="9"/>
      <c r="Q397" s="9">
        <f t="shared" si="3"/>
        <v>0</v>
      </c>
      <c r="R397" s="1" t="str">
        <f t="shared" si="4"/>
        <v>VLG</v>
      </c>
      <c r="S397" s="1" t="str">
        <f>IF($D397="LEBL", IF(COUNTIF('Paises ECAC'!B:B, C397)&gt;0, "ECAC","NO ECAC"), "")</f>
        <v/>
      </c>
    </row>
    <row r="398" ht="14.25" customHeight="1">
      <c r="A398" s="1" t="s">
        <v>809</v>
      </c>
      <c r="B398" s="1" t="s">
        <v>212</v>
      </c>
      <c r="C398" s="1" t="s">
        <v>21</v>
      </c>
      <c r="D398" s="1" t="s">
        <v>26</v>
      </c>
      <c r="E398" s="1" t="s">
        <v>656</v>
      </c>
      <c r="F398" s="1">
        <v>370.0</v>
      </c>
      <c r="G398" s="5">
        <v>0.44375</v>
      </c>
      <c r="H398" s="1">
        <v>10.0</v>
      </c>
      <c r="I398" s="5">
        <v>0.5451388888888888</v>
      </c>
      <c r="J398" s="1" t="str">
        <f t="array" ref="J398">XLOOKUP(B398,cat!B:B,cat!C:C)</f>
        <v>D</v>
      </c>
      <c r="K398" s="1">
        <f t="array" ref="K398">XLOOKUP(B398,cat!B:B,cat!D:D)</f>
        <v>200</v>
      </c>
      <c r="L398" s="7">
        <f t="shared" si="1"/>
        <v>0.1013888889</v>
      </c>
      <c r="M398" s="1" t="str">
        <f t="shared" si="2"/>
        <v/>
      </c>
      <c r="P398" s="9"/>
      <c r="Q398" s="9">
        <f t="shared" si="3"/>
        <v>0</v>
      </c>
      <c r="R398" s="1" t="str">
        <f t="shared" si="4"/>
        <v>AEE</v>
      </c>
      <c r="S398" s="1" t="str">
        <f>IF($D398="LEBL", IF(COUNTIF('Paises ECAC'!B:B, C398)&gt;0, "ECAC","NO ECAC"), "")</f>
        <v/>
      </c>
    </row>
    <row r="399" ht="14.25" customHeight="1">
      <c r="A399" s="1" t="s">
        <v>810</v>
      </c>
      <c r="B399" s="1" t="s">
        <v>132</v>
      </c>
      <c r="C399" s="1" t="s">
        <v>21</v>
      </c>
      <c r="D399" s="1" t="s">
        <v>406</v>
      </c>
      <c r="E399" s="1" t="s">
        <v>407</v>
      </c>
      <c r="F399" s="1">
        <v>360.0</v>
      </c>
      <c r="G399" s="5">
        <v>0.4305555555555556</v>
      </c>
      <c r="H399" s="1">
        <v>20.0</v>
      </c>
      <c r="I399" s="5">
        <v>0.75</v>
      </c>
      <c r="J399" s="1" t="str">
        <f t="array" ref="J399">XLOOKUP(B399,cat!B:B,cat!C:C)</f>
        <v>B</v>
      </c>
      <c r="K399" s="1">
        <f t="array" ref="K399">XLOOKUP(B399,cat!B:B,cat!D:D)</f>
        <v>296</v>
      </c>
      <c r="L399" s="7">
        <f t="shared" si="1"/>
        <v>0.3194444444</v>
      </c>
      <c r="M399" s="1" t="str">
        <f t="shared" si="2"/>
        <v/>
      </c>
      <c r="P399" s="9"/>
      <c r="Q399" s="9">
        <f t="shared" si="3"/>
        <v>0</v>
      </c>
      <c r="R399" s="1" t="str">
        <f t="shared" si="4"/>
        <v>UAL</v>
      </c>
      <c r="S399" s="1" t="str">
        <f>IF($D399="LEBL", IF(COUNTIF('Paises ECAC'!B:B, C399)&gt;0, "ECAC","NO ECAC"), "")</f>
        <v/>
      </c>
    </row>
    <row r="400" ht="14.25" customHeight="1">
      <c r="A400" s="1" t="s">
        <v>811</v>
      </c>
      <c r="B400" s="1" t="s">
        <v>182</v>
      </c>
      <c r="C400" s="1" t="s">
        <v>21</v>
      </c>
      <c r="D400" s="1" t="s">
        <v>604</v>
      </c>
      <c r="E400" s="1" t="s">
        <v>605</v>
      </c>
      <c r="F400" s="1">
        <v>380.0</v>
      </c>
      <c r="G400" s="5">
        <v>0.4465277777777778</v>
      </c>
      <c r="H400" s="1">
        <v>23.0</v>
      </c>
      <c r="I400" s="5">
        <v>0.8472222222222222</v>
      </c>
      <c r="J400" s="1" t="str">
        <f t="array" ref="J400">XLOOKUP(B400,cat!B:B,cat!C:C)</f>
        <v>B</v>
      </c>
      <c r="K400" s="1">
        <f t="array" ref="K400">XLOOKUP(B400,cat!B:B,cat!D:D)</f>
        <v>284</v>
      </c>
      <c r="L400" s="7">
        <f t="shared" si="1"/>
        <v>0.4006944444</v>
      </c>
      <c r="M400" s="1" t="str">
        <f t="shared" si="2"/>
        <v/>
      </c>
      <c r="P400" s="9"/>
      <c r="Q400" s="9">
        <f t="shared" si="3"/>
        <v>0</v>
      </c>
      <c r="R400" s="1" t="str">
        <f t="shared" si="4"/>
        <v>AAL</v>
      </c>
      <c r="S400" s="1" t="str">
        <f>IF($D400="LEBL", IF(COUNTIF('Paises ECAC'!B:B, C400)&gt;0, "ECAC","NO ECAC"), "")</f>
        <v/>
      </c>
    </row>
    <row r="401" ht="14.25" customHeight="1">
      <c r="A401" s="1" t="s">
        <v>812</v>
      </c>
      <c r="B401" s="1" t="s">
        <v>30</v>
      </c>
      <c r="C401" s="1" t="s">
        <v>21</v>
      </c>
      <c r="D401" s="1" t="s">
        <v>199</v>
      </c>
      <c r="E401" s="1" t="s">
        <v>696</v>
      </c>
      <c r="F401" s="1">
        <v>340.0</v>
      </c>
      <c r="G401" s="5">
        <v>0.4479166666666667</v>
      </c>
      <c r="H401" s="1">
        <v>10.0</v>
      </c>
      <c r="I401" s="5">
        <v>0.5208333333333334</v>
      </c>
      <c r="J401" s="1" t="str">
        <f t="array" ref="J401">XLOOKUP(B401,cat!B:B,cat!C:C)</f>
        <v>D</v>
      </c>
      <c r="K401" s="1">
        <f t="array" ref="K401">XLOOKUP(B401,cat!B:B,cat!D:D)</f>
        <v>173</v>
      </c>
      <c r="L401" s="7">
        <f t="shared" si="1"/>
        <v>0.07291666667</v>
      </c>
      <c r="M401" s="1" t="str">
        <f t="shared" si="2"/>
        <v/>
      </c>
      <c r="P401" s="9"/>
      <c r="Q401" s="9">
        <f t="shared" si="3"/>
        <v>0</v>
      </c>
      <c r="R401" s="1" t="str">
        <f t="shared" si="4"/>
        <v>BEL</v>
      </c>
      <c r="S401" s="1" t="str">
        <f>IF($D401="LEBL", IF(COUNTIF('Paises ECAC'!B:B, C401)&gt;0, "ECAC","NO ECAC"), "")</f>
        <v/>
      </c>
    </row>
    <row r="402" ht="14.25" customHeight="1">
      <c r="A402" s="1" t="s">
        <v>813</v>
      </c>
      <c r="B402" s="1" t="s">
        <v>57</v>
      </c>
      <c r="C402" s="1" t="s">
        <v>530</v>
      </c>
      <c r="D402" s="1" t="s">
        <v>21</v>
      </c>
      <c r="E402" s="1" t="s">
        <v>814</v>
      </c>
      <c r="F402" s="1">
        <v>400.0</v>
      </c>
      <c r="G402" s="5">
        <v>0.0798611111111111</v>
      </c>
      <c r="H402" s="1">
        <v>10.0</v>
      </c>
      <c r="I402" s="5">
        <v>0.4479166666666667</v>
      </c>
      <c r="J402" s="1" t="str">
        <f t="array" ref="J402">XLOOKUP(B402,cat!B:B,cat!C:C)</f>
        <v>B</v>
      </c>
      <c r="K402" s="1">
        <f t="array" ref="K402">XLOOKUP(B402,cat!B:B,cat!D:D)</f>
        <v>281</v>
      </c>
      <c r="L402" s="7">
        <f t="shared" si="1"/>
        <v>0.3680555556</v>
      </c>
      <c r="M402" s="7">
        <f t="shared" si="2"/>
        <v>0.3484027778</v>
      </c>
      <c r="P402" s="9"/>
      <c r="Q402" s="9">
        <f t="shared" si="3"/>
        <v>7525.5</v>
      </c>
      <c r="R402" s="1" t="str">
        <f t="shared" si="4"/>
        <v>IBE</v>
      </c>
      <c r="S402" s="1" t="str">
        <f>IF($D402="LEBL", IF(COUNTIF('Paises ECAC'!B:B, C402)&gt;0, "ECAC","NO ECAC"), "")</f>
        <v>NO ECAC</v>
      </c>
    </row>
    <row r="403" ht="14.25" customHeight="1">
      <c r="A403" s="1" t="s">
        <v>815</v>
      </c>
      <c r="B403" s="1" t="s">
        <v>136</v>
      </c>
      <c r="C403" s="1" t="s">
        <v>21</v>
      </c>
      <c r="D403" s="1" t="s">
        <v>646</v>
      </c>
      <c r="E403" s="1" t="s">
        <v>238</v>
      </c>
      <c r="F403" s="1">
        <v>360.0</v>
      </c>
      <c r="G403" s="5">
        <v>0.44722222222222224</v>
      </c>
      <c r="H403" s="1">
        <v>21.0</v>
      </c>
      <c r="I403" s="5">
        <v>0.5381944444444444</v>
      </c>
      <c r="J403" s="1" t="str">
        <f t="array" ref="J403">XLOOKUP(B403,cat!B:B,cat!C:C)</f>
        <v>D</v>
      </c>
      <c r="K403" s="1">
        <f t="array" ref="K403">XLOOKUP(B403,cat!B:B,cat!D:D)</f>
        <v>144</v>
      </c>
      <c r="L403" s="7">
        <f t="shared" si="1"/>
        <v>0.09097222222</v>
      </c>
      <c r="M403" s="1" t="str">
        <f t="shared" si="2"/>
        <v/>
      </c>
      <c r="P403" s="9"/>
      <c r="Q403" s="9">
        <f t="shared" si="3"/>
        <v>0</v>
      </c>
      <c r="R403" s="1" t="str">
        <f t="shared" si="4"/>
        <v>EJU</v>
      </c>
      <c r="S403" s="1" t="str">
        <f>IF($D403="LEBL", IF(COUNTIF('Paises ECAC'!B:B, C403)&gt;0, "ECAC","NO ECAC"), "")</f>
        <v/>
      </c>
    </row>
    <row r="404" ht="14.25" customHeight="1">
      <c r="A404" s="1" t="s">
        <v>816</v>
      </c>
      <c r="B404" s="1" t="s">
        <v>35</v>
      </c>
      <c r="C404" s="1" t="s">
        <v>234</v>
      </c>
      <c r="D404" s="1" t="s">
        <v>21</v>
      </c>
      <c r="E404" s="1" t="s">
        <v>817</v>
      </c>
      <c r="F404" s="1">
        <v>260.0</v>
      </c>
      <c r="G404" s="5">
        <v>0.41458333333333336</v>
      </c>
      <c r="H404" s="1">
        <v>15.0</v>
      </c>
      <c r="I404" s="5">
        <v>0.4479166666666667</v>
      </c>
      <c r="J404" s="1" t="str">
        <f t="array" ref="J404">XLOOKUP(B404,cat!B:B,cat!C:C)</f>
        <v>D</v>
      </c>
      <c r="K404" s="1">
        <f t="array" ref="K404">XLOOKUP(B404,cat!B:B,cat!D:D)</f>
        <v>207</v>
      </c>
      <c r="L404" s="7">
        <f t="shared" si="1"/>
        <v>0.03333333333</v>
      </c>
      <c r="M404" s="7">
        <f t="shared" si="2"/>
        <v>0.01020833333</v>
      </c>
      <c r="P404" s="9"/>
      <c r="Q404" s="9">
        <f t="shared" si="3"/>
        <v>203.35</v>
      </c>
      <c r="R404" s="1" t="str">
        <f t="shared" si="4"/>
        <v>IBE</v>
      </c>
      <c r="S404" s="1" t="str">
        <f>IF($D404="LEBL", IF(COUNTIF('Paises ECAC'!B:B, C404)&gt;0, "ECAC","NO ECAC"), "")</f>
        <v>ECAC</v>
      </c>
    </row>
    <row r="405" ht="14.25" customHeight="1">
      <c r="A405" s="1" t="s">
        <v>818</v>
      </c>
      <c r="B405" s="1" t="s">
        <v>19</v>
      </c>
      <c r="C405" s="1" t="s">
        <v>21</v>
      </c>
      <c r="D405" s="1" t="s">
        <v>678</v>
      </c>
      <c r="E405" s="1" t="s">
        <v>679</v>
      </c>
      <c r="F405" s="1">
        <v>370.0</v>
      </c>
      <c r="G405" s="5">
        <v>0.44722222222222224</v>
      </c>
      <c r="H405" s="1">
        <v>20.0</v>
      </c>
      <c r="I405" s="5">
        <v>0.5069444444444444</v>
      </c>
      <c r="J405" s="1" t="str">
        <f t="array" ref="J405">XLOOKUP(B405,cat!B:B,cat!C:C)</f>
        <v>D</v>
      </c>
      <c r="K405" s="1">
        <f t="array" ref="K405">XLOOKUP(B405,cat!B:B,cat!D:D)</f>
        <v>184</v>
      </c>
      <c r="L405" s="7">
        <f t="shared" si="1"/>
        <v>0.05972222222</v>
      </c>
      <c r="M405" s="1" t="str">
        <f t="shared" si="2"/>
        <v/>
      </c>
      <c r="P405" s="9"/>
      <c r="Q405" s="9">
        <f t="shared" si="3"/>
        <v>0</v>
      </c>
      <c r="R405" s="1" t="str">
        <f t="shared" si="4"/>
        <v>RYR</v>
      </c>
      <c r="S405" s="1" t="str">
        <f>IF($D405="LEBL", IF(COUNTIF('Paises ECAC'!B:B, C405)&gt;0, "ECAC","NO ECAC"), "")</f>
        <v/>
      </c>
    </row>
    <row r="406" ht="14.25" customHeight="1">
      <c r="A406" s="1" t="s">
        <v>819</v>
      </c>
      <c r="B406" s="1" t="s">
        <v>30</v>
      </c>
      <c r="C406" s="1" t="s">
        <v>245</v>
      </c>
      <c r="D406" s="1" t="s">
        <v>21</v>
      </c>
      <c r="E406" s="1" t="s">
        <v>71</v>
      </c>
      <c r="F406" s="1">
        <v>180.0</v>
      </c>
      <c r="G406" s="5">
        <v>0.42083333333333334</v>
      </c>
      <c r="H406" s="1">
        <v>7.0</v>
      </c>
      <c r="I406" s="5">
        <v>0.4513888888888889</v>
      </c>
      <c r="J406" s="1" t="str">
        <f t="array" ref="J406">XLOOKUP(B406,cat!B:B,cat!C:C)</f>
        <v>D</v>
      </c>
      <c r="K406" s="1">
        <f t="array" ref="K406">XLOOKUP(B406,cat!B:B,cat!D:D)</f>
        <v>173</v>
      </c>
      <c r="L406" s="7">
        <f t="shared" si="1"/>
        <v>0.03055555556</v>
      </c>
      <c r="M406" s="7">
        <f t="shared" si="2"/>
        <v>0.01298611111</v>
      </c>
      <c r="P406" s="9"/>
      <c r="Q406" s="9">
        <f t="shared" si="3"/>
        <v>258.6833333</v>
      </c>
      <c r="R406" s="1" t="str">
        <f t="shared" si="4"/>
        <v>VLG</v>
      </c>
      <c r="S406" s="1" t="str">
        <f>IF($D406="LEBL", IF(COUNTIF('Paises ECAC'!B:B, C406)&gt;0, "ECAC","NO ECAC"), "")</f>
        <v>ECAC</v>
      </c>
    </row>
    <row r="407" ht="14.25" customHeight="1">
      <c r="A407" s="1" t="s">
        <v>820</v>
      </c>
      <c r="B407" s="1" t="s">
        <v>30</v>
      </c>
      <c r="C407" s="1" t="s">
        <v>221</v>
      </c>
      <c r="D407" s="1" t="s">
        <v>21</v>
      </c>
      <c r="E407" s="1" t="s">
        <v>222</v>
      </c>
      <c r="F407" s="1">
        <v>350.0</v>
      </c>
      <c r="G407" s="5">
        <v>0.35347222222222224</v>
      </c>
      <c r="H407" s="1">
        <v>19.0</v>
      </c>
      <c r="I407" s="5">
        <v>0.4513888888888889</v>
      </c>
      <c r="J407" s="1" t="str">
        <f t="array" ref="J407">XLOOKUP(B407,cat!B:B,cat!C:C)</f>
        <v>D</v>
      </c>
      <c r="K407" s="1">
        <f t="array" ref="K407">XLOOKUP(B407,cat!B:B,cat!D:D)</f>
        <v>173</v>
      </c>
      <c r="L407" s="7">
        <f t="shared" si="1"/>
        <v>0.09791666667</v>
      </c>
      <c r="M407" s="7">
        <f t="shared" si="2"/>
        <v>0.07201388889</v>
      </c>
      <c r="P407" s="9"/>
      <c r="Q407" s="9">
        <f t="shared" si="3"/>
        <v>1434.516667</v>
      </c>
      <c r="R407" s="1" t="str">
        <f t="shared" si="4"/>
        <v>VLG</v>
      </c>
      <c r="S407" s="1" t="str">
        <f>IF($D407="LEBL", IF(COUNTIF('Paises ECAC'!B:B, C407)&gt;0, "ECAC","NO ECAC"), "")</f>
        <v>ECAC</v>
      </c>
    </row>
    <row r="408" ht="14.25" customHeight="1">
      <c r="A408" s="1" t="s">
        <v>821</v>
      </c>
      <c r="B408" s="1" t="s">
        <v>30</v>
      </c>
      <c r="C408" s="1" t="s">
        <v>21</v>
      </c>
      <c r="D408" s="1" t="s">
        <v>822</v>
      </c>
      <c r="E408" s="1" t="s">
        <v>641</v>
      </c>
      <c r="F408" s="1">
        <v>350.0</v>
      </c>
      <c r="G408" s="5">
        <v>0.4409722222222222</v>
      </c>
      <c r="H408" s="1">
        <v>10.0</v>
      </c>
      <c r="I408" s="5">
        <v>0.5</v>
      </c>
      <c r="J408" s="1" t="str">
        <f t="array" ref="J408">XLOOKUP(B408,cat!B:B,cat!C:C)</f>
        <v>D</v>
      </c>
      <c r="K408" s="1">
        <f t="array" ref="K408">XLOOKUP(B408,cat!B:B,cat!D:D)</f>
        <v>173</v>
      </c>
      <c r="L408" s="7">
        <f t="shared" si="1"/>
        <v>0.05902777778</v>
      </c>
      <c r="M408" s="1" t="str">
        <f t="shared" si="2"/>
        <v/>
      </c>
      <c r="P408" s="9"/>
      <c r="Q408" s="9">
        <f t="shared" si="3"/>
        <v>0</v>
      </c>
      <c r="R408" s="1" t="str">
        <f t="shared" si="4"/>
        <v>VLG</v>
      </c>
      <c r="S408" s="1" t="str">
        <f>IF($D408="LEBL", IF(COUNTIF('Paises ECAC'!B:B, C408)&gt;0, "ECAC","NO ECAC"), "")</f>
        <v/>
      </c>
    </row>
    <row r="409" ht="14.25" customHeight="1">
      <c r="A409" s="1" t="s">
        <v>823</v>
      </c>
      <c r="B409" s="1" t="s">
        <v>496</v>
      </c>
      <c r="C409" s="1" t="s">
        <v>21</v>
      </c>
      <c r="D409" s="1" t="s">
        <v>824</v>
      </c>
      <c r="E409" s="1" t="s">
        <v>823</v>
      </c>
      <c r="F409" s="1">
        <v>450.0</v>
      </c>
      <c r="G409" s="5">
        <v>0.44583333333333336</v>
      </c>
      <c r="H409" s="1">
        <v>20.0</v>
      </c>
      <c r="I409" s="5">
        <v>0.75</v>
      </c>
      <c r="J409" s="1" t="str">
        <f t="array" ref="J409">XLOOKUP(B409,cat!B:B,cat!C:C)</f>
        <v>E</v>
      </c>
      <c r="K409" s="1">
        <f t="array" ref="K409">XLOOKUP(B409,cat!B:B,cat!D:D)</f>
        <v>15</v>
      </c>
      <c r="L409" s="7">
        <f t="shared" si="1"/>
        <v>0.3041666667</v>
      </c>
      <c r="M409" s="1" t="str">
        <f t="shared" si="2"/>
        <v/>
      </c>
      <c r="P409" s="9"/>
      <c r="Q409" s="9">
        <f t="shared" si="3"/>
        <v>0</v>
      </c>
      <c r="R409" s="1" t="str">
        <f t="shared" si="4"/>
        <v>N41</v>
      </c>
      <c r="S409" s="1" t="str">
        <f>IF($D409="LEBL", IF(COUNTIF('Paises ECAC'!B:B, C409)&gt;0, "ECAC","NO ECAC"), "")</f>
        <v/>
      </c>
    </row>
    <row r="410" ht="14.25" customHeight="1">
      <c r="A410" s="1" t="s">
        <v>825</v>
      </c>
      <c r="B410" s="1" t="s">
        <v>212</v>
      </c>
      <c r="C410" s="1" t="s">
        <v>287</v>
      </c>
      <c r="D410" s="1" t="s">
        <v>21</v>
      </c>
      <c r="E410" s="1" t="s">
        <v>288</v>
      </c>
      <c r="F410" s="1">
        <v>350.0</v>
      </c>
      <c r="G410" s="5">
        <v>0.3909722222222222</v>
      </c>
      <c r="H410" s="1">
        <v>13.0</v>
      </c>
      <c r="I410" s="5">
        <v>0.4513888888888889</v>
      </c>
      <c r="J410" s="1" t="str">
        <f t="array" ref="J410">XLOOKUP(B410,cat!B:B,cat!C:C)</f>
        <v>D</v>
      </c>
      <c r="K410" s="1">
        <f t="array" ref="K410">XLOOKUP(B410,cat!B:B,cat!D:D)</f>
        <v>200</v>
      </c>
      <c r="L410" s="7">
        <f t="shared" si="1"/>
        <v>0.06041666667</v>
      </c>
      <c r="M410" s="7">
        <f t="shared" si="2"/>
        <v>0.03868055556</v>
      </c>
      <c r="P410" s="9"/>
      <c r="Q410" s="9">
        <f t="shared" si="3"/>
        <v>770.5166667</v>
      </c>
      <c r="R410" s="1" t="str">
        <f t="shared" si="4"/>
        <v>VLG</v>
      </c>
      <c r="S410" s="1" t="str">
        <f>IF($D410="LEBL", IF(COUNTIF('Paises ECAC'!B:B, C410)&gt;0, "ECAC","NO ECAC"), "")</f>
        <v>ECAC</v>
      </c>
    </row>
    <row r="411" ht="14.25" customHeight="1">
      <c r="A411" s="1" t="s">
        <v>826</v>
      </c>
      <c r="B411" s="1" t="s">
        <v>195</v>
      </c>
      <c r="C411" s="1" t="s">
        <v>133</v>
      </c>
      <c r="D411" s="1" t="s">
        <v>21</v>
      </c>
      <c r="E411" s="1" t="s">
        <v>827</v>
      </c>
      <c r="F411" s="1">
        <v>400.0</v>
      </c>
      <c r="G411" s="5">
        <v>0.1736111111111111</v>
      </c>
      <c r="H411" s="1">
        <v>30.0</v>
      </c>
      <c r="I411" s="5">
        <v>0.4513888888888889</v>
      </c>
      <c r="J411" s="1" t="str">
        <f t="array" ref="J411">XLOOKUP(B411,cat!B:B,cat!C:C)</f>
        <v>B</v>
      </c>
      <c r="K411" s="1">
        <f t="array" ref="K411">XLOOKUP(B411,cat!B:B,cat!D:D)</f>
        <v>281</v>
      </c>
      <c r="L411" s="7">
        <f t="shared" si="1"/>
        <v>0.2777777778</v>
      </c>
      <c r="M411" s="7">
        <f t="shared" si="2"/>
        <v>0.2442361111</v>
      </c>
      <c r="P411" s="9"/>
      <c r="Q411" s="9">
        <f t="shared" si="3"/>
        <v>5275.5</v>
      </c>
      <c r="R411" s="1" t="str">
        <f t="shared" si="4"/>
        <v>IBE</v>
      </c>
      <c r="S411" s="1" t="str">
        <f>IF($D411="LEBL", IF(COUNTIF('Paises ECAC'!B:B, C411)&gt;0, "ECAC","NO ECAC"), "")</f>
        <v>NO ECAC</v>
      </c>
    </row>
    <row r="412" ht="14.25" customHeight="1">
      <c r="A412" s="1" t="s">
        <v>828</v>
      </c>
      <c r="B412" s="1" t="s">
        <v>35</v>
      </c>
      <c r="C412" s="1" t="s">
        <v>21</v>
      </c>
      <c r="D412" s="1" t="s">
        <v>100</v>
      </c>
      <c r="E412" s="1" t="s">
        <v>299</v>
      </c>
      <c r="F412" s="1">
        <v>340.0</v>
      </c>
      <c r="G412" s="5">
        <v>0.4479166666666667</v>
      </c>
      <c r="H412" s="1">
        <v>10.0</v>
      </c>
      <c r="I412" s="5">
        <v>0.5173611111111112</v>
      </c>
      <c r="J412" s="1" t="str">
        <f t="array" ref="J412">XLOOKUP(B412,cat!B:B,cat!C:C)</f>
        <v>D</v>
      </c>
      <c r="K412" s="1">
        <f t="array" ref="K412">XLOOKUP(B412,cat!B:B,cat!D:D)</f>
        <v>207</v>
      </c>
      <c r="L412" s="7">
        <f t="shared" si="1"/>
        <v>0.06944444444</v>
      </c>
      <c r="M412" s="1" t="str">
        <f t="shared" si="2"/>
        <v/>
      </c>
      <c r="P412" s="9"/>
      <c r="Q412" s="9">
        <f t="shared" si="3"/>
        <v>0</v>
      </c>
      <c r="R412" s="1" t="str">
        <f t="shared" si="4"/>
        <v>VLG</v>
      </c>
      <c r="S412" s="1" t="str">
        <f>IF($D412="LEBL", IF(COUNTIF('Paises ECAC'!B:B, C412)&gt;0, "ECAC","NO ECAC"), "")</f>
        <v/>
      </c>
    </row>
    <row r="413" ht="14.25" customHeight="1">
      <c r="A413" s="1" t="s">
        <v>829</v>
      </c>
      <c r="B413" s="1" t="s">
        <v>35</v>
      </c>
      <c r="C413" s="1" t="s">
        <v>21</v>
      </c>
      <c r="D413" s="1" t="s">
        <v>279</v>
      </c>
      <c r="E413" s="1" t="s">
        <v>200</v>
      </c>
      <c r="F413" s="1">
        <v>340.0</v>
      </c>
      <c r="G413" s="5">
        <v>0.4513888888888889</v>
      </c>
      <c r="H413" s="1">
        <v>10.0</v>
      </c>
      <c r="I413" s="5">
        <v>0.4965277777777778</v>
      </c>
      <c r="J413" s="1" t="str">
        <f t="array" ref="J413">XLOOKUP(B413,cat!B:B,cat!C:C)</f>
        <v>D</v>
      </c>
      <c r="K413" s="1">
        <f t="array" ref="K413">XLOOKUP(B413,cat!B:B,cat!D:D)</f>
        <v>207</v>
      </c>
      <c r="L413" s="7">
        <f t="shared" si="1"/>
        <v>0.04513888889</v>
      </c>
      <c r="M413" s="1" t="str">
        <f t="shared" si="2"/>
        <v/>
      </c>
      <c r="P413" s="9"/>
      <c r="Q413" s="9">
        <f t="shared" si="3"/>
        <v>0</v>
      </c>
      <c r="R413" s="1" t="str">
        <f t="shared" si="4"/>
        <v>VLG</v>
      </c>
      <c r="S413" s="1" t="str">
        <f>IF($D413="LEBL", IF(COUNTIF('Paises ECAC'!B:B, C413)&gt;0, "ECAC","NO ECAC"), "")</f>
        <v/>
      </c>
    </row>
    <row r="414" ht="14.25" customHeight="1">
      <c r="A414" s="1" t="s">
        <v>830</v>
      </c>
      <c r="B414" s="1" t="s">
        <v>40</v>
      </c>
      <c r="C414" s="1" t="s">
        <v>21</v>
      </c>
      <c r="D414" s="1" t="s">
        <v>588</v>
      </c>
      <c r="E414" s="1" t="s">
        <v>589</v>
      </c>
      <c r="F414" s="1">
        <v>360.0</v>
      </c>
      <c r="G414" s="5">
        <v>0.4527777777777778</v>
      </c>
      <c r="H414" s="1">
        <v>17.0</v>
      </c>
      <c r="I414" s="5">
        <v>0.7222222222222222</v>
      </c>
      <c r="J414" s="1" t="str">
        <f t="array" ref="J414">XLOOKUP(B414,cat!B:B,cat!C:C)</f>
        <v>D</v>
      </c>
      <c r="K414" s="1">
        <f t="array" ref="K414">XLOOKUP(B414,cat!B:B,cat!D:D)</f>
        <v>186</v>
      </c>
      <c r="L414" s="7">
        <f t="shared" si="1"/>
        <v>0.2694444444</v>
      </c>
      <c r="M414" s="1" t="str">
        <f t="shared" si="2"/>
        <v/>
      </c>
      <c r="P414" s="9"/>
      <c r="Q414" s="9">
        <f t="shared" si="3"/>
        <v>0</v>
      </c>
      <c r="R414" s="1" t="str">
        <f t="shared" si="4"/>
        <v>WJA</v>
      </c>
      <c r="S414" s="1" t="str">
        <f>IF($D414="LEBL", IF(COUNTIF('Paises ECAC'!B:B, C414)&gt;0, "ECAC","NO ECAC"), "")</f>
        <v/>
      </c>
    </row>
    <row r="415" ht="14.25" customHeight="1">
      <c r="A415" s="1" t="s">
        <v>831</v>
      </c>
      <c r="B415" s="1" t="s">
        <v>19</v>
      </c>
      <c r="C415" s="1" t="s">
        <v>148</v>
      </c>
      <c r="D415" s="1" t="s">
        <v>21</v>
      </c>
      <c r="E415" s="1" t="s">
        <v>149</v>
      </c>
      <c r="F415" s="1">
        <v>380.0</v>
      </c>
      <c r="G415" s="5">
        <v>0.34930555555555554</v>
      </c>
      <c r="H415" s="1">
        <v>14.0</v>
      </c>
      <c r="I415" s="5">
        <v>0.4548611111111111</v>
      </c>
      <c r="J415" s="1" t="str">
        <f t="array" ref="J415">XLOOKUP(B415,cat!B:B,cat!C:C)</f>
        <v>D</v>
      </c>
      <c r="K415" s="1">
        <f t="array" ref="K415">XLOOKUP(B415,cat!B:B,cat!D:D)</f>
        <v>184</v>
      </c>
      <c r="L415" s="7">
        <f t="shared" si="1"/>
        <v>0.1055555556</v>
      </c>
      <c r="M415" s="7">
        <f t="shared" si="2"/>
        <v>0.083125</v>
      </c>
      <c r="P415" s="9"/>
      <c r="Q415" s="9">
        <f t="shared" si="3"/>
        <v>1655.85</v>
      </c>
      <c r="R415" s="1" t="str">
        <f t="shared" si="4"/>
        <v>RYR</v>
      </c>
      <c r="S415" s="1" t="str">
        <f>IF($D415="LEBL", IF(COUNTIF('Paises ECAC'!B:B, C415)&gt;0, "ECAC","NO ECAC"), "")</f>
        <v>ECAC</v>
      </c>
    </row>
    <row r="416" ht="14.25" customHeight="1">
      <c r="A416" s="1" t="s">
        <v>832</v>
      </c>
      <c r="B416" s="1" t="s">
        <v>25</v>
      </c>
      <c r="C416" s="1" t="s">
        <v>227</v>
      </c>
      <c r="D416" s="1" t="s">
        <v>21</v>
      </c>
      <c r="E416" s="1" t="s">
        <v>833</v>
      </c>
      <c r="F416" s="1">
        <v>390.0</v>
      </c>
      <c r="G416" s="5">
        <v>0.3861111111111111</v>
      </c>
      <c r="H416" s="1">
        <v>16.0</v>
      </c>
      <c r="I416" s="5">
        <v>0.4548611111111111</v>
      </c>
      <c r="J416" s="1" t="str">
        <f t="array" ref="J416">XLOOKUP(B416,cat!B:B,cat!C:C)</f>
        <v>D</v>
      </c>
      <c r="K416" s="1">
        <f t="array" ref="K416">XLOOKUP(B416,cat!B:B,cat!D:D)</f>
        <v>180</v>
      </c>
      <c r="L416" s="7">
        <f t="shared" si="1"/>
        <v>0.06875</v>
      </c>
      <c r="M416" s="7">
        <f t="shared" si="2"/>
        <v>0.04493055556</v>
      </c>
      <c r="P416" s="9"/>
      <c r="Q416" s="9">
        <f t="shared" si="3"/>
        <v>895.0166667</v>
      </c>
      <c r="R416" s="1" t="str">
        <f t="shared" si="4"/>
        <v>DLH</v>
      </c>
      <c r="S416" s="1" t="str">
        <f>IF($D416="LEBL", IF(COUNTIF('Paises ECAC'!B:B, C416)&gt;0, "ECAC","NO ECAC"), "")</f>
        <v>ECAC</v>
      </c>
    </row>
    <row r="417" ht="14.25" customHeight="1">
      <c r="A417" s="1" t="s">
        <v>834</v>
      </c>
      <c r="B417" s="1" t="s">
        <v>30</v>
      </c>
      <c r="C417" s="1" t="s">
        <v>21</v>
      </c>
      <c r="D417" s="1" t="s">
        <v>221</v>
      </c>
      <c r="E417" s="1" t="s">
        <v>323</v>
      </c>
      <c r="F417" s="1">
        <v>340.0</v>
      </c>
      <c r="G417" s="5">
        <v>0.45694444444444443</v>
      </c>
      <c r="H417" s="1">
        <v>12.0</v>
      </c>
      <c r="I417" s="5">
        <v>0.5277777777777778</v>
      </c>
      <c r="J417" s="1" t="str">
        <f t="array" ref="J417">XLOOKUP(B417,cat!B:B,cat!C:C)</f>
        <v>D</v>
      </c>
      <c r="K417" s="1">
        <f t="array" ref="K417">XLOOKUP(B417,cat!B:B,cat!D:D)</f>
        <v>173</v>
      </c>
      <c r="L417" s="7">
        <f t="shared" si="1"/>
        <v>0.07083333333</v>
      </c>
      <c r="M417" s="1" t="str">
        <f t="shared" si="2"/>
        <v/>
      </c>
      <c r="P417" s="9"/>
      <c r="Q417" s="9">
        <f t="shared" si="3"/>
        <v>0</v>
      </c>
      <c r="R417" s="1" t="str">
        <f t="shared" si="4"/>
        <v>VLG</v>
      </c>
      <c r="S417" s="1" t="str">
        <f>IF($D417="LEBL", IF(COUNTIF('Paises ECAC'!B:B, C417)&gt;0, "ECAC","NO ECAC"), "")</f>
        <v/>
      </c>
    </row>
    <row r="418" ht="14.25" customHeight="1">
      <c r="A418" s="1" t="s">
        <v>835</v>
      </c>
      <c r="B418" s="1" t="s">
        <v>30</v>
      </c>
      <c r="C418" s="1" t="s">
        <v>21</v>
      </c>
      <c r="D418" s="1" t="s">
        <v>218</v>
      </c>
      <c r="E418" s="1" t="s">
        <v>393</v>
      </c>
      <c r="F418" s="1">
        <v>290.0</v>
      </c>
      <c r="G418" s="5">
        <v>0.45208333333333334</v>
      </c>
      <c r="H418" s="1">
        <v>11.0</v>
      </c>
      <c r="I418" s="5">
        <v>0.4895833333333333</v>
      </c>
      <c r="J418" s="1" t="str">
        <f t="array" ref="J418">XLOOKUP(B418,cat!B:B,cat!C:C)</f>
        <v>D</v>
      </c>
      <c r="K418" s="1">
        <f t="array" ref="K418">XLOOKUP(B418,cat!B:B,cat!D:D)</f>
        <v>173</v>
      </c>
      <c r="L418" s="7">
        <f t="shared" si="1"/>
        <v>0.0375</v>
      </c>
      <c r="M418" s="1" t="str">
        <f t="shared" si="2"/>
        <v/>
      </c>
      <c r="P418" s="9"/>
      <c r="Q418" s="9">
        <f t="shared" si="3"/>
        <v>0</v>
      </c>
      <c r="R418" s="1" t="str">
        <f t="shared" si="4"/>
        <v>VLG</v>
      </c>
      <c r="S418" s="1" t="str">
        <f>IF($D418="LEBL", IF(COUNTIF('Paises ECAC'!B:B, C418)&gt;0, "ECAC","NO ECAC"), "")</f>
        <v/>
      </c>
    </row>
    <row r="419" ht="14.25" customHeight="1">
      <c r="A419" s="1" t="s">
        <v>836</v>
      </c>
      <c r="B419" s="1" t="s">
        <v>212</v>
      </c>
      <c r="C419" s="1" t="s">
        <v>295</v>
      </c>
      <c r="D419" s="1" t="s">
        <v>21</v>
      </c>
      <c r="E419" s="1" t="s">
        <v>837</v>
      </c>
      <c r="F419" s="1">
        <v>360.0</v>
      </c>
      <c r="G419" s="5">
        <v>0.16319444444444445</v>
      </c>
      <c r="H419" s="1">
        <v>10.0</v>
      </c>
      <c r="I419" s="5">
        <v>0.4583333333333333</v>
      </c>
      <c r="J419" s="1" t="str">
        <f t="array" ref="J419">XLOOKUP(B419,cat!B:B,cat!C:C)</f>
        <v>D</v>
      </c>
      <c r="K419" s="1">
        <f t="array" ref="K419">XLOOKUP(B419,cat!B:B,cat!D:D)</f>
        <v>200</v>
      </c>
      <c r="L419" s="7">
        <f t="shared" si="1"/>
        <v>0.2951388889</v>
      </c>
      <c r="M419" s="7">
        <f t="shared" si="2"/>
        <v>0.2754861111</v>
      </c>
      <c r="P419" s="9"/>
      <c r="Q419" s="9">
        <f t="shared" si="3"/>
        <v>5487.683333</v>
      </c>
      <c r="R419" s="1" t="str">
        <f t="shared" si="4"/>
        <v>TSC</v>
      </c>
      <c r="S419" s="1" t="str">
        <f>IF($D419="LEBL", IF(COUNTIF('Paises ECAC'!B:B, C419)&gt;0, "ECAC","NO ECAC"), "")</f>
        <v>NO ECAC</v>
      </c>
    </row>
    <row r="420" ht="14.25" customHeight="1">
      <c r="A420" s="1" t="s">
        <v>838</v>
      </c>
      <c r="B420" s="1" t="s">
        <v>30</v>
      </c>
      <c r="C420" s="1" t="s">
        <v>107</v>
      </c>
      <c r="D420" s="1" t="s">
        <v>21</v>
      </c>
      <c r="E420" s="1" t="s">
        <v>404</v>
      </c>
      <c r="F420" s="1">
        <v>380.0</v>
      </c>
      <c r="G420" s="5">
        <v>0.37569444444444444</v>
      </c>
      <c r="H420" s="1">
        <v>15.0</v>
      </c>
      <c r="I420" s="5">
        <v>0.4583333333333333</v>
      </c>
      <c r="J420" s="1" t="str">
        <f t="array" ref="J420">XLOOKUP(B420,cat!B:B,cat!C:C)</f>
        <v>D</v>
      </c>
      <c r="K420" s="1">
        <f t="array" ref="K420">XLOOKUP(B420,cat!B:B,cat!D:D)</f>
        <v>173</v>
      </c>
      <c r="L420" s="7">
        <f t="shared" si="1"/>
        <v>0.08263888889</v>
      </c>
      <c r="M420" s="7">
        <f t="shared" si="2"/>
        <v>0.05951388889</v>
      </c>
      <c r="P420" s="9"/>
      <c r="Q420" s="9">
        <f t="shared" si="3"/>
        <v>1185.516667</v>
      </c>
      <c r="R420" s="1" t="str">
        <f t="shared" si="4"/>
        <v>VLG</v>
      </c>
      <c r="S420" s="1" t="str">
        <f>IF($D420="LEBL", IF(COUNTIF('Paises ECAC'!B:B, C420)&gt;0, "ECAC","NO ECAC"), "")</f>
        <v>ECAC</v>
      </c>
    </row>
    <row r="421" ht="14.25" customHeight="1">
      <c r="A421" s="1" t="s">
        <v>839</v>
      </c>
      <c r="B421" s="1" t="s">
        <v>35</v>
      </c>
      <c r="C421" s="1" t="s">
        <v>26</v>
      </c>
      <c r="D421" s="1" t="s">
        <v>21</v>
      </c>
      <c r="E421" s="1" t="s">
        <v>161</v>
      </c>
      <c r="F421" s="1">
        <v>340.0</v>
      </c>
      <c r="G421" s="5">
        <v>0.34444444444444444</v>
      </c>
      <c r="H421" s="1">
        <v>11.0</v>
      </c>
      <c r="I421" s="5">
        <v>0.4583333333333333</v>
      </c>
      <c r="J421" s="1" t="str">
        <f t="array" ref="J421">XLOOKUP(B421,cat!B:B,cat!C:C)</f>
        <v>D</v>
      </c>
      <c r="K421" s="1">
        <f t="array" ref="K421">XLOOKUP(B421,cat!B:B,cat!D:D)</f>
        <v>207</v>
      </c>
      <c r="L421" s="7">
        <f t="shared" si="1"/>
        <v>0.1138888889</v>
      </c>
      <c r="M421" s="7">
        <f t="shared" si="2"/>
        <v>0.09354166667</v>
      </c>
      <c r="P421" s="9"/>
      <c r="Q421" s="9">
        <f t="shared" si="3"/>
        <v>1863.35</v>
      </c>
      <c r="R421" s="1" t="str">
        <f t="shared" si="4"/>
        <v>VLG</v>
      </c>
      <c r="S421" s="1" t="str">
        <f>IF($D421="LEBL", IF(COUNTIF('Paises ECAC'!B:B, C421)&gt;0, "ECAC","NO ECAC"), "")</f>
        <v>ECAC</v>
      </c>
    </row>
    <row r="422" ht="14.25" customHeight="1">
      <c r="A422" s="1" t="s">
        <v>840</v>
      </c>
      <c r="B422" s="1" t="s">
        <v>25</v>
      </c>
      <c r="C422" s="1" t="s">
        <v>21</v>
      </c>
      <c r="D422" s="1" t="s">
        <v>74</v>
      </c>
      <c r="E422" s="1" t="s">
        <v>718</v>
      </c>
      <c r="F422" s="1">
        <v>360.0</v>
      </c>
      <c r="G422" s="5">
        <v>0.4548611111111111</v>
      </c>
      <c r="H422" s="1">
        <v>20.0</v>
      </c>
      <c r="I422" s="5">
        <v>0.5104166666666666</v>
      </c>
      <c r="J422" s="1" t="str">
        <f t="array" ref="J422">XLOOKUP(B422,cat!B:B,cat!C:C)</f>
        <v>D</v>
      </c>
      <c r="K422" s="1">
        <f t="array" ref="K422">XLOOKUP(B422,cat!B:B,cat!D:D)</f>
        <v>180</v>
      </c>
      <c r="L422" s="7">
        <f t="shared" si="1"/>
        <v>0.05555555556</v>
      </c>
      <c r="M422" s="1" t="str">
        <f t="shared" si="2"/>
        <v/>
      </c>
      <c r="P422" s="9"/>
      <c r="Q422" s="9">
        <f t="shared" si="3"/>
        <v>0</v>
      </c>
      <c r="R422" s="1" t="str">
        <f t="shared" si="4"/>
        <v>TVF</v>
      </c>
      <c r="S422" s="1" t="str">
        <f>IF($D422="LEBL", IF(COUNTIF('Paises ECAC'!B:B, C422)&gt;0, "ECAC","NO ECAC"), "")</f>
        <v/>
      </c>
    </row>
    <row r="423" ht="14.25" customHeight="1">
      <c r="A423" s="1" t="s">
        <v>680</v>
      </c>
      <c r="B423" s="1" t="s">
        <v>681</v>
      </c>
      <c r="C423" s="1" t="s">
        <v>21</v>
      </c>
      <c r="D423" s="1" t="s">
        <v>824</v>
      </c>
      <c r="E423" s="1" t="s">
        <v>683</v>
      </c>
      <c r="F423" s="1">
        <v>470.0</v>
      </c>
      <c r="G423" s="5">
        <v>0.45555555555555555</v>
      </c>
      <c r="H423" s="1">
        <v>20.0</v>
      </c>
      <c r="I423" s="5">
        <v>0.7569444444444444</v>
      </c>
      <c r="J423" s="1" t="str">
        <f t="array" ref="J423">XLOOKUP(B423,cat!B:B,cat!C:C)</f>
        <v>E</v>
      </c>
      <c r="K423" s="1">
        <f t="array" ref="K423">XLOOKUP(B423,cat!B:B,cat!D:D)</f>
        <v>15</v>
      </c>
      <c r="L423" s="7">
        <f t="shared" si="1"/>
        <v>0.3013888889</v>
      </c>
      <c r="M423" s="1" t="str">
        <f t="shared" si="2"/>
        <v/>
      </c>
      <c r="P423" s="9"/>
      <c r="Q423" s="9">
        <f t="shared" si="3"/>
        <v>0</v>
      </c>
      <c r="R423" s="1" t="str">
        <f t="shared" si="4"/>
        <v>QQE</v>
      </c>
      <c r="S423" s="1" t="str">
        <f>IF($D423="LEBL", IF(COUNTIF('Paises ECAC'!B:B, C423)&gt;0, "ECAC","NO ECAC"), "")</f>
        <v/>
      </c>
    </row>
    <row r="424" ht="14.25" customHeight="1">
      <c r="A424" s="1" t="s">
        <v>841</v>
      </c>
      <c r="B424" s="1" t="s">
        <v>842</v>
      </c>
      <c r="C424" s="1" t="s">
        <v>843</v>
      </c>
      <c r="D424" s="1" t="s">
        <v>21</v>
      </c>
      <c r="E424" s="1" t="s">
        <v>844</v>
      </c>
      <c r="F424" s="1">
        <v>400.0</v>
      </c>
      <c r="G424" s="5">
        <v>0.21180555555555555</v>
      </c>
      <c r="H424" s="1">
        <v>10.0</v>
      </c>
      <c r="I424" s="5">
        <v>0.4583333333333333</v>
      </c>
      <c r="J424" s="1" t="str">
        <f t="array" ref="J424">XLOOKUP(B424,cat!B:B,cat!C:C)</f>
        <v>B</v>
      </c>
      <c r="K424" s="1">
        <f t="array" ref="K424">XLOOKUP(B424,cat!B:B,cat!D:D)</f>
        <v>257</v>
      </c>
      <c r="L424" s="7">
        <f t="shared" si="1"/>
        <v>0.2465277778</v>
      </c>
      <c r="M424" s="7">
        <f t="shared" si="2"/>
        <v>0.226875</v>
      </c>
      <c r="P424" s="9"/>
      <c r="Q424" s="9">
        <f t="shared" si="3"/>
        <v>4900.5</v>
      </c>
      <c r="R424" s="1" t="str">
        <f t="shared" si="4"/>
        <v>KAC</v>
      </c>
      <c r="S424" s="1" t="str">
        <f>IF($D424="LEBL", IF(COUNTIF('Paises ECAC'!B:B, C424)&gt;0, "ECAC","NO ECAC"), "")</f>
        <v>NO ECAC</v>
      </c>
    </row>
    <row r="425" ht="14.25" customHeight="1">
      <c r="A425" s="1" t="s">
        <v>845</v>
      </c>
      <c r="B425" s="1" t="s">
        <v>30</v>
      </c>
      <c r="C425" s="1" t="s">
        <v>21</v>
      </c>
      <c r="D425" s="1" t="s">
        <v>343</v>
      </c>
      <c r="E425" s="1" t="s">
        <v>285</v>
      </c>
      <c r="F425" s="1">
        <v>370.0</v>
      </c>
      <c r="G425" s="5">
        <v>0.46041666666666664</v>
      </c>
      <c r="H425" s="1">
        <v>13.0</v>
      </c>
      <c r="I425" s="5">
        <v>0.5868055555555556</v>
      </c>
      <c r="J425" s="1" t="str">
        <f t="array" ref="J425">XLOOKUP(B425,cat!B:B,cat!C:C)</f>
        <v>D</v>
      </c>
      <c r="K425" s="1">
        <f t="array" ref="K425">XLOOKUP(B425,cat!B:B,cat!D:D)</f>
        <v>173</v>
      </c>
      <c r="L425" s="7">
        <f t="shared" si="1"/>
        <v>0.1263888889</v>
      </c>
      <c r="M425" s="1" t="str">
        <f t="shared" si="2"/>
        <v/>
      </c>
      <c r="P425" s="9"/>
      <c r="Q425" s="9">
        <f t="shared" si="3"/>
        <v>0</v>
      </c>
      <c r="R425" s="1" t="str">
        <f t="shared" si="4"/>
        <v>VLG</v>
      </c>
      <c r="S425" s="1" t="str">
        <f>IF($D425="LEBL", IF(COUNTIF('Paises ECAC'!B:B, C425)&gt;0, "ECAC","NO ECAC"), "")</f>
        <v/>
      </c>
    </row>
    <row r="426" ht="14.25" customHeight="1">
      <c r="A426" s="1" t="s">
        <v>846</v>
      </c>
      <c r="B426" s="1" t="s">
        <v>35</v>
      </c>
      <c r="C426" s="1" t="s">
        <v>21</v>
      </c>
      <c r="D426" s="1" t="s">
        <v>227</v>
      </c>
      <c r="E426" s="1" t="s">
        <v>706</v>
      </c>
      <c r="F426" s="1">
        <v>340.0</v>
      </c>
      <c r="G426" s="5">
        <v>0.4583333333333333</v>
      </c>
      <c r="H426" s="1">
        <v>10.0</v>
      </c>
      <c r="I426" s="5">
        <v>0.5347222222222222</v>
      </c>
      <c r="J426" s="1" t="str">
        <f t="array" ref="J426">XLOOKUP(B426,cat!B:B,cat!C:C)</f>
        <v>D</v>
      </c>
      <c r="K426" s="1">
        <f t="array" ref="K426">XLOOKUP(B426,cat!B:B,cat!D:D)</f>
        <v>207</v>
      </c>
      <c r="L426" s="7">
        <f t="shared" si="1"/>
        <v>0.07638888889</v>
      </c>
      <c r="M426" s="1" t="str">
        <f t="shared" si="2"/>
        <v/>
      </c>
      <c r="P426" s="9"/>
      <c r="Q426" s="9">
        <f t="shared" si="3"/>
        <v>0</v>
      </c>
      <c r="R426" s="1" t="str">
        <f t="shared" si="4"/>
        <v>DLH</v>
      </c>
      <c r="S426" s="1" t="str">
        <f>IF($D426="LEBL", IF(COUNTIF('Paises ECAC'!B:B, C426)&gt;0, "ECAC","NO ECAC"), "")</f>
        <v/>
      </c>
    </row>
    <row r="427" ht="14.25" customHeight="1">
      <c r="A427" s="1" t="s">
        <v>847</v>
      </c>
      <c r="B427" s="1" t="s">
        <v>35</v>
      </c>
      <c r="C427" s="1" t="s">
        <v>41</v>
      </c>
      <c r="D427" s="1" t="s">
        <v>21</v>
      </c>
      <c r="E427" s="1" t="s">
        <v>263</v>
      </c>
      <c r="F427" s="1">
        <v>350.0</v>
      </c>
      <c r="G427" s="5">
        <v>0.3715277777777778</v>
      </c>
      <c r="H427" s="1">
        <v>2.0</v>
      </c>
      <c r="I427" s="5">
        <v>0.4618055555555556</v>
      </c>
      <c r="J427" s="1" t="str">
        <f t="array" ref="J427">XLOOKUP(B427,cat!B:B,cat!C:C)</f>
        <v>D</v>
      </c>
      <c r="K427" s="1">
        <f t="array" ref="K427">XLOOKUP(B427,cat!B:B,cat!D:D)</f>
        <v>207</v>
      </c>
      <c r="L427" s="7">
        <f t="shared" si="1"/>
        <v>0.09027777778</v>
      </c>
      <c r="M427" s="7">
        <f t="shared" si="2"/>
        <v>0.07618055556</v>
      </c>
      <c r="P427" s="9"/>
      <c r="Q427" s="9">
        <f t="shared" si="3"/>
        <v>1517.516667</v>
      </c>
      <c r="R427" s="1" t="str">
        <f t="shared" si="4"/>
        <v>VLG</v>
      </c>
      <c r="S427" s="1" t="str">
        <f>IF($D427="LEBL", IF(COUNTIF('Paises ECAC'!B:B, C427)&gt;0, "ECAC","NO ECAC"), "")</f>
        <v>ECAC</v>
      </c>
    </row>
    <row r="428" ht="14.25" customHeight="1">
      <c r="A428" s="1" t="s">
        <v>848</v>
      </c>
      <c r="B428" s="1" t="s">
        <v>19</v>
      </c>
      <c r="C428" s="1" t="s">
        <v>70</v>
      </c>
      <c r="D428" s="1" t="s">
        <v>21</v>
      </c>
      <c r="E428" s="1" t="s">
        <v>849</v>
      </c>
      <c r="F428" s="1">
        <v>380.0</v>
      </c>
      <c r="G428" s="5">
        <v>0.4097222222222222</v>
      </c>
      <c r="H428" s="1">
        <v>15.0</v>
      </c>
      <c r="I428" s="5">
        <v>0.4618055555555556</v>
      </c>
      <c r="J428" s="1" t="str">
        <f t="array" ref="J428">XLOOKUP(B428,cat!B:B,cat!C:C)</f>
        <v>D</v>
      </c>
      <c r="K428" s="1">
        <f t="array" ref="K428">XLOOKUP(B428,cat!B:B,cat!D:D)</f>
        <v>184</v>
      </c>
      <c r="L428" s="7">
        <f t="shared" si="1"/>
        <v>0.05208333333</v>
      </c>
      <c r="M428" s="7">
        <f t="shared" si="2"/>
        <v>0.02895833333</v>
      </c>
      <c r="P428" s="9"/>
      <c r="Q428" s="9">
        <f t="shared" si="3"/>
        <v>576.85</v>
      </c>
      <c r="R428" s="1" t="str">
        <f t="shared" si="4"/>
        <v>RYR</v>
      </c>
      <c r="S428" s="1" t="str">
        <f>IF($D428="LEBL", IF(COUNTIF('Paises ECAC'!B:B, C428)&gt;0, "ECAC","NO ECAC"), "")</f>
        <v>NO ECAC</v>
      </c>
    </row>
    <row r="429" ht="14.25" customHeight="1">
      <c r="A429" s="1" t="s">
        <v>850</v>
      </c>
      <c r="B429" s="1" t="s">
        <v>19</v>
      </c>
      <c r="C429" s="1" t="s">
        <v>21</v>
      </c>
      <c r="D429" s="1" t="s">
        <v>581</v>
      </c>
      <c r="E429" s="1" t="s">
        <v>687</v>
      </c>
      <c r="F429" s="1">
        <v>380.0</v>
      </c>
      <c r="G429" s="5">
        <v>0.4583333333333333</v>
      </c>
      <c r="H429" s="1">
        <v>20.0</v>
      </c>
      <c r="I429" s="5">
        <v>0.5451388888888888</v>
      </c>
      <c r="J429" s="1" t="str">
        <f t="array" ref="J429">XLOOKUP(B429,cat!B:B,cat!C:C)</f>
        <v>D</v>
      </c>
      <c r="K429" s="1">
        <f t="array" ref="K429">XLOOKUP(B429,cat!B:B,cat!D:D)</f>
        <v>184</v>
      </c>
      <c r="L429" s="7">
        <f t="shared" si="1"/>
        <v>0.08680555556</v>
      </c>
      <c r="M429" s="1" t="str">
        <f t="shared" si="2"/>
        <v/>
      </c>
      <c r="P429" s="9"/>
      <c r="Q429" s="9">
        <f t="shared" si="3"/>
        <v>0</v>
      </c>
      <c r="R429" s="1" t="str">
        <f t="shared" si="4"/>
        <v>EXS</v>
      </c>
      <c r="S429" s="1" t="str">
        <f>IF($D429="LEBL", IF(COUNTIF('Paises ECAC'!B:B, C429)&gt;0, "ECAC","NO ECAC"), "")</f>
        <v/>
      </c>
    </row>
    <row r="430" ht="14.25" customHeight="1">
      <c r="A430" s="1" t="s">
        <v>851</v>
      </c>
      <c r="B430" s="1" t="s">
        <v>35</v>
      </c>
      <c r="C430" s="1" t="s">
        <v>21</v>
      </c>
      <c r="D430" s="1" t="s">
        <v>74</v>
      </c>
      <c r="E430" s="1" t="s">
        <v>272</v>
      </c>
      <c r="F430" s="1">
        <v>340.0</v>
      </c>
      <c r="G430" s="5">
        <v>0.4618055555555556</v>
      </c>
      <c r="H430" s="1">
        <v>10.0</v>
      </c>
      <c r="I430" s="5">
        <v>0.5138888888888888</v>
      </c>
      <c r="J430" s="1" t="str">
        <f t="array" ref="J430">XLOOKUP(B430,cat!B:B,cat!C:C)</f>
        <v>D</v>
      </c>
      <c r="K430" s="1">
        <f t="array" ref="K430">XLOOKUP(B430,cat!B:B,cat!D:D)</f>
        <v>207</v>
      </c>
      <c r="L430" s="7">
        <f t="shared" si="1"/>
        <v>0.05208333333</v>
      </c>
      <c r="M430" s="1" t="str">
        <f t="shared" si="2"/>
        <v/>
      </c>
      <c r="P430" s="9"/>
      <c r="Q430" s="9">
        <f t="shared" si="3"/>
        <v>0</v>
      </c>
      <c r="R430" s="1" t="str">
        <f t="shared" si="4"/>
        <v>VLG</v>
      </c>
      <c r="S430" s="1" t="str">
        <f>IF($D430="LEBL", IF(COUNTIF('Paises ECAC'!B:B, C430)&gt;0, "ECAC","NO ECAC"), "")</f>
        <v/>
      </c>
    </row>
    <row r="431" ht="14.25" customHeight="1">
      <c r="A431" s="1" t="s">
        <v>852</v>
      </c>
      <c r="B431" s="1" t="s">
        <v>30</v>
      </c>
      <c r="C431" s="1" t="s">
        <v>21</v>
      </c>
      <c r="D431" s="1" t="s">
        <v>143</v>
      </c>
      <c r="E431" s="1" t="s">
        <v>330</v>
      </c>
      <c r="F431" s="1">
        <v>190.0</v>
      </c>
      <c r="G431" s="5">
        <v>0.4625</v>
      </c>
      <c r="H431" s="1">
        <v>11.0</v>
      </c>
      <c r="I431" s="5">
        <v>0.4861111111111111</v>
      </c>
      <c r="J431" s="1" t="str">
        <f t="array" ref="J431">XLOOKUP(B431,cat!B:B,cat!C:C)</f>
        <v>D</v>
      </c>
      <c r="K431" s="1">
        <f t="array" ref="K431">XLOOKUP(B431,cat!B:B,cat!D:D)</f>
        <v>173</v>
      </c>
      <c r="L431" s="7">
        <f t="shared" si="1"/>
        <v>0.02361111111</v>
      </c>
      <c r="M431" s="1" t="str">
        <f t="shared" si="2"/>
        <v/>
      </c>
      <c r="P431" s="9"/>
      <c r="Q431" s="9">
        <f t="shared" si="3"/>
        <v>0</v>
      </c>
      <c r="R431" s="1" t="str">
        <f t="shared" si="4"/>
        <v>VLG</v>
      </c>
      <c r="S431" s="1" t="str">
        <f>IF($D431="LEBL", IF(COUNTIF('Paises ECAC'!B:B, C431)&gt;0, "ECAC","NO ECAC"), "")</f>
        <v/>
      </c>
    </row>
    <row r="432" ht="14.25" customHeight="1">
      <c r="A432" s="1" t="s">
        <v>853</v>
      </c>
      <c r="B432" s="1" t="s">
        <v>122</v>
      </c>
      <c r="C432" s="1" t="s">
        <v>21</v>
      </c>
      <c r="D432" s="1" t="s">
        <v>215</v>
      </c>
      <c r="E432" s="1" t="s">
        <v>216</v>
      </c>
      <c r="F432" s="1">
        <v>390.0</v>
      </c>
      <c r="G432" s="5">
        <v>0.4652777777777778</v>
      </c>
      <c r="H432" s="1">
        <v>20.0</v>
      </c>
      <c r="I432" s="5">
        <v>0.9375</v>
      </c>
      <c r="J432" s="1" t="str">
        <f t="array" ref="J432">XLOOKUP(B432,cat!B:B,cat!C:C)</f>
        <v>B</v>
      </c>
      <c r="K432" s="1">
        <f t="array" ref="K432">XLOOKUP(B432,cat!B:B,cat!D:D)</f>
        <v>297</v>
      </c>
      <c r="L432" s="7">
        <f t="shared" si="1"/>
        <v>0.4722222222</v>
      </c>
      <c r="M432" s="1" t="str">
        <f t="shared" si="2"/>
        <v/>
      </c>
      <c r="P432" s="9"/>
      <c r="Q432" s="9">
        <f t="shared" si="3"/>
        <v>0</v>
      </c>
      <c r="R432" s="1" t="str">
        <f t="shared" si="4"/>
        <v>CCA</v>
      </c>
      <c r="S432" s="1" t="str">
        <f>IF($D432="LEBL", IF(COUNTIF('Paises ECAC'!B:B, C432)&gt;0, "ECAC","NO ECAC"), "")</f>
        <v/>
      </c>
    </row>
    <row r="433" ht="14.25" customHeight="1">
      <c r="A433" s="1" t="s">
        <v>854</v>
      </c>
      <c r="B433" s="1" t="s">
        <v>30</v>
      </c>
      <c r="C433" s="1" t="s">
        <v>53</v>
      </c>
      <c r="D433" s="1" t="s">
        <v>21</v>
      </c>
      <c r="E433" s="1" t="s">
        <v>318</v>
      </c>
      <c r="F433" s="1">
        <v>370.0</v>
      </c>
      <c r="G433" s="5">
        <v>0.3861111111111111</v>
      </c>
      <c r="H433" s="1">
        <v>17.0</v>
      </c>
      <c r="I433" s="5">
        <v>0.4652777777777778</v>
      </c>
      <c r="J433" s="1" t="str">
        <f t="array" ref="J433">XLOOKUP(B433,cat!B:B,cat!C:C)</f>
        <v>D</v>
      </c>
      <c r="K433" s="1">
        <f t="array" ref="K433">XLOOKUP(B433,cat!B:B,cat!D:D)</f>
        <v>173</v>
      </c>
      <c r="L433" s="7">
        <f t="shared" si="1"/>
        <v>0.07916666667</v>
      </c>
      <c r="M433" s="7">
        <f t="shared" si="2"/>
        <v>0.05465277778</v>
      </c>
      <c r="P433" s="9"/>
      <c r="Q433" s="9">
        <f t="shared" si="3"/>
        <v>1088.683333</v>
      </c>
      <c r="R433" s="1" t="str">
        <f t="shared" si="4"/>
        <v>VLG</v>
      </c>
      <c r="S433" s="1" t="str">
        <f>IF($D433="LEBL", IF(COUNTIF('Paises ECAC'!B:B, C433)&gt;0, "ECAC","NO ECAC"), "")</f>
        <v>ECAC</v>
      </c>
    </row>
    <row r="434" ht="14.25" customHeight="1">
      <c r="A434" s="1" t="s">
        <v>855</v>
      </c>
      <c r="B434" s="1" t="s">
        <v>30</v>
      </c>
      <c r="C434" s="1" t="s">
        <v>140</v>
      </c>
      <c r="D434" s="1" t="s">
        <v>21</v>
      </c>
      <c r="E434" s="1" t="s">
        <v>249</v>
      </c>
      <c r="F434" s="1">
        <v>340.0</v>
      </c>
      <c r="G434" s="5">
        <v>0.4173611111111111</v>
      </c>
      <c r="H434" s="1">
        <v>16.0</v>
      </c>
      <c r="I434" s="5">
        <v>0.4652777777777778</v>
      </c>
      <c r="J434" s="1" t="str">
        <f t="array" ref="J434">XLOOKUP(B434,cat!B:B,cat!C:C)</f>
        <v>D</v>
      </c>
      <c r="K434" s="1">
        <f t="array" ref="K434">XLOOKUP(B434,cat!B:B,cat!D:D)</f>
        <v>173</v>
      </c>
      <c r="L434" s="7">
        <f t="shared" si="1"/>
        <v>0.04791666667</v>
      </c>
      <c r="M434" s="7">
        <f t="shared" si="2"/>
        <v>0.02409722222</v>
      </c>
      <c r="P434" s="9"/>
      <c r="Q434" s="9">
        <f t="shared" si="3"/>
        <v>480.0166667</v>
      </c>
      <c r="R434" s="1" t="str">
        <f t="shared" si="4"/>
        <v>VLG</v>
      </c>
      <c r="S434" s="1" t="str">
        <f>IF($D434="LEBL", IF(COUNTIF('Paises ECAC'!B:B, C434)&gt;0, "ECAC","NO ECAC"), "")</f>
        <v>ECAC</v>
      </c>
    </row>
    <row r="435" ht="14.25" customHeight="1">
      <c r="A435" s="1" t="s">
        <v>856</v>
      </c>
      <c r="B435" s="1" t="s">
        <v>25</v>
      </c>
      <c r="C435" s="1" t="s">
        <v>857</v>
      </c>
      <c r="D435" s="1" t="s">
        <v>21</v>
      </c>
      <c r="E435" s="1" t="s">
        <v>858</v>
      </c>
      <c r="F435" s="1">
        <v>390.0</v>
      </c>
      <c r="G435" s="5">
        <v>0.3326388888888889</v>
      </c>
      <c r="H435" s="1">
        <v>9.0</v>
      </c>
      <c r="I435" s="5">
        <v>0.4652777777777778</v>
      </c>
      <c r="J435" s="1" t="str">
        <f t="array" ref="J435">XLOOKUP(B435,cat!B:B,cat!C:C)</f>
        <v>D</v>
      </c>
      <c r="K435" s="1">
        <f t="array" ref="K435">XLOOKUP(B435,cat!B:B,cat!D:D)</f>
        <v>180</v>
      </c>
      <c r="L435" s="7">
        <f t="shared" si="1"/>
        <v>0.1326388889</v>
      </c>
      <c r="M435" s="7">
        <f t="shared" si="2"/>
        <v>0.1136805556</v>
      </c>
      <c r="P435" s="9"/>
      <c r="Q435" s="9">
        <f t="shared" si="3"/>
        <v>2264.516667</v>
      </c>
      <c r="R435" s="1" t="str">
        <f t="shared" si="4"/>
        <v>RZO</v>
      </c>
      <c r="S435" s="1" t="str">
        <f>IF($D435="LEBL", IF(COUNTIF('Paises ECAC'!B:B, C435)&gt;0, "ECAC","NO ECAC"), "")</f>
        <v>ECAC</v>
      </c>
    </row>
    <row r="436" ht="14.25" customHeight="1">
      <c r="A436" s="1" t="s">
        <v>859</v>
      </c>
      <c r="B436" s="1" t="s">
        <v>30</v>
      </c>
      <c r="C436" s="1" t="s">
        <v>126</v>
      </c>
      <c r="D436" s="1" t="s">
        <v>21</v>
      </c>
      <c r="E436" s="1" t="s">
        <v>127</v>
      </c>
      <c r="F436" s="1">
        <v>380.0</v>
      </c>
      <c r="G436" s="5">
        <v>0.3486111111111111</v>
      </c>
      <c r="H436" s="1">
        <v>14.0</v>
      </c>
      <c r="I436" s="5">
        <v>0.46875</v>
      </c>
      <c r="J436" s="1" t="str">
        <f t="array" ref="J436">XLOOKUP(B436,cat!B:B,cat!C:C)</f>
        <v>D</v>
      </c>
      <c r="K436" s="1">
        <f t="array" ref="K436">XLOOKUP(B436,cat!B:B,cat!D:D)</f>
        <v>173</v>
      </c>
      <c r="L436" s="7">
        <f t="shared" si="1"/>
        <v>0.1201388889</v>
      </c>
      <c r="M436" s="7">
        <f t="shared" si="2"/>
        <v>0.09770833333</v>
      </c>
      <c r="P436" s="9"/>
      <c r="Q436" s="9">
        <f t="shared" si="3"/>
        <v>1946.35</v>
      </c>
      <c r="R436" s="1" t="str">
        <f t="shared" si="4"/>
        <v>VLG</v>
      </c>
      <c r="S436" s="1" t="str">
        <f>IF($D436="LEBL", IF(COUNTIF('Paises ECAC'!B:B, C436)&gt;0, "ECAC","NO ECAC"), "")</f>
        <v>ECAC</v>
      </c>
    </row>
    <row r="437" ht="14.25" customHeight="1">
      <c r="A437" s="1" t="s">
        <v>860</v>
      </c>
      <c r="B437" s="1" t="s">
        <v>212</v>
      </c>
      <c r="C437" s="1" t="s">
        <v>21</v>
      </c>
      <c r="D437" s="1" t="s">
        <v>97</v>
      </c>
      <c r="E437" s="1" t="s">
        <v>742</v>
      </c>
      <c r="F437" s="1">
        <v>340.0</v>
      </c>
      <c r="G437" s="5">
        <v>0.46875</v>
      </c>
      <c r="H437" s="1">
        <v>20.0</v>
      </c>
      <c r="I437" s="5">
        <v>0.5173611111111112</v>
      </c>
      <c r="J437" s="1" t="str">
        <f t="array" ref="J437">XLOOKUP(B437,cat!B:B,cat!C:C)</f>
        <v>D</v>
      </c>
      <c r="K437" s="1">
        <f t="array" ref="K437">XLOOKUP(B437,cat!B:B,cat!D:D)</f>
        <v>200</v>
      </c>
      <c r="L437" s="7">
        <f t="shared" si="1"/>
        <v>0.04861111111</v>
      </c>
      <c r="M437" s="1" t="str">
        <f t="shared" si="2"/>
        <v/>
      </c>
      <c r="P437" s="9"/>
      <c r="Q437" s="9">
        <f t="shared" si="3"/>
        <v>0</v>
      </c>
      <c r="R437" s="1" t="str">
        <f t="shared" si="4"/>
        <v>WMT</v>
      </c>
      <c r="S437" s="1" t="str">
        <f>IF($D437="LEBL", IF(COUNTIF('Paises ECAC'!B:B, C437)&gt;0, "ECAC","NO ECAC"), "")</f>
        <v/>
      </c>
    </row>
    <row r="438" ht="14.25" customHeight="1">
      <c r="A438" s="1" t="s">
        <v>861</v>
      </c>
      <c r="B438" s="1" t="s">
        <v>25</v>
      </c>
      <c r="C438" s="1" t="s">
        <v>21</v>
      </c>
      <c r="D438" s="1" t="s">
        <v>169</v>
      </c>
      <c r="E438" s="1" t="s">
        <v>89</v>
      </c>
      <c r="F438" s="1">
        <v>360.0</v>
      </c>
      <c r="G438" s="5">
        <v>0.47152777777777777</v>
      </c>
      <c r="H438" s="1">
        <v>10.0</v>
      </c>
      <c r="I438" s="5">
        <v>0.5416666666666666</v>
      </c>
      <c r="J438" s="1" t="str">
        <f t="array" ref="J438">XLOOKUP(B438,cat!B:B,cat!C:C)</f>
        <v>D</v>
      </c>
      <c r="K438" s="1">
        <f t="array" ref="K438">XLOOKUP(B438,cat!B:B,cat!D:D)</f>
        <v>180</v>
      </c>
      <c r="L438" s="7">
        <f t="shared" si="1"/>
        <v>0.07013888889</v>
      </c>
      <c r="M438" s="1" t="str">
        <f t="shared" si="2"/>
        <v/>
      </c>
      <c r="P438" s="9"/>
      <c r="Q438" s="9">
        <f t="shared" si="3"/>
        <v>0</v>
      </c>
      <c r="R438" s="1" t="str">
        <f t="shared" si="4"/>
        <v>VLG</v>
      </c>
      <c r="S438" s="1" t="str">
        <f>IF($D438="LEBL", IF(COUNTIF('Paises ECAC'!B:B, C438)&gt;0, "ECAC","NO ECAC"), "")</f>
        <v/>
      </c>
    </row>
    <row r="439" ht="14.25" customHeight="1">
      <c r="A439" s="1" t="s">
        <v>862</v>
      </c>
      <c r="B439" s="1" t="s">
        <v>19</v>
      </c>
      <c r="C439" s="1" t="s">
        <v>21</v>
      </c>
      <c r="D439" s="1" t="s">
        <v>863</v>
      </c>
      <c r="E439" s="1" t="s">
        <v>22</v>
      </c>
      <c r="F439" s="1">
        <v>340.0</v>
      </c>
      <c r="G439" s="5">
        <v>0.4722222222222222</v>
      </c>
      <c r="H439" s="1">
        <v>20.0</v>
      </c>
      <c r="I439" s="5">
        <v>0.5381944444444444</v>
      </c>
      <c r="J439" s="1" t="str">
        <f t="array" ref="J439">XLOOKUP(B439,cat!B:B,cat!C:C)</f>
        <v>D</v>
      </c>
      <c r="K439" s="1">
        <f t="array" ref="K439">XLOOKUP(B439,cat!B:B,cat!D:D)</f>
        <v>184</v>
      </c>
      <c r="L439" s="7">
        <f t="shared" si="1"/>
        <v>0.06597222222</v>
      </c>
      <c r="M439" s="1" t="str">
        <f t="shared" si="2"/>
        <v/>
      </c>
      <c r="P439" s="9"/>
      <c r="Q439" s="9">
        <f t="shared" si="3"/>
        <v>0</v>
      </c>
      <c r="R439" s="1" t="str">
        <f t="shared" si="4"/>
        <v>RYR</v>
      </c>
      <c r="S439" s="1" t="str">
        <f>IF($D439="LEBL", IF(COUNTIF('Paises ECAC'!B:B, C439)&gt;0, "ECAC","NO ECAC"), "")</f>
        <v/>
      </c>
    </row>
    <row r="440" ht="14.25" customHeight="1">
      <c r="A440" s="1" t="s">
        <v>864</v>
      </c>
      <c r="B440" s="1" t="s">
        <v>25</v>
      </c>
      <c r="C440" s="1" t="s">
        <v>274</v>
      </c>
      <c r="D440" s="1" t="s">
        <v>21</v>
      </c>
      <c r="E440" s="1" t="s">
        <v>865</v>
      </c>
      <c r="F440" s="1">
        <v>350.0</v>
      </c>
      <c r="G440" s="5">
        <v>0.40902777777777777</v>
      </c>
      <c r="H440" s="1">
        <v>23.0</v>
      </c>
      <c r="I440" s="5">
        <v>0.46875</v>
      </c>
      <c r="J440" s="1" t="str">
        <f t="array" ref="J440">XLOOKUP(B440,cat!B:B,cat!C:C)</f>
        <v>D</v>
      </c>
      <c r="K440" s="1">
        <f t="array" ref="K440">XLOOKUP(B440,cat!B:B,cat!D:D)</f>
        <v>180</v>
      </c>
      <c r="L440" s="7">
        <f t="shared" si="1"/>
        <v>0.05972222222</v>
      </c>
      <c r="M440" s="7">
        <f t="shared" si="2"/>
        <v>0.03104166667</v>
      </c>
      <c r="P440" s="9"/>
      <c r="Q440" s="9">
        <f t="shared" si="3"/>
        <v>618.35</v>
      </c>
      <c r="R440" s="1" t="str">
        <f t="shared" si="4"/>
        <v>BAW</v>
      </c>
      <c r="S440" s="1" t="str">
        <f>IF($D440="LEBL", IF(COUNTIF('Paises ECAC'!B:B, C440)&gt;0, "ECAC","NO ECAC"), "")</f>
        <v>ECAC</v>
      </c>
    </row>
    <row r="441" ht="14.25" customHeight="1">
      <c r="A441" s="1" t="s">
        <v>866</v>
      </c>
      <c r="B441" s="1" t="s">
        <v>35</v>
      </c>
      <c r="C441" s="1" t="s">
        <v>343</v>
      </c>
      <c r="D441" s="1" t="s">
        <v>21</v>
      </c>
      <c r="E441" s="1" t="s">
        <v>867</v>
      </c>
      <c r="F441" s="1">
        <v>360.0</v>
      </c>
      <c r="G441" s="5">
        <v>0.35138888888888886</v>
      </c>
      <c r="H441" s="1">
        <v>20.0</v>
      </c>
      <c r="I441" s="5">
        <v>0.4722222222222222</v>
      </c>
      <c r="J441" s="1" t="str">
        <f t="array" ref="J441">XLOOKUP(B441,cat!B:B,cat!C:C)</f>
        <v>D</v>
      </c>
      <c r="K441" s="1">
        <f t="array" ref="K441">XLOOKUP(B441,cat!B:B,cat!D:D)</f>
        <v>207</v>
      </c>
      <c r="L441" s="7">
        <f t="shared" si="1"/>
        <v>0.1208333333</v>
      </c>
      <c r="M441" s="7">
        <f t="shared" si="2"/>
        <v>0.09423611111</v>
      </c>
      <c r="P441" s="9"/>
      <c r="Q441" s="9">
        <f t="shared" si="3"/>
        <v>1877.183333</v>
      </c>
      <c r="R441" s="1" t="str">
        <f t="shared" si="4"/>
        <v>THY</v>
      </c>
      <c r="S441" s="1" t="str">
        <f>IF($D441="LEBL", IF(COUNTIF('Paises ECAC'!B:B, C441)&gt;0, "ECAC","NO ECAC"), "")</f>
        <v>ECAC</v>
      </c>
    </row>
    <row r="442" ht="14.25" customHeight="1">
      <c r="A442" s="1" t="s">
        <v>868</v>
      </c>
      <c r="B442" s="1" t="s">
        <v>30</v>
      </c>
      <c r="C442" s="1" t="s">
        <v>274</v>
      </c>
      <c r="D442" s="1" t="s">
        <v>21</v>
      </c>
      <c r="E442" s="1" t="s">
        <v>275</v>
      </c>
      <c r="F442" s="1">
        <v>350.0</v>
      </c>
      <c r="G442" s="5">
        <v>0.38263888888888886</v>
      </c>
      <c r="H442" s="1">
        <v>27.0</v>
      </c>
      <c r="I442" s="5">
        <v>0.4722222222222222</v>
      </c>
      <c r="J442" s="1" t="str">
        <f t="array" ref="J442">XLOOKUP(B442,cat!B:B,cat!C:C)</f>
        <v>D</v>
      </c>
      <c r="K442" s="1">
        <f t="array" ref="K442">XLOOKUP(B442,cat!B:B,cat!D:D)</f>
        <v>173</v>
      </c>
      <c r="L442" s="7">
        <f t="shared" si="1"/>
        <v>0.08958333333</v>
      </c>
      <c r="M442" s="7">
        <f t="shared" si="2"/>
        <v>0.058125</v>
      </c>
      <c r="P442" s="9"/>
      <c r="Q442" s="9">
        <f t="shared" si="3"/>
        <v>1157.85</v>
      </c>
      <c r="R442" s="1" t="str">
        <f t="shared" si="4"/>
        <v>VLG</v>
      </c>
      <c r="S442" s="1" t="str">
        <f>IF($D442="LEBL", IF(COUNTIF('Paises ECAC'!B:B, C442)&gt;0, "ECAC","NO ECAC"), "")</f>
        <v>ECAC</v>
      </c>
    </row>
    <row r="443" ht="14.25" customHeight="1">
      <c r="A443" s="1" t="s">
        <v>869</v>
      </c>
      <c r="B443" s="1" t="s">
        <v>30</v>
      </c>
      <c r="C443" s="1" t="s">
        <v>21</v>
      </c>
      <c r="D443" s="1" t="s">
        <v>143</v>
      </c>
      <c r="E443" s="1" t="s">
        <v>870</v>
      </c>
      <c r="F443" s="1">
        <v>190.0</v>
      </c>
      <c r="G443" s="5">
        <v>0.4625</v>
      </c>
      <c r="H443" s="1">
        <v>16.0</v>
      </c>
      <c r="I443" s="5">
        <v>0.4930555555555556</v>
      </c>
      <c r="J443" s="1" t="str">
        <f t="array" ref="J443">XLOOKUP(B443,cat!B:B,cat!C:C)</f>
        <v>D</v>
      </c>
      <c r="K443" s="1">
        <f t="array" ref="K443">XLOOKUP(B443,cat!B:B,cat!D:D)</f>
        <v>173</v>
      </c>
      <c r="L443" s="7">
        <f t="shared" si="1"/>
        <v>0.03055555556</v>
      </c>
      <c r="M443" s="1" t="str">
        <f t="shared" si="2"/>
        <v/>
      </c>
      <c r="P443" s="9"/>
      <c r="Q443" s="9">
        <f t="shared" si="3"/>
        <v>0</v>
      </c>
      <c r="R443" s="1" t="str">
        <f t="shared" si="4"/>
        <v>VLG</v>
      </c>
      <c r="S443" s="1" t="str">
        <f>IF($D443="LEBL", IF(COUNTIF('Paises ECAC'!B:B, C443)&gt;0, "ECAC","NO ECAC"), "")</f>
        <v/>
      </c>
    </row>
    <row r="444" ht="14.25" customHeight="1">
      <c r="A444" s="1" t="s">
        <v>871</v>
      </c>
      <c r="B444" s="1" t="s">
        <v>132</v>
      </c>
      <c r="C444" s="1" t="s">
        <v>21</v>
      </c>
      <c r="D444" s="1" t="s">
        <v>133</v>
      </c>
      <c r="E444" s="1" t="s">
        <v>134</v>
      </c>
      <c r="F444" s="1">
        <v>380.0</v>
      </c>
      <c r="G444" s="5">
        <v>0.47638888888888886</v>
      </c>
      <c r="H444" s="1">
        <v>17.0</v>
      </c>
      <c r="I444" s="5">
        <v>0.7743055555555556</v>
      </c>
      <c r="J444" s="1" t="str">
        <f t="array" ref="J444">XLOOKUP(B444,cat!B:B,cat!C:C)</f>
        <v>B</v>
      </c>
      <c r="K444" s="1">
        <f t="array" ref="K444">XLOOKUP(B444,cat!B:B,cat!D:D)</f>
        <v>296</v>
      </c>
      <c r="L444" s="7">
        <f t="shared" si="1"/>
        <v>0.2979166667</v>
      </c>
      <c r="M444" s="1" t="str">
        <f t="shared" si="2"/>
        <v/>
      </c>
      <c r="P444" s="9"/>
      <c r="Q444" s="9">
        <f t="shared" si="3"/>
        <v>0</v>
      </c>
      <c r="R444" s="1" t="str">
        <f t="shared" si="4"/>
        <v>AAL</v>
      </c>
      <c r="S444" s="1" t="str">
        <f>IF($D444="LEBL", IF(COUNTIF('Paises ECAC'!B:B, C444)&gt;0, "ECAC","NO ECAC"), "")</f>
        <v/>
      </c>
    </row>
    <row r="445" ht="14.25" customHeight="1">
      <c r="A445" s="1" t="s">
        <v>872</v>
      </c>
      <c r="B445" s="1" t="s">
        <v>136</v>
      </c>
      <c r="C445" s="1" t="s">
        <v>21</v>
      </c>
      <c r="D445" s="1" t="s">
        <v>274</v>
      </c>
      <c r="E445" s="1" t="s">
        <v>739</v>
      </c>
      <c r="F445" s="1">
        <v>340.0</v>
      </c>
      <c r="G445" s="5">
        <v>0.4597222222222222</v>
      </c>
      <c r="H445" s="1">
        <v>12.0</v>
      </c>
      <c r="I445" s="5">
        <v>0.5451388888888888</v>
      </c>
      <c r="J445" s="1" t="str">
        <f t="array" ref="J445">XLOOKUP(B445,cat!B:B,cat!C:C)</f>
        <v>D</v>
      </c>
      <c r="K445" s="1">
        <f t="array" ref="K445">XLOOKUP(B445,cat!B:B,cat!D:D)</f>
        <v>144</v>
      </c>
      <c r="L445" s="7">
        <f t="shared" si="1"/>
        <v>0.08541666667</v>
      </c>
      <c r="M445" s="1" t="str">
        <f t="shared" si="2"/>
        <v/>
      </c>
      <c r="P445" s="9"/>
      <c r="Q445" s="9">
        <f t="shared" si="3"/>
        <v>0</v>
      </c>
      <c r="R445" s="1" t="str">
        <f t="shared" si="4"/>
        <v>BAW</v>
      </c>
      <c r="S445" s="1" t="str">
        <f>IF($D445="LEBL", IF(COUNTIF('Paises ECAC'!B:B, C445)&gt;0, "ECAC","NO ECAC"), "")</f>
        <v/>
      </c>
    </row>
    <row r="446" ht="14.25" customHeight="1">
      <c r="A446" s="1" t="s">
        <v>873</v>
      </c>
      <c r="B446" s="1" t="s">
        <v>35</v>
      </c>
      <c r="C446" s="1" t="s">
        <v>304</v>
      </c>
      <c r="D446" s="1" t="s">
        <v>21</v>
      </c>
      <c r="E446" s="1" t="s">
        <v>305</v>
      </c>
      <c r="F446" s="1">
        <v>350.0</v>
      </c>
      <c r="G446" s="5">
        <v>0.3958333333333333</v>
      </c>
      <c r="H446" s="1">
        <v>10.0</v>
      </c>
      <c r="I446" s="5">
        <v>0.4756944444444444</v>
      </c>
      <c r="J446" s="1" t="str">
        <f t="array" ref="J446">XLOOKUP(B446,cat!B:B,cat!C:C)</f>
        <v>D</v>
      </c>
      <c r="K446" s="1">
        <f t="array" ref="K446">XLOOKUP(B446,cat!B:B,cat!D:D)</f>
        <v>207</v>
      </c>
      <c r="L446" s="7">
        <f t="shared" si="1"/>
        <v>0.07986111111</v>
      </c>
      <c r="M446" s="7">
        <f t="shared" si="2"/>
        <v>0.06020833333</v>
      </c>
      <c r="P446" s="9"/>
      <c r="Q446" s="9">
        <f t="shared" si="3"/>
        <v>1199.35</v>
      </c>
      <c r="R446" s="1" t="str">
        <f t="shared" si="4"/>
        <v>VLG</v>
      </c>
      <c r="S446" s="1" t="str">
        <f>IF($D446="LEBL", IF(COUNTIF('Paises ECAC'!B:B, C446)&gt;0, "ECAC","NO ECAC"), "")</f>
        <v>ECAC</v>
      </c>
    </row>
    <row r="447" ht="14.25" customHeight="1">
      <c r="A447" s="1" t="s">
        <v>874</v>
      </c>
      <c r="B447" s="1" t="s">
        <v>767</v>
      </c>
      <c r="C447" s="1" t="s">
        <v>21</v>
      </c>
      <c r="D447" s="1" t="s">
        <v>156</v>
      </c>
      <c r="E447" s="1" t="s">
        <v>874</v>
      </c>
      <c r="F447" s="1">
        <v>190.0</v>
      </c>
      <c r="G447" s="5">
        <v>0.4722222222222222</v>
      </c>
      <c r="H447" s="1">
        <v>20.0</v>
      </c>
      <c r="I447" s="5">
        <v>0.4965277777777778</v>
      </c>
      <c r="J447" s="1" t="str">
        <f t="array" ref="J447">XLOOKUP(B447,cat!B:B,cat!C:C)</f>
        <v>F</v>
      </c>
      <c r="K447" s="1">
        <f t="array" ref="K447">XLOOKUP(B447,cat!B:B,cat!D:D)</f>
        <v>4</v>
      </c>
      <c r="L447" s="7">
        <f t="shared" si="1"/>
        <v>0.02430555556</v>
      </c>
      <c r="M447" s="1" t="str">
        <f t="shared" si="2"/>
        <v/>
      </c>
      <c r="P447" s="9"/>
      <c r="Q447" s="9">
        <f t="shared" si="3"/>
        <v>0</v>
      </c>
      <c r="R447" s="1" t="str">
        <f t="shared" si="4"/>
        <v>CSD</v>
      </c>
      <c r="S447" s="1" t="str">
        <f>IF($D447="LEBL", IF(COUNTIF('Paises ECAC'!B:B, C447)&gt;0, "ECAC","NO ECAC"), "")</f>
        <v/>
      </c>
    </row>
    <row r="448" ht="14.25" customHeight="1">
      <c r="A448" s="1" t="s">
        <v>875</v>
      </c>
      <c r="B448" s="1" t="s">
        <v>122</v>
      </c>
      <c r="C448" s="1" t="s">
        <v>21</v>
      </c>
      <c r="D448" s="1" t="s">
        <v>352</v>
      </c>
      <c r="E448" s="1" t="s">
        <v>353</v>
      </c>
      <c r="F448" s="1">
        <v>410.0</v>
      </c>
      <c r="G448" s="5">
        <v>0.4756944444444444</v>
      </c>
      <c r="H448" s="1">
        <v>21.0</v>
      </c>
      <c r="I448" s="5">
        <v>0.9409722222222222</v>
      </c>
      <c r="J448" s="1" t="str">
        <f t="array" ref="J448">XLOOKUP(B448,cat!B:B,cat!C:C)</f>
        <v>B</v>
      </c>
      <c r="K448" s="1">
        <f t="array" ref="K448">XLOOKUP(B448,cat!B:B,cat!D:D)</f>
        <v>297</v>
      </c>
      <c r="L448" s="7">
        <f t="shared" si="1"/>
        <v>0.4652777778</v>
      </c>
      <c r="M448" s="1" t="str">
        <f t="shared" si="2"/>
        <v/>
      </c>
      <c r="P448" s="9"/>
      <c r="Q448" s="9">
        <f t="shared" si="3"/>
        <v>0</v>
      </c>
      <c r="R448" s="1" t="str">
        <f t="shared" si="4"/>
        <v>CPA</v>
      </c>
      <c r="S448" s="1" t="str">
        <f>IF($D448="LEBL", IF(COUNTIF('Paises ECAC'!B:B, C448)&gt;0, "ECAC","NO ECAC"), "")</f>
        <v/>
      </c>
    </row>
    <row r="449" ht="14.25" customHeight="1">
      <c r="A449" s="1" t="s">
        <v>876</v>
      </c>
      <c r="B449" s="1" t="s">
        <v>294</v>
      </c>
      <c r="C449" s="1" t="s">
        <v>21</v>
      </c>
      <c r="D449" s="1" t="s">
        <v>469</v>
      </c>
      <c r="E449" s="1" t="s">
        <v>296</v>
      </c>
      <c r="F449" s="1">
        <v>360.0</v>
      </c>
      <c r="G449" s="5">
        <v>0.48194444444444445</v>
      </c>
      <c r="H449" s="1">
        <v>16.0</v>
      </c>
      <c r="I449" s="5">
        <v>0.7916666666666666</v>
      </c>
      <c r="J449" s="1" t="str">
        <f t="array" ref="J449">XLOOKUP(B449,cat!B:B,cat!C:C)</f>
        <v>B</v>
      </c>
      <c r="K449" s="1">
        <f t="array" ref="K449">XLOOKUP(B449,cat!B:B,cat!D:D)</f>
        <v>331</v>
      </c>
      <c r="L449" s="7">
        <f t="shared" si="1"/>
        <v>0.3097222222</v>
      </c>
      <c r="M449" s="1" t="str">
        <f t="shared" si="2"/>
        <v/>
      </c>
      <c r="P449" s="9"/>
      <c r="Q449" s="9">
        <f t="shared" si="3"/>
        <v>0</v>
      </c>
      <c r="R449" s="1" t="str">
        <f t="shared" si="4"/>
        <v>ACA</v>
      </c>
      <c r="S449" s="1" t="str">
        <f>IF($D449="LEBL", IF(COUNTIF('Paises ECAC'!B:B, C449)&gt;0, "ECAC","NO ECAC"), "")</f>
        <v/>
      </c>
    </row>
    <row r="450" ht="14.25" customHeight="1">
      <c r="A450" s="1" t="s">
        <v>877</v>
      </c>
      <c r="B450" s="1" t="s">
        <v>544</v>
      </c>
      <c r="C450" s="1" t="s">
        <v>390</v>
      </c>
      <c r="D450" s="1" t="s">
        <v>21</v>
      </c>
      <c r="E450" s="1" t="s">
        <v>878</v>
      </c>
      <c r="F450" s="1">
        <v>380.0</v>
      </c>
      <c r="G450" s="5">
        <v>0.34652777777777777</v>
      </c>
      <c r="H450" s="1">
        <v>10.0</v>
      </c>
      <c r="I450" s="5">
        <v>0.4791666666666667</v>
      </c>
      <c r="J450" s="1" t="str">
        <f t="array" ref="J450">XLOOKUP(B450,cat!B:B,cat!C:C)</f>
        <v>D</v>
      </c>
      <c r="K450" s="1">
        <f t="array" ref="K450">XLOOKUP(B450,cat!B:B,cat!D:D)</f>
        <v>148</v>
      </c>
      <c r="L450" s="7">
        <f t="shared" si="1"/>
        <v>0.1326388889</v>
      </c>
      <c r="M450" s="7">
        <f t="shared" si="2"/>
        <v>0.1129861111</v>
      </c>
      <c r="P450" s="9"/>
      <c r="Q450" s="9">
        <f t="shared" si="3"/>
        <v>2250.683333</v>
      </c>
      <c r="R450" s="1" t="str">
        <f t="shared" si="4"/>
        <v>BTI</v>
      </c>
      <c r="S450" s="1" t="str">
        <f>IF($D450="LEBL", IF(COUNTIF('Paises ECAC'!B:B, C450)&gt;0, "ECAC","NO ECAC"), "")</f>
        <v>ECAC</v>
      </c>
    </row>
    <row r="451" ht="14.25" customHeight="1">
      <c r="A451" s="1" t="s">
        <v>879</v>
      </c>
      <c r="B451" s="1" t="s">
        <v>40</v>
      </c>
      <c r="C451" s="1" t="s">
        <v>880</v>
      </c>
      <c r="D451" s="1" t="s">
        <v>21</v>
      </c>
      <c r="E451" s="1" t="s">
        <v>881</v>
      </c>
      <c r="F451" s="1">
        <v>380.0</v>
      </c>
      <c r="G451" s="5">
        <v>0.36319444444444443</v>
      </c>
      <c r="H451" s="1">
        <v>10.0</v>
      </c>
      <c r="I451" s="5">
        <v>0.4791666666666667</v>
      </c>
      <c r="J451" s="1" t="str">
        <f t="array" ref="J451">XLOOKUP(B451,cat!B:B,cat!C:C)</f>
        <v>D</v>
      </c>
      <c r="K451" s="1">
        <f t="array" ref="K451">XLOOKUP(B451,cat!B:B,cat!D:D)</f>
        <v>186</v>
      </c>
      <c r="L451" s="7">
        <f t="shared" si="1"/>
        <v>0.1159722222</v>
      </c>
      <c r="M451" s="7">
        <f t="shared" si="2"/>
        <v>0.09631944444</v>
      </c>
      <c r="P451" s="9"/>
      <c r="Q451" s="9">
        <f t="shared" si="3"/>
        <v>1918.683333</v>
      </c>
      <c r="R451" s="1" t="str">
        <f t="shared" si="4"/>
        <v>SXS</v>
      </c>
      <c r="S451" s="1" t="str">
        <f>IF($D451="LEBL", IF(COUNTIF('Paises ECAC'!B:B, C451)&gt;0, "ECAC","NO ECAC"), "")</f>
        <v>ECAC</v>
      </c>
    </row>
    <row r="452" ht="14.25" customHeight="1">
      <c r="A452" s="1" t="s">
        <v>882</v>
      </c>
      <c r="B452" s="1" t="s">
        <v>30</v>
      </c>
      <c r="C452" s="1" t="s">
        <v>74</v>
      </c>
      <c r="D452" s="1" t="s">
        <v>21</v>
      </c>
      <c r="E452" s="1" t="s">
        <v>883</v>
      </c>
      <c r="F452" s="1">
        <v>390.0</v>
      </c>
      <c r="G452" s="5">
        <v>0.42569444444444443</v>
      </c>
      <c r="H452" s="1">
        <v>11.0</v>
      </c>
      <c r="I452" s="5">
        <v>0.4791666666666667</v>
      </c>
      <c r="J452" s="1" t="str">
        <f t="array" ref="J452">XLOOKUP(B452,cat!B:B,cat!C:C)</f>
        <v>D</v>
      </c>
      <c r="K452" s="1">
        <f t="array" ref="K452">XLOOKUP(B452,cat!B:B,cat!D:D)</f>
        <v>173</v>
      </c>
      <c r="L452" s="7">
        <f t="shared" si="1"/>
        <v>0.05347222222</v>
      </c>
      <c r="M452" s="7">
        <f t="shared" si="2"/>
        <v>0.033125</v>
      </c>
      <c r="P452" s="9"/>
      <c r="Q452" s="9">
        <f t="shared" si="3"/>
        <v>659.85</v>
      </c>
      <c r="R452" s="1" t="str">
        <f t="shared" si="4"/>
        <v>VLG</v>
      </c>
      <c r="S452" s="1" t="str">
        <f>IF($D452="LEBL", IF(COUNTIF('Paises ECAC'!B:B, C452)&gt;0, "ECAC","NO ECAC"), "")</f>
        <v>ECAC</v>
      </c>
    </row>
    <row r="453" ht="14.25" customHeight="1">
      <c r="A453" s="1" t="s">
        <v>884</v>
      </c>
      <c r="B453" s="1" t="s">
        <v>30</v>
      </c>
      <c r="C453" s="1" t="s">
        <v>21</v>
      </c>
      <c r="D453" s="1" t="s">
        <v>245</v>
      </c>
      <c r="E453" s="1" t="s">
        <v>764</v>
      </c>
      <c r="F453" s="1">
        <v>190.0</v>
      </c>
      <c r="G453" s="5">
        <v>0.4756944444444444</v>
      </c>
      <c r="H453" s="1">
        <v>10.0</v>
      </c>
      <c r="I453" s="5">
        <v>0.5069444444444444</v>
      </c>
      <c r="J453" s="1" t="str">
        <f t="array" ref="J453">XLOOKUP(B453,cat!B:B,cat!C:C)</f>
        <v>D</v>
      </c>
      <c r="K453" s="1">
        <f t="array" ref="K453">XLOOKUP(B453,cat!B:B,cat!D:D)</f>
        <v>173</v>
      </c>
      <c r="L453" s="7">
        <f t="shared" si="1"/>
        <v>0.03125</v>
      </c>
      <c r="M453" s="1" t="str">
        <f t="shared" si="2"/>
        <v/>
      </c>
      <c r="P453" s="9"/>
      <c r="Q453" s="9">
        <f t="shared" si="3"/>
        <v>0</v>
      </c>
      <c r="R453" s="1" t="str">
        <f t="shared" si="4"/>
        <v>VLG</v>
      </c>
      <c r="S453" s="1" t="str">
        <f>IF($D453="LEBL", IF(COUNTIF('Paises ECAC'!B:B, C453)&gt;0, "ECAC","NO ECAC"), "")</f>
        <v/>
      </c>
    </row>
    <row r="454" ht="14.25" customHeight="1">
      <c r="A454" s="1" t="s">
        <v>885</v>
      </c>
      <c r="B454" s="1" t="s">
        <v>19</v>
      </c>
      <c r="C454" s="1" t="s">
        <v>886</v>
      </c>
      <c r="D454" s="1" t="s">
        <v>21</v>
      </c>
      <c r="E454" s="1" t="s">
        <v>887</v>
      </c>
      <c r="F454" s="1">
        <v>390.0</v>
      </c>
      <c r="G454" s="5">
        <v>0.4097222222222222</v>
      </c>
      <c r="H454" s="1">
        <v>10.0</v>
      </c>
      <c r="I454" s="5">
        <v>0.4826388888888889</v>
      </c>
      <c r="J454" s="1" t="str">
        <f t="array" ref="J454">XLOOKUP(B454,cat!B:B,cat!C:C)</f>
        <v>D</v>
      </c>
      <c r="K454" s="1">
        <f t="array" ref="K454">XLOOKUP(B454,cat!B:B,cat!D:D)</f>
        <v>184</v>
      </c>
      <c r="L454" s="7">
        <f t="shared" si="1"/>
        <v>0.07291666667</v>
      </c>
      <c r="M454" s="7">
        <f t="shared" si="2"/>
        <v>0.05326388889</v>
      </c>
      <c r="P454" s="9"/>
      <c r="Q454" s="9">
        <f t="shared" si="3"/>
        <v>1061.016667</v>
      </c>
      <c r="R454" s="1" t="str">
        <f t="shared" si="4"/>
        <v>TRA</v>
      </c>
      <c r="S454" s="1" t="str">
        <f>IF($D454="LEBL", IF(COUNTIF('Paises ECAC'!B:B, C454)&gt;0, "ECAC","NO ECAC"), "")</f>
        <v>ECAC</v>
      </c>
    </row>
    <row r="455" ht="14.25" customHeight="1">
      <c r="A455" s="1" t="s">
        <v>888</v>
      </c>
      <c r="B455" s="1" t="s">
        <v>136</v>
      </c>
      <c r="C455" s="1" t="s">
        <v>21</v>
      </c>
      <c r="D455" s="1" t="s">
        <v>271</v>
      </c>
      <c r="E455" s="1" t="s">
        <v>232</v>
      </c>
      <c r="F455" s="1">
        <v>360.0</v>
      </c>
      <c r="G455" s="5">
        <v>0.4840277777777778</v>
      </c>
      <c r="H455" s="1">
        <v>20.0</v>
      </c>
      <c r="I455" s="5">
        <v>0.5590277777777778</v>
      </c>
      <c r="J455" s="1" t="str">
        <f t="array" ref="J455">XLOOKUP(B455,cat!B:B,cat!C:C)</f>
        <v>D</v>
      </c>
      <c r="K455" s="1">
        <f t="array" ref="K455">XLOOKUP(B455,cat!B:B,cat!D:D)</f>
        <v>144</v>
      </c>
      <c r="L455" s="7">
        <f t="shared" si="1"/>
        <v>0.075</v>
      </c>
      <c r="M455" s="1" t="str">
        <f t="shared" si="2"/>
        <v/>
      </c>
      <c r="P455" s="9"/>
      <c r="Q455" s="9">
        <f t="shared" si="3"/>
        <v>0</v>
      </c>
      <c r="R455" s="1" t="str">
        <f t="shared" si="4"/>
        <v>EJU</v>
      </c>
      <c r="S455" s="1" t="str">
        <f>IF($D455="LEBL", IF(COUNTIF('Paises ECAC'!B:B, C455)&gt;0, "ECAC","NO ECAC"), "")</f>
        <v/>
      </c>
    </row>
    <row r="456" ht="14.25" customHeight="1">
      <c r="A456" s="1" t="s">
        <v>889</v>
      </c>
      <c r="B456" s="1" t="s">
        <v>35</v>
      </c>
      <c r="C456" s="1" t="s">
        <v>21</v>
      </c>
      <c r="D456" s="1" t="s">
        <v>107</v>
      </c>
      <c r="E456" s="1" t="s">
        <v>663</v>
      </c>
      <c r="F456" s="1">
        <v>350.0</v>
      </c>
      <c r="G456" s="5">
        <v>0.4826388888888889</v>
      </c>
      <c r="H456" s="1">
        <v>11.0</v>
      </c>
      <c r="I456" s="5">
        <v>0.5451388888888888</v>
      </c>
      <c r="J456" s="1" t="str">
        <f t="array" ref="J456">XLOOKUP(B456,cat!B:B,cat!C:C)</f>
        <v>D</v>
      </c>
      <c r="K456" s="1">
        <f t="array" ref="K456">XLOOKUP(B456,cat!B:B,cat!D:D)</f>
        <v>207</v>
      </c>
      <c r="L456" s="7">
        <f t="shared" si="1"/>
        <v>0.0625</v>
      </c>
      <c r="M456" s="1" t="str">
        <f t="shared" si="2"/>
        <v/>
      </c>
      <c r="P456" s="9"/>
      <c r="Q456" s="9">
        <f t="shared" si="3"/>
        <v>0</v>
      </c>
      <c r="R456" s="1" t="str">
        <f t="shared" si="4"/>
        <v>TAP</v>
      </c>
      <c r="S456" s="1" t="str">
        <f>IF($D456="LEBL", IF(COUNTIF('Paises ECAC'!B:B, C456)&gt;0, "ECAC","NO ECAC"), "")</f>
        <v/>
      </c>
    </row>
    <row r="457" ht="14.25" customHeight="1">
      <c r="A457" s="1" t="s">
        <v>890</v>
      </c>
      <c r="B457" s="1" t="s">
        <v>19</v>
      </c>
      <c r="C457" s="1" t="s">
        <v>21</v>
      </c>
      <c r="D457" s="1" t="s">
        <v>169</v>
      </c>
      <c r="E457" s="1" t="s">
        <v>778</v>
      </c>
      <c r="F457" s="1">
        <v>340.0</v>
      </c>
      <c r="G457" s="5">
        <v>0.4798611111111111</v>
      </c>
      <c r="H457" s="1">
        <v>11.0</v>
      </c>
      <c r="I457" s="5">
        <v>0.5555555555555556</v>
      </c>
      <c r="J457" s="1" t="str">
        <f t="array" ref="J457">XLOOKUP(B457,cat!B:B,cat!C:C)</f>
        <v>D</v>
      </c>
      <c r="K457" s="1">
        <f t="array" ref="K457">XLOOKUP(B457,cat!B:B,cat!D:D)</f>
        <v>184</v>
      </c>
      <c r="L457" s="7">
        <f t="shared" si="1"/>
        <v>0.07569444444</v>
      </c>
      <c r="M457" s="1" t="str">
        <f t="shared" si="2"/>
        <v/>
      </c>
      <c r="P457" s="9"/>
      <c r="Q457" s="9">
        <f t="shared" si="3"/>
        <v>0</v>
      </c>
      <c r="R457" s="1" t="str">
        <f t="shared" si="4"/>
        <v>KLM</v>
      </c>
      <c r="S457" s="1" t="str">
        <f>IF($D457="LEBL", IF(COUNTIF('Paises ECAC'!B:B, C457)&gt;0, "ECAC","NO ECAC"), "")</f>
        <v/>
      </c>
    </row>
    <row r="458" ht="14.25" customHeight="1">
      <c r="A458" s="1" t="s">
        <v>891</v>
      </c>
      <c r="B458" s="1" t="s">
        <v>410</v>
      </c>
      <c r="C458" s="1" t="s">
        <v>719</v>
      </c>
      <c r="D458" s="1" t="s">
        <v>21</v>
      </c>
      <c r="E458" s="1" t="s">
        <v>892</v>
      </c>
      <c r="F458" s="1">
        <v>390.0</v>
      </c>
      <c r="G458" s="5">
        <v>0.03819444444444445</v>
      </c>
      <c r="H458" s="1">
        <v>10.0</v>
      </c>
      <c r="I458" s="5">
        <v>0.4826388888888889</v>
      </c>
      <c r="J458" s="1" t="str">
        <f t="array" ref="J458">XLOOKUP(B458,cat!B:B,cat!C:C)</f>
        <v>B</v>
      </c>
      <c r="K458" s="1">
        <f t="array" ref="K458">XLOOKUP(B458,cat!B:B,cat!D:D)</f>
        <v>302</v>
      </c>
      <c r="L458" s="7">
        <f t="shared" si="1"/>
        <v>0.4444444444</v>
      </c>
      <c r="M458" s="7">
        <f t="shared" si="2"/>
        <v>0.4247916667</v>
      </c>
      <c r="P458" s="9"/>
      <c r="Q458" s="9">
        <f t="shared" si="3"/>
        <v>9175.5</v>
      </c>
      <c r="R458" s="1" t="str">
        <f t="shared" si="4"/>
        <v>UAE</v>
      </c>
      <c r="S458" s="1" t="str">
        <f>IF($D458="LEBL", IF(COUNTIF('Paises ECAC'!B:B, C458)&gt;0, "ECAC","NO ECAC"), "")</f>
        <v>NO ECAC</v>
      </c>
    </row>
    <row r="459" ht="14.25" customHeight="1">
      <c r="A459" s="1" t="s">
        <v>893</v>
      </c>
      <c r="B459" s="1" t="s">
        <v>19</v>
      </c>
      <c r="C459" s="1" t="s">
        <v>21</v>
      </c>
      <c r="D459" s="1" t="s">
        <v>129</v>
      </c>
      <c r="E459" s="1" t="s">
        <v>421</v>
      </c>
      <c r="F459" s="1">
        <v>340.0</v>
      </c>
      <c r="G459" s="5">
        <v>0.4826388888888889</v>
      </c>
      <c r="H459" s="1">
        <v>20.0</v>
      </c>
      <c r="I459" s="5">
        <v>0.5381944444444444</v>
      </c>
      <c r="J459" s="1" t="str">
        <f t="array" ref="J459">XLOOKUP(B459,cat!B:B,cat!C:C)</f>
        <v>D</v>
      </c>
      <c r="K459" s="1">
        <f t="array" ref="K459">XLOOKUP(B459,cat!B:B,cat!D:D)</f>
        <v>184</v>
      </c>
      <c r="L459" s="7">
        <f t="shared" si="1"/>
        <v>0.05555555556</v>
      </c>
      <c r="M459" s="1" t="str">
        <f t="shared" si="2"/>
        <v/>
      </c>
      <c r="P459" s="9"/>
      <c r="Q459" s="9">
        <f t="shared" si="3"/>
        <v>0</v>
      </c>
      <c r="R459" s="1" t="str">
        <f t="shared" si="4"/>
        <v>RYR</v>
      </c>
      <c r="S459" s="1" t="str">
        <f>IF($D459="LEBL", IF(COUNTIF('Paises ECAC'!B:B, C459)&gt;0, "ECAC","NO ECAC"), "")</f>
        <v/>
      </c>
    </row>
    <row r="460" ht="14.25" customHeight="1">
      <c r="A460" s="1" t="s">
        <v>894</v>
      </c>
      <c r="B460" s="1" t="s">
        <v>30</v>
      </c>
      <c r="C460" s="1" t="s">
        <v>21</v>
      </c>
      <c r="D460" s="1" t="s">
        <v>287</v>
      </c>
      <c r="E460" s="1" t="s">
        <v>788</v>
      </c>
      <c r="F460" s="1">
        <v>380.0</v>
      </c>
      <c r="G460" s="5">
        <v>0.4861111111111111</v>
      </c>
      <c r="H460" s="1">
        <v>10.0</v>
      </c>
      <c r="I460" s="5">
        <v>0.5555555555555556</v>
      </c>
      <c r="J460" s="1" t="str">
        <f t="array" ref="J460">XLOOKUP(B460,cat!B:B,cat!C:C)</f>
        <v>D</v>
      </c>
      <c r="K460" s="1">
        <f t="array" ref="K460">XLOOKUP(B460,cat!B:B,cat!D:D)</f>
        <v>173</v>
      </c>
      <c r="L460" s="7">
        <f t="shared" si="1"/>
        <v>0.06944444444</v>
      </c>
      <c r="M460" s="1" t="str">
        <f t="shared" si="2"/>
        <v/>
      </c>
      <c r="P460" s="9"/>
      <c r="Q460" s="9">
        <f t="shared" si="3"/>
        <v>0</v>
      </c>
      <c r="R460" s="1" t="str">
        <f t="shared" si="4"/>
        <v>DLH</v>
      </c>
      <c r="S460" s="1" t="str">
        <f>IF($D460="LEBL", IF(COUNTIF('Paises ECAC'!B:B, C460)&gt;0, "ECAC","NO ECAC"), "")</f>
        <v/>
      </c>
    </row>
    <row r="461" ht="14.25" customHeight="1">
      <c r="A461" s="1" t="s">
        <v>895</v>
      </c>
      <c r="B461" s="1" t="s">
        <v>45</v>
      </c>
      <c r="C461" s="1" t="s">
        <v>592</v>
      </c>
      <c r="D461" s="1" t="s">
        <v>21</v>
      </c>
      <c r="E461" s="1" t="s">
        <v>47</v>
      </c>
      <c r="F461" s="1">
        <v>340.0</v>
      </c>
      <c r="G461" s="5">
        <v>0.4409722222222222</v>
      </c>
      <c r="H461" s="1">
        <v>5.0</v>
      </c>
      <c r="I461" s="5">
        <v>0.4861111111111111</v>
      </c>
      <c r="J461" s="1" t="str">
        <f t="array" ref="J461">XLOOKUP(B461,cat!B:B,cat!C:C)</f>
        <v>E</v>
      </c>
      <c r="K461" s="1">
        <f t="array" ref="K461">XLOOKUP(B461,cat!B:B,cat!D:D)</f>
        <v>100</v>
      </c>
      <c r="L461" s="7">
        <f t="shared" si="1"/>
        <v>0.04513888889</v>
      </c>
      <c r="M461" s="7">
        <f t="shared" si="2"/>
        <v>0.02895833333</v>
      </c>
      <c r="P461" s="9"/>
      <c r="Q461" s="9">
        <f t="shared" si="3"/>
        <v>312.75</v>
      </c>
      <c r="R461" s="1" t="str">
        <f t="shared" si="4"/>
        <v>ANE</v>
      </c>
      <c r="S461" s="1" t="str">
        <f>IF($D461="LEBL", IF(COUNTIF('Paises ECAC'!B:B, C461)&gt;0, "ECAC","NO ECAC"), "")</f>
        <v>NO ECAC</v>
      </c>
    </row>
    <row r="462" ht="14.25" customHeight="1">
      <c r="A462" s="1" t="s">
        <v>896</v>
      </c>
      <c r="B462" s="1" t="s">
        <v>19</v>
      </c>
      <c r="C462" s="1" t="s">
        <v>21</v>
      </c>
      <c r="D462" s="1" t="s">
        <v>68</v>
      </c>
      <c r="E462" s="1" t="s">
        <v>770</v>
      </c>
      <c r="F462" s="1">
        <v>391.0</v>
      </c>
      <c r="G462" s="5">
        <v>0.4826388888888889</v>
      </c>
      <c r="H462" s="1">
        <v>10.0</v>
      </c>
      <c r="I462" s="5">
        <v>0.59375</v>
      </c>
      <c r="J462" s="1" t="str">
        <f t="array" ref="J462">XLOOKUP(B462,cat!B:B,cat!C:C)</f>
        <v>D</v>
      </c>
      <c r="K462" s="1">
        <f t="array" ref="K462">XLOOKUP(B462,cat!B:B,cat!D:D)</f>
        <v>184</v>
      </c>
      <c r="L462" s="7">
        <f t="shared" si="1"/>
        <v>0.1111111111</v>
      </c>
      <c r="M462" s="1" t="str">
        <f t="shared" si="2"/>
        <v/>
      </c>
      <c r="P462" s="9"/>
      <c r="Q462" s="9">
        <f t="shared" si="3"/>
        <v>0</v>
      </c>
      <c r="R462" s="1" t="str">
        <f t="shared" si="4"/>
        <v>LOT</v>
      </c>
      <c r="S462" s="1" t="str">
        <f>IF($D462="LEBL", IF(COUNTIF('Paises ECAC'!B:B, C462)&gt;0, "ECAC","NO ECAC"), "")</f>
        <v/>
      </c>
    </row>
    <row r="463" ht="14.25" customHeight="1">
      <c r="A463" s="1" t="s">
        <v>897</v>
      </c>
      <c r="B463" s="1" t="s">
        <v>19</v>
      </c>
      <c r="C463" s="1" t="s">
        <v>21</v>
      </c>
      <c r="D463" s="1" t="s">
        <v>271</v>
      </c>
      <c r="E463" s="1" t="s">
        <v>797</v>
      </c>
      <c r="F463" s="1">
        <v>360.0</v>
      </c>
      <c r="G463" s="5">
        <v>0.4895833333333333</v>
      </c>
      <c r="H463" s="1">
        <v>20.0</v>
      </c>
      <c r="I463" s="5">
        <v>0.5625</v>
      </c>
      <c r="J463" s="1" t="str">
        <f t="array" ref="J463">XLOOKUP(B463,cat!B:B,cat!C:C)</f>
        <v>D</v>
      </c>
      <c r="K463" s="1">
        <f t="array" ref="K463">XLOOKUP(B463,cat!B:B,cat!D:D)</f>
        <v>184</v>
      </c>
      <c r="L463" s="7">
        <f t="shared" si="1"/>
        <v>0.07291666667</v>
      </c>
      <c r="M463" s="1" t="str">
        <f t="shared" si="2"/>
        <v/>
      </c>
      <c r="P463" s="9"/>
      <c r="Q463" s="9">
        <f t="shared" si="3"/>
        <v>0</v>
      </c>
      <c r="R463" s="1" t="str">
        <f t="shared" si="4"/>
        <v>RYR</v>
      </c>
      <c r="S463" s="1" t="str">
        <f>IF($D463="LEBL", IF(COUNTIF('Paises ECAC'!B:B, C463)&gt;0, "ECAC","NO ECAC"), "")</f>
        <v/>
      </c>
    </row>
    <row r="464" ht="14.25" customHeight="1">
      <c r="A464" s="1" t="s">
        <v>898</v>
      </c>
      <c r="B464" s="1" t="s">
        <v>182</v>
      </c>
      <c r="C464" s="1" t="s">
        <v>21</v>
      </c>
      <c r="D464" s="1" t="s">
        <v>498</v>
      </c>
      <c r="E464" s="1" t="s">
        <v>499</v>
      </c>
      <c r="F464" s="1">
        <v>380.0</v>
      </c>
      <c r="G464" s="5">
        <v>0.49027777777777776</v>
      </c>
      <c r="H464" s="1">
        <v>26.0</v>
      </c>
      <c r="I464" s="5">
        <v>0.8993055555555556</v>
      </c>
      <c r="J464" s="1" t="str">
        <f t="array" ref="J464">XLOOKUP(B464,cat!B:B,cat!C:C)</f>
        <v>B</v>
      </c>
      <c r="K464" s="1">
        <f t="array" ref="K464">XLOOKUP(B464,cat!B:B,cat!D:D)</f>
        <v>284</v>
      </c>
      <c r="L464" s="7">
        <f t="shared" si="1"/>
        <v>0.4090277778</v>
      </c>
      <c r="M464" s="1" t="str">
        <f t="shared" si="2"/>
        <v/>
      </c>
      <c r="P464" s="9"/>
      <c r="Q464" s="9">
        <f t="shared" si="3"/>
        <v>0</v>
      </c>
      <c r="R464" s="1" t="str">
        <f t="shared" si="4"/>
        <v>TAM</v>
      </c>
      <c r="S464" s="1" t="str">
        <f>IF($D464="LEBL", IF(COUNTIF('Paises ECAC'!B:B, C464)&gt;0, "ECAC","NO ECAC"), "")</f>
        <v/>
      </c>
    </row>
    <row r="465" ht="14.25" customHeight="1">
      <c r="A465" s="1" t="s">
        <v>899</v>
      </c>
      <c r="B465" s="1" t="s">
        <v>30</v>
      </c>
      <c r="C465" s="1" t="s">
        <v>21</v>
      </c>
      <c r="D465" s="1" t="s">
        <v>245</v>
      </c>
      <c r="E465" s="1" t="s">
        <v>265</v>
      </c>
      <c r="F465" s="1">
        <v>190.0</v>
      </c>
      <c r="G465" s="5">
        <v>0.49027777777777776</v>
      </c>
      <c r="H465" s="1">
        <v>11.0</v>
      </c>
      <c r="I465" s="5">
        <v>0.5138888888888888</v>
      </c>
      <c r="J465" s="1" t="str">
        <f t="array" ref="J465">XLOOKUP(B465,cat!B:B,cat!C:C)</f>
        <v>D</v>
      </c>
      <c r="K465" s="1">
        <f t="array" ref="K465">XLOOKUP(B465,cat!B:B,cat!D:D)</f>
        <v>173</v>
      </c>
      <c r="L465" s="7">
        <f t="shared" si="1"/>
        <v>0.02361111111</v>
      </c>
      <c r="M465" s="1" t="str">
        <f t="shared" si="2"/>
        <v/>
      </c>
      <c r="P465" s="9"/>
      <c r="Q465" s="9">
        <f t="shared" si="3"/>
        <v>0</v>
      </c>
      <c r="R465" s="1" t="str">
        <f t="shared" si="4"/>
        <v>VLG</v>
      </c>
      <c r="S465" s="1" t="str">
        <f>IF($D465="LEBL", IF(COUNTIF('Paises ECAC'!B:B, C465)&gt;0, "ECAC","NO ECAC"), "")</f>
        <v/>
      </c>
    </row>
    <row r="466" ht="14.25" customHeight="1">
      <c r="A466" s="1" t="s">
        <v>900</v>
      </c>
      <c r="B466" s="1" t="s">
        <v>901</v>
      </c>
      <c r="C466" s="1" t="s">
        <v>192</v>
      </c>
      <c r="D466" s="1" t="s">
        <v>21</v>
      </c>
      <c r="E466" s="1" t="s">
        <v>902</v>
      </c>
      <c r="F466" s="1">
        <v>340.0</v>
      </c>
      <c r="G466" s="5">
        <v>0.4375</v>
      </c>
      <c r="H466" s="1">
        <v>10.0</v>
      </c>
      <c r="I466" s="5">
        <v>0.4895833333333333</v>
      </c>
      <c r="J466" s="1" t="str">
        <f t="array" ref="J466">XLOOKUP(B466,cat!B:B,cat!C:C)</f>
        <v>F</v>
      </c>
      <c r="K466" s="1">
        <f t="array" ref="K466">XLOOKUP(B466,cat!B:B,cat!D:D)</f>
        <v>8</v>
      </c>
      <c r="L466" s="7">
        <f t="shared" si="1"/>
        <v>0.05208333333</v>
      </c>
      <c r="M466" s="7">
        <f t="shared" si="2"/>
        <v>0.03243055556</v>
      </c>
      <c r="P466" s="9"/>
      <c r="Q466" s="9">
        <f t="shared" si="3"/>
        <v>140.1</v>
      </c>
      <c r="R466" s="1" t="str">
        <f t="shared" si="4"/>
        <v>NJE</v>
      </c>
      <c r="S466" s="1" t="str">
        <f>IF($D466="LEBL", IF(COUNTIF('Paises ECAC'!B:B, C466)&gt;0, "ECAC","NO ECAC"), "")</f>
        <v>ECAC</v>
      </c>
    </row>
    <row r="467" ht="14.25" customHeight="1">
      <c r="A467" s="1" t="s">
        <v>903</v>
      </c>
      <c r="B467" s="1" t="s">
        <v>477</v>
      </c>
      <c r="C467" s="1" t="s">
        <v>667</v>
      </c>
      <c r="D467" s="1" t="s">
        <v>21</v>
      </c>
      <c r="E467" s="1" t="s">
        <v>904</v>
      </c>
      <c r="F467" s="1">
        <v>410.0</v>
      </c>
      <c r="G467" s="5">
        <v>0.12430555555555556</v>
      </c>
      <c r="H467" s="1">
        <v>24.0</v>
      </c>
      <c r="I467" s="5">
        <v>0.4895833333333333</v>
      </c>
      <c r="J467" s="1" t="str">
        <f t="array" ref="J467">XLOOKUP(B467,cat!B:B,cat!C:C)</f>
        <v>B</v>
      </c>
      <c r="K467" s="1">
        <f t="array" ref="K467">XLOOKUP(B467,cat!B:B,cat!D:D)</f>
        <v>266</v>
      </c>
      <c r="L467" s="7">
        <f t="shared" si="1"/>
        <v>0.3652777778</v>
      </c>
      <c r="M467" s="7">
        <f t="shared" si="2"/>
        <v>0.3359027778</v>
      </c>
      <c r="P467" s="9"/>
      <c r="Q467" s="9">
        <f t="shared" si="3"/>
        <v>7255.5</v>
      </c>
      <c r="R467" s="1" t="str">
        <f t="shared" si="4"/>
        <v>UAL</v>
      </c>
      <c r="S467" s="1" t="str">
        <f>IF($D467="LEBL", IF(COUNTIF('Paises ECAC'!B:B, C467)&gt;0, "ECAC","NO ECAC"), "")</f>
        <v>NO ECAC</v>
      </c>
    </row>
    <row r="468" ht="14.25" customHeight="1">
      <c r="A468" s="1" t="s">
        <v>905</v>
      </c>
      <c r="B468" s="1" t="s">
        <v>906</v>
      </c>
      <c r="C468" s="1" t="s">
        <v>411</v>
      </c>
      <c r="D468" s="1" t="s">
        <v>21</v>
      </c>
      <c r="E468" s="1" t="s">
        <v>907</v>
      </c>
      <c r="F468" s="1">
        <v>400.0</v>
      </c>
      <c r="G468" s="5">
        <v>0.1840277777777778</v>
      </c>
      <c r="H468" s="1">
        <v>10.0</v>
      </c>
      <c r="I468" s="5">
        <v>0.4895833333333333</v>
      </c>
      <c r="J468" s="1" t="str">
        <f t="array" ref="J468">XLOOKUP(B468,cat!B:B,cat!C:C)</f>
        <v>A</v>
      </c>
      <c r="K468" s="1">
        <f t="array" ref="K468">XLOOKUP(B468,cat!B:B,cat!D:D)</f>
        <v>492</v>
      </c>
      <c r="L468" s="7">
        <f t="shared" si="1"/>
        <v>0.3055555556</v>
      </c>
      <c r="M468" s="7">
        <f t="shared" si="2"/>
        <v>0.2859027778</v>
      </c>
      <c r="P468" s="9"/>
      <c r="Q468" s="9">
        <f t="shared" si="3"/>
        <v>6244.116667</v>
      </c>
      <c r="R468" s="1" t="str">
        <f t="shared" si="4"/>
        <v>UAE</v>
      </c>
      <c r="S468" s="1" t="str">
        <f>IF($D468="LEBL", IF(COUNTIF('Paises ECAC'!B:B, C468)&gt;0, "ECAC","NO ECAC"), "")</f>
        <v>NO ECAC</v>
      </c>
    </row>
    <row r="469" ht="14.25" customHeight="1">
      <c r="A469" s="1" t="s">
        <v>908</v>
      </c>
      <c r="B469" s="1" t="s">
        <v>35</v>
      </c>
      <c r="C469" s="1" t="s">
        <v>21</v>
      </c>
      <c r="D469" s="1" t="s">
        <v>116</v>
      </c>
      <c r="E469" s="1" t="s">
        <v>658</v>
      </c>
      <c r="F469" s="1">
        <v>320.0</v>
      </c>
      <c r="G469" s="5">
        <v>0.4861111111111111</v>
      </c>
      <c r="H469" s="1">
        <v>10.0</v>
      </c>
      <c r="I469" s="5">
        <v>0.5486111111111112</v>
      </c>
      <c r="J469" s="1" t="str">
        <f t="array" ref="J469">XLOOKUP(B469,cat!B:B,cat!C:C)</f>
        <v>D</v>
      </c>
      <c r="K469" s="1">
        <f t="array" ref="K469">XLOOKUP(B469,cat!B:B,cat!D:D)</f>
        <v>207</v>
      </c>
      <c r="L469" s="7">
        <f t="shared" si="1"/>
        <v>0.0625</v>
      </c>
      <c r="M469" s="1" t="str">
        <f t="shared" si="2"/>
        <v/>
      </c>
      <c r="P469" s="9"/>
      <c r="Q469" s="9">
        <f t="shared" si="3"/>
        <v>0</v>
      </c>
      <c r="R469" s="1" t="str">
        <f t="shared" si="4"/>
        <v>AFR</v>
      </c>
      <c r="S469" s="1" t="str">
        <f>IF($D469="LEBL", IF(COUNTIF('Paises ECAC'!B:B, C469)&gt;0, "ECAC","NO ECAC"), "")</f>
        <v/>
      </c>
    </row>
    <row r="470" ht="14.25" customHeight="1">
      <c r="A470" s="1" t="s">
        <v>909</v>
      </c>
      <c r="B470" s="1" t="s">
        <v>477</v>
      </c>
      <c r="C470" s="1" t="s">
        <v>21</v>
      </c>
      <c r="D470" s="1" t="s">
        <v>530</v>
      </c>
      <c r="E470" s="1" t="s">
        <v>668</v>
      </c>
      <c r="F470" s="1">
        <v>400.0</v>
      </c>
      <c r="G470" s="5">
        <v>0.4888888888888889</v>
      </c>
      <c r="H470" s="1">
        <v>14.0</v>
      </c>
      <c r="I470" s="5">
        <v>0.8576388888888888</v>
      </c>
      <c r="J470" s="1" t="str">
        <f t="array" ref="J470">XLOOKUP(B470,cat!B:B,cat!C:C)</f>
        <v>B</v>
      </c>
      <c r="K470" s="1">
        <f t="array" ref="K470">XLOOKUP(B470,cat!B:B,cat!D:D)</f>
        <v>266</v>
      </c>
      <c r="L470" s="7">
        <f t="shared" si="1"/>
        <v>0.36875</v>
      </c>
      <c r="M470" s="1" t="str">
        <f t="shared" si="2"/>
        <v/>
      </c>
      <c r="P470" s="9"/>
      <c r="Q470" s="9">
        <f t="shared" si="3"/>
        <v>0</v>
      </c>
      <c r="R470" s="1" t="str">
        <f t="shared" si="4"/>
        <v>AAL</v>
      </c>
      <c r="S470" s="1" t="str">
        <f>IF($D470="LEBL", IF(COUNTIF('Paises ECAC'!B:B, C470)&gt;0, "ECAC","NO ECAC"), "")</f>
        <v/>
      </c>
    </row>
    <row r="471" ht="14.25" customHeight="1">
      <c r="A471" s="1" t="s">
        <v>910</v>
      </c>
      <c r="B471" s="1" t="s">
        <v>30</v>
      </c>
      <c r="C471" s="1" t="s">
        <v>221</v>
      </c>
      <c r="D471" s="1" t="s">
        <v>21</v>
      </c>
      <c r="E471" s="1" t="s">
        <v>243</v>
      </c>
      <c r="F471" s="1">
        <v>370.0</v>
      </c>
      <c r="G471" s="5">
        <v>0.4284722222222222</v>
      </c>
      <c r="H471" s="1">
        <v>18.0</v>
      </c>
      <c r="I471" s="5">
        <v>0.4930555555555556</v>
      </c>
      <c r="J471" s="1" t="str">
        <f t="array" ref="J471">XLOOKUP(B471,cat!B:B,cat!C:C)</f>
        <v>D</v>
      </c>
      <c r="K471" s="1">
        <f t="array" ref="K471">XLOOKUP(B471,cat!B:B,cat!D:D)</f>
        <v>173</v>
      </c>
      <c r="L471" s="7">
        <f t="shared" si="1"/>
        <v>0.06458333333</v>
      </c>
      <c r="M471" s="7">
        <f t="shared" si="2"/>
        <v>0.039375</v>
      </c>
      <c r="P471" s="9"/>
      <c r="Q471" s="9">
        <f t="shared" si="3"/>
        <v>784.35</v>
      </c>
      <c r="R471" s="1" t="str">
        <f t="shared" si="4"/>
        <v>VLG</v>
      </c>
      <c r="S471" s="1" t="str">
        <f>IF($D471="LEBL", IF(COUNTIF('Paises ECAC'!B:B, C471)&gt;0, "ECAC","NO ECAC"), "")</f>
        <v>ECAC</v>
      </c>
    </row>
    <row r="472" ht="14.25" customHeight="1">
      <c r="A472" s="1" t="s">
        <v>911</v>
      </c>
      <c r="B472" s="1" t="s">
        <v>25</v>
      </c>
      <c r="C472" s="1" t="s">
        <v>714</v>
      </c>
      <c r="D472" s="1" t="s">
        <v>21</v>
      </c>
      <c r="E472" s="1" t="s">
        <v>362</v>
      </c>
      <c r="F472" s="1">
        <v>330.0</v>
      </c>
      <c r="G472" s="5">
        <v>0.4673611111111111</v>
      </c>
      <c r="H472" s="1">
        <v>11.0</v>
      </c>
      <c r="I472" s="5">
        <v>0.4930555555555556</v>
      </c>
      <c r="J472" s="1" t="str">
        <f t="array" ref="J472">XLOOKUP(B472,cat!B:B,cat!C:C)</f>
        <v>D</v>
      </c>
      <c r="K472" s="1">
        <f t="array" ref="K472">XLOOKUP(B472,cat!B:B,cat!D:D)</f>
        <v>180</v>
      </c>
      <c r="L472" s="7">
        <f t="shared" si="1"/>
        <v>0.02569444444</v>
      </c>
      <c r="M472" s="7">
        <f t="shared" si="2"/>
        <v>0.005347222222</v>
      </c>
      <c r="P472" s="9"/>
      <c r="Q472" s="9">
        <f t="shared" si="3"/>
        <v>106.5166667</v>
      </c>
      <c r="R472" s="1" t="str">
        <f t="shared" si="4"/>
        <v>VLG</v>
      </c>
      <c r="S472" s="1" t="str">
        <f>IF($D472="LEBL", IF(COUNTIF('Paises ECAC'!B:B, C472)&gt;0, "ECAC","NO ECAC"), "")</f>
        <v>ECAC</v>
      </c>
    </row>
    <row r="473" ht="14.25" customHeight="1">
      <c r="A473" s="1" t="s">
        <v>912</v>
      </c>
      <c r="B473" s="1" t="s">
        <v>19</v>
      </c>
      <c r="C473" s="1" t="s">
        <v>166</v>
      </c>
      <c r="D473" s="1" t="s">
        <v>21</v>
      </c>
      <c r="E473" s="1" t="s">
        <v>167</v>
      </c>
      <c r="F473" s="1">
        <v>380.0</v>
      </c>
      <c r="G473" s="5">
        <v>0.37083333333333335</v>
      </c>
      <c r="H473" s="1">
        <v>4.0</v>
      </c>
      <c r="I473" s="5">
        <v>0.4965277777777778</v>
      </c>
      <c r="J473" s="1" t="str">
        <f t="array" ref="J473">XLOOKUP(B473,cat!B:B,cat!C:C)</f>
        <v>D</v>
      </c>
      <c r="K473" s="1">
        <f t="array" ref="K473">XLOOKUP(B473,cat!B:B,cat!D:D)</f>
        <v>184</v>
      </c>
      <c r="L473" s="7">
        <f t="shared" si="1"/>
        <v>0.1256944444</v>
      </c>
      <c r="M473" s="7">
        <f t="shared" si="2"/>
        <v>0.1102083333</v>
      </c>
      <c r="P473" s="9"/>
      <c r="Q473" s="9">
        <f t="shared" si="3"/>
        <v>2195.35</v>
      </c>
      <c r="R473" s="1" t="str">
        <f t="shared" si="4"/>
        <v>RYR</v>
      </c>
      <c r="S473" s="1" t="str">
        <f>IF($D473="LEBL", IF(COUNTIF('Paises ECAC'!B:B, C473)&gt;0, "ECAC","NO ECAC"), "")</f>
        <v>ECAC</v>
      </c>
    </row>
    <row r="474" ht="14.25" customHeight="1">
      <c r="A474" s="1" t="s">
        <v>913</v>
      </c>
      <c r="B474" s="1" t="s">
        <v>212</v>
      </c>
      <c r="C474" s="1" t="s">
        <v>21</v>
      </c>
      <c r="D474" s="1" t="s">
        <v>143</v>
      </c>
      <c r="E474" s="1" t="s">
        <v>288</v>
      </c>
      <c r="F474" s="1">
        <v>190.0</v>
      </c>
      <c r="G474" s="5">
        <v>0.4965277777777778</v>
      </c>
      <c r="H474" s="1">
        <v>10.0</v>
      </c>
      <c r="I474" s="5">
        <v>0.5173611111111112</v>
      </c>
      <c r="J474" s="1" t="str">
        <f t="array" ref="J474">XLOOKUP(B474,cat!B:B,cat!C:C)</f>
        <v>D</v>
      </c>
      <c r="K474" s="1">
        <f t="array" ref="K474">XLOOKUP(B474,cat!B:B,cat!D:D)</f>
        <v>200</v>
      </c>
      <c r="L474" s="7">
        <f t="shared" si="1"/>
        <v>0.02083333333</v>
      </c>
      <c r="M474" s="1" t="str">
        <f t="shared" si="2"/>
        <v/>
      </c>
      <c r="P474" s="9"/>
      <c r="Q474" s="9">
        <f t="shared" si="3"/>
        <v>0</v>
      </c>
      <c r="R474" s="1" t="str">
        <f t="shared" si="4"/>
        <v>VLG</v>
      </c>
      <c r="S474" s="1" t="str">
        <f>IF($D474="LEBL", IF(COUNTIF('Paises ECAC'!B:B, C474)&gt;0, "ECAC","NO ECAC"), "")</f>
        <v/>
      </c>
    </row>
    <row r="475" ht="14.25" customHeight="1">
      <c r="A475" s="1" t="s">
        <v>914</v>
      </c>
      <c r="B475" s="1" t="s">
        <v>132</v>
      </c>
      <c r="C475" s="1" t="s">
        <v>915</v>
      </c>
      <c r="D475" s="1" t="s">
        <v>21</v>
      </c>
      <c r="E475" s="1" t="s">
        <v>916</v>
      </c>
      <c r="F475" s="1">
        <v>390.0</v>
      </c>
      <c r="G475" s="5">
        <v>0.04513888888888889</v>
      </c>
      <c r="H475" s="1">
        <v>25.0</v>
      </c>
      <c r="I475" s="5">
        <v>0.4965277777777778</v>
      </c>
      <c r="J475" s="1" t="str">
        <f t="array" ref="J475">XLOOKUP(B475,cat!B:B,cat!C:C)</f>
        <v>B</v>
      </c>
      <c r="K475" s="1">
        <f t="array" ref="K475">XLOOKUP(B475,cat!B:B,cat!D:D)</f>
        <v>296</v>
      </c>
      <c r="L475" s="7">
        <f t="shared" si="1"/>
        <v>0.4513888889</v>
      </c>
      <c r="M475" s="7">
        <f t="shared" si="2"/>
        <v>0.4213194444</v>
      </c>
      <c r="P475" s="9"/>
      <c r="Q475" s="9">
        <f t="shared" si="3"/>
        <v>9100.5</v>
      </c>
      <c r="R475" s="1" t="str">
        <f t="shared" si="4"/>
        <v>UAL</v>
      </c>
      <c r="S475" s="1" t="str">
        <f>IF($D475="LEBL", IF(COUNTIF('Paises ECAC'!B:B, C475)&gt;0, "ECAC","NO ECAC"), "")</f>
        <v>NO ECAC</v>
      </c>
    </row>
    <row r="476" ht="14.25" customHeight="1">
      <c r="A476" s="1" t="s">
        <v>917</v>
      </c>
      <c r="B476" s="1" t="s">
        <v>30</v>
      </c>
      <c r="C476" s="1" t="s">
        <v>21</v>
      </c>
      <c r="D476" s="1" t="s">
        <v>322</v>
      </c>
      <c r="E476" s="1" t="s">
        <v>222</v>
      </c>
      <c r="F476" s="1">
        <v>310.0</v>
      </c>
      <c r="G476" s="5">
        <v>0.4951388888888889</v>
      </c>
      <c r="H476" s="1">
        <v>12.0</v>
      </c>
      <c r="I476" s="5">
        <v>0.5451388888888888</v>
      </c>
      <c r="J476" s="1" t="str">
        <f t="array" ref="J476">XLOOKUP(B476,cat!B:B,cat!C:C)</f>
        <v>D</v>
      </c>
      <c r="K476" s="1">
        <f t="array" ref="K476">XLOOKUP(B476,cat!B:B,cat!D:D)</f>
        <v>173</v>
      </c>
      <c r="L476" s="7">
        <f t="shared" si="1"/>
        <v>0.05</v>
      </c>
      <c r="M476" s="1" t="str">
        <f t="shared" si="2"/>
        <v/>
      </c>
      <c r="P476" s="9"/>
      <c r="Q476" s="9">
        <f t="shared" si="3"/>
        <v>0</v>
      </c>
      <c r="R476" s="1" t="str">
        <f t="shared" si="4"/>
        <v>VLG</v>
      </c>
      <c r="S476" s="1" t="str">
        <f>IF($D476="LEBL", IF(COUNTIF('Paises ECAC'!B:B, C476)&gt;0, "ECAC","NO ECAC"), "")</f>
        <v/>
      </c>
    </row>
    <row r="477" ht="14.25" customHeight="1">
      <c r="A477" s="1" t="s">
        <v>918</v>
      </c>
      <c r="B477" s="1" t="s">
        <v>30</v>
      </c>
      <c r="C477" s="1" t="s">
        <v>355</v>
      </c>
      <c r="D477" s="1" t="s">
        <v>21</v>
      </c>
      <c r="E477" s="1" t="s">
        <v>356</v>
      </c>
      <c r="F477" s="1">
        <v>380.0</v>
      </c>
      <c r="G477" s="5">
        <v>0.4166666666666667</v>
      </c>
      <c r="H477" s="1">
        <v>15.0</v>
      </c>
      <c r="I477" s="5">
        <v>0.4965277777777778</v>
      </c>
      <c r="J477" s="1" t="str">
        <f t="array" ref="J477">XLOOKUP(B477,cat!B:B,cat!C:C)</f>
        <v>D</v>
      </c>
      <c r="K477" s="1">
        <f t="array" ref="K477">XLOOKUP(B477,cat!B:B,cat!D:D)</f>
        <v>173</v>
      </c>
      <c r="L477" s="7">
        <f t="shared" si="1"/>
        <v>0.07986111111</v>
      </c>
      <c r="M477" s="7">
        <f t="shared" si="2"/>
        <v>0.05673611111</v>
      </c>
      <c r="P477" s="9"/>
      <c r="Q477" s="9">
        <f t="shared" si="3"/>
        <v>1130.183333</v>
      </c>
      <c r="R477" s="1" t="str">
        <f t="shared" si="4"/>
        <v>VLG</v>
      </c>
      <c r="S477" s="1" t="str">
        <f>IF($D477="LEBL", IF(COUNTIF('Paises ECAC'!B:B, C477)&gt;0, "ECAC","NO ECAC"), "")</f>
        <v>NO ECAC</v>
      </c>
    </row>
    <row r="478" ht="14.25" customHeight="1">
      <c r="A478" s="1" t="s">
        <v>919</v>
      </c>
      <c r="B478" s="1" t="s">
        <v>19</v>
      </c>
      <c r="C478" s="1" t="s">
        <v>20</v>
      </c>
      <c r="D478" s="1" t="s">
        <v>21</v>
      </c>
      <c r="E478" s="1" t="s">
        <v>920</v>
      </c>
      <c r="F478" s="1">
        <v>320.0</v>
      </c>
      <c r="G478" s="5">
        <v>0.4340277777777778</v>
      </c>
      <c r="H478" s="1">
        <v>15.0</v>
      </c>
      <c r="I478" s="5">
        <v>0.5</v>
      </c>
      <c r="J478" s="1" t="str">
        <f t="array" ref="J478">XLOOKUP(B478,cat!B:B,cat!C:C)</f>
        <v>D</v>
      </c>
      <c r="K478" s="1">
        <f t="array" ref="K478">XLOOKUP(B478,cat!B:B,cat!D:D)</f>
        <v>184</v>
      </c>
      <c r="L478" s="7">
        <f t="shared" si="1"/>
        <v>0.06597222222</v>
      </c>
      <c r="M478" s="7">
        <f t="shared" si="2"/>
        <v>0.04284722222</v>
      </c>
      <c r="P478" s="9"/>
      <c r="Q478" s="9">
        <f t="shared" si="3"/>
        <v>853.5166667</v>
      </c>
      <c r="R478" s="1" t="str">
        <f t="shared" si="4"/>
        <v>RYR</v>
      </c>
      <c r="S478" s="1" t="str">
        <f>IF($D478="LEBL", IF(COUNTIF('Paises ECAC'!B:B, C478)&gt;0, "ECAC","NO ECAC"), "")</f>
        <v>ECAC</v>
      </c>
    </row>
    <row r="479" ht="14.25" customHeight="1">
      <c r="A479" s="1" t="s">
        <v>921</v>
      </c>
      <c r="B479" s="1" t="s">
        <v>35</v>
      </c>
      <c r="C479" s="1" t="s">
        <v>21</v>
      </c>
      <c r="D479" s="1" t="s">
        <v>234</v>
      </c>
      <c r="E479" s="1" t="s">
        <v>817</v>
      </c>
      <c r="F479" s="1">
        <v>290.0</v>
      </c>
      <c r="G479" s="5">
        <v>0.4909722222222222</v>
      </c>
      <c r="H479" s="1">
        <v>12.0</v>
      </c>
      <c r="I479" s="5">
        <v>0.5347222222222222</v>
      </c>
      <c r="J479" s="1" t="str">
        <f t="array" ref="J479">XLOOKUP(B479,cat!B:B,cat!C:C)</f>
        <v>D</v>
      </c>
      <c r="K479" s="1">
        <f t="array" ref="K479">XLOOKUP(B479,cat!B:B,cat!D:D)</f>
        <v>207</v>
      </c>
      <c r="L479" s="7">
        <f t="shared" si="1"/>
        <v>0.04375</v>
      </c>
      <c r="M479" s="1" t="str">
        <f t="shared" si="2"/>
        <v/>
      </c>
      <c r="P479" s="9"/>
      <c r="Q479" s="9">
        <f t="shared" si="3"/>
        <v>0</v>
      </c>
      <c r="R479" s="1" t="str">
        <f t="shared" si="4"/>
        <v>IBE</v>
      </c>
      <c r="S479" s="1" t="str">
        <f>IF($D479="LEBL", IF(COUNTIF('Paises ECAC'!B:B, C479)&gt;0, "ECAC","NO ECAC"), "")</f>
        <v/>
      </c>
    </row>
    <row r="480" ht="14.25" customHeight="1">
      <c r="A480" s="1" t="s">
        <v>922</v>
      </c>
      <c r="B480" s="1" t="s">
        <v>30</v>
      </c>
      <c r="C480" s="1" t="s">
        <v>574</v>
      </c>
      <c r="D480" s="1" t="s">
        <v>21</v>
      </c>
      <c r="E480" s="1" t="s">
        <v>459</v>
      </c>
      <c r="F480" s="1">
        <v>380.0</v>
      </c>
      <c r="G480" s="5">
        <v>0.44305555555555554</v>
      </c>
      <c r="H480" s="1">
        <v>10.0</v>
      </c>
      <c r="I480" s="5">
        <v>0.5</v>
      </c>
      <c r="J480" s="1" t="str">
        <f t="array" ref="J480">XLOOKUP(B480,cat!B:B,cat!C:C)</f>
        <v>D</v>
      </c>
      <c r="K480" s="1">
        <f t="array" ref="K480">XLOOKUP(B480,cat!B:B,cat!D:D)</f>
        <v>173</v>
      </c>
      <c r="L480" s="7">
        <f t="shared" si="1"/>
        <v>0.05694444444</v>
      </c>
      <c r="M480" s="7">
        <f t="shared" si="2"/>
        <v>0.03729166667</v>
      </c>
      <c r="P480" s="9"/>
      <c r="Q480" s="9">
        <f t="shared" si="3"/>
        <v>742.85</v>
      </c>
      <c r="R480" s="1" t="str">
        <f t="shared" si="4"/>
        <v>MAC</v>
      </c>
      <c r="S480" s="1" t="str">
        <f>IF($D480="LEBL", IF(COUNTIF('Paises ECAC'!B:B, C480)&gt;0, "ECAC","NO ECAC"), "")</f>
        <v>NO ECAC</v>
      </c>
    </row>
    <row r="481" ht="14.25" customHeight="1">
      <c r="A481" s="1" t="s">
        <v>923</v>
      </c>
      <c r="B481" s="1" t="s">
        <v>30</v>
      </c>
      <c r="C481" s="1" t="s">
        <v>199</v>
      </c>
      <c r="D481" s="1" t="s">
        <v>21</v>
      </c>
      <c r="E481" s="1" t="s">
        <v>924</v>
      </c>
      <c r="F481" s="1">
        <v>370.0</v>
      </c>
      <c r="G481" s="5">
        <v>0.43819444444444444</v>
      </c>
      <c r="H481" s="1">
        <v>10.0</v>
      </c>
      <c r="I481" s="5">
        <v>0.5</v>
      </c>
      <c r="J481" s="1" t="str">
        <f t="array" ref="J481">XLOOKUP(B481,cat!B:B,cat!C:C)</f>
        <v>D</v>
      </c>
      <c r="K481" s="1">
        <f t="array" ref="K481">XLOOKUP(B481,cat!B:B,cat!D:D)</f>
        <v>173</v>
      </c>
      <c r="L481" s="7">
        <f t="shared" si="1"/>
        <v>0.06180555556</v>
      </c>
      <c r="M481" s="7">
        <f t="shared" si="2"/>
        <v>0.04215277778</v>
      </c>
      <c r="P481" s="9"/>
      <c r="Q481" s="9">
        <f t="shared" si="3"/>
        <v>839.6833333</v>
      </c>
      <c r="R481" s="1" t="str">
        <f t="shared" si="4"/>
        <v>BEL</v>
      </c>
      <c r="S481" s="1" t="str">
        <f>IF($D481="LEBL", IF(COUNTIF('Paises ECAC'!B:B, C481)&gt;0, "ECAC","NO ECAC"), "")</f>
        <v>ECAC</v>
      </c>
    </row>
    <row r="482" ht="14.25" customHeight="1">
      <c r="A482" s="1" t="s">
        <v>925</v>
      </c>
      <c r="B482" s="1" t="s">
        <v>35</v>
      </c>
      <c r="C482" s="1" t="s">
        <v>36</v>
      </c>
      <c r="D482" s="1" t="s">
        <v>21</v>
      </c>
      <c r="E482" s="1" t="s">
        <v>269</v>
      </c>
      <c r="F482" s="1">
        <v>360.0</v>
      </c>
      <c r="G482" s="5">
        <v>0.4013888888888889</v>
      </c>
      <c r="H482" s="1">
        <v>10.0</v>
      </c>
      <c r="I482" s="5">
        <v>0.5</v>
      </c>
      <c r="J482" s="1" t="str">
        <f t="array" ref="J482">XLOOKUP(B482,cat!B:B,cat!C:C)</f>
        <v>D</v>
      </c>
      <c r="K482" s="1">
        <f t="array" ref="K482">XLOOKUP(B482,cat!B:B,cat!D:D)</f>
        <v>207</v>
      </c>
      <c r="L482" s="7">
        <f t="shared" si="1"/>
        <v>0.09861111111</v>
      </c>
      <c r="M482" s="7">
        <f t="shared" si="2"/>
        <v>0.07895833333</v>
      </c>
      <c r="P482" s="9"/>
      <c r="Q482" s="9">
        <f t="shared" si="3"/>
        <v>1572.85</v>
      </c>
      <c r="R482" s="1" t="str">
        <f t="shared" si="4"/>
        <v>VLG</v>
      </c>
      <c r="S482" s="1" t="str">
        <f>IF($D482="LEBL", IF(COUNTIF('Paises ECAC'!B:B, C482)&gt;0, "ECAC","NO ECAC"), "")</f>
        <v>ECAC</v>
      </c>
    </row>
    <row r="483" ht="14.25" customHeight="1">
      <c r="A483" s="1" t="s">
        <v>926</v>
      </c>
      <c r="B483" s="1" t="s">
        <v>35</v>
      </c>
      <c r="C483" s="1" t="s">
        <v>74</v>
      </c>
      <c r="D483" s="1" t="s">
        <v>21</v>
      </c>
      <c r="E483" s="1" t="s">
        <v>188</v>
      </c>
      <c r="F483" s="1">
        <v>330.0</v>
      </c>
      <c r="G483" s="5">
        <v>0.44722222222222224</v>
      </c>
      <c r="H483" s="1">
        <v>8.0</v>
      </c>
      <c r="I483" s="5">
        <v>0.5034722222222222</v>
      </c>
      <c r="J483" s="1" t="str">
        <f t="array" ref="J483">XLOOKUP(B483,cat!B:B,cat!C:C)</f>
        <v>D</v>
      </c>
      <c r="K483" s="1">
        <f t="array" ref="K483">XLOOKUP(B483,cat!B:B,cat!D:D)</f>
        <v>207</v>
      </c>
      <c r="L483" s="7">
        <f t="shared" si="1"/>
        <v>0.05625</v>
      </c>
      <c r="M483" s="7">
        <f t="shared" si="2"/>
        <v>0.03798611111</v>
      </c>
      <c r="P483" s="9"/>
      <c r="Q483" s="9">
        <f t="shared" si="3"/>
        <v>756.6833333</v>
      </c>
      <c r="R483" s="1" t="str">
        <f t="shared" si="4"/>
        <v>VLG</v>
      </c>
      <c r="S483" s="1" t="str">
        <f>IF($D483="LEBL", IF(COUNTIF('Paises ECAC'!B:B, C483)&gt;0, "ECAC","NO ECAC"), "")</f>
        <v>ECAC</v>
      </c>
    </row>
    <row r="484" ht="14.25" customHeight="1">
      <c r="A484" s="1" t="s">
        <v>927</v>
      </c>
      <c r="B484" s="1" t="s">
        <v>19</v>
      </c>
      <c r="C484" s="1" t="s">
        <v>20</v>
      </c>
      <c r="D484" s="1" t="s">
        <v>21</v>
      </c>
      <c r="E484" s="1" t="s">
        <v>928</v>
      </c>
      <c r="F484" s="1">
        <v>320.0</v>
      </c>
      <c r="G484" s="5">
        <v>0.4375</v>
      </c>
      <c r="H484" s="1">
        <v>15.0</v>
      </c>
      <c r="I484" s="5">
        <v>0.5034722222222222</v>
      </c>
      <c r="J484" s="1" t="str">
        <f t="array" ref="J484">XLOOKUP(B484,cat!B:B,cat!C:C)</f>
        <v>D</v>
      </c>
      <c r="K484" s="1">
        <f t="array" ref="K484">XLOOKUP(B484,cat!B:B,cat!D:D)</f>
        <v>184</v>
      </c>
      <c r="L484" s="7">
        <f t="shared" si="1"/>
        <v>0.06597222222</v>
      </c>
      <c r="M484" s="7">
        <f t="shared" si="2"/>
        <v>0.04284722222</v>
      </c>
      <c r="P484" s="9"/>
      <c r="Q484" s="9">
        <f t="shared" si="3"/>
        <v>853.5166667</v>
      </c>
      <c r="R484" s="1" t="str">
        <f t="shared" si="4"/>
        <v>RYR</v>
      </c>
      <c r="S484" s="1" t="str">
        <f>IF($D484="LEBL", IF(COUNTIF('Paises ECAC'!B:B, C484)&gt;0, "ECAC","NO ECAC"), "")</f>
        <v>ECAC</v>
      </c>
    </row>
    <row r="485" ht="14.25" customHeight="1">
      <c r="A485" s="1" t="s">
        <v>929</v>
      </c>
      <c r="B485" s="1" t="s">
        <v>19</v>
      </c>
      <c r="C485" s="1" t="s">
        <v>21</v>
      </c>
      <c r="D485" s="1" t="s">
        <v>143</v>
      </c>
      <c r="E485" s="1" t="s">
        <v>149</v>
      </c>
      <c r="F485" s="1">
        <v>190.0</v>
      </c>
      <c r="G485" s="5">
        <v>0.5034722222222222</v>
      </c>
      <c r="H485" s="1">
        <v>20.0</v>
      </c>
      <c r="I485" s="5">
        <v>0.5243055555555556</v>
      </c>
      <c r="J485" s="1" t="str">
        <f t="array" ref="J485">XLOOKUP(B485,cat!B:B,cat!C:C)</f>
        <v>D</v>
      </c>
      <c r="K485" s="1">
        <f t="array" ref="K485">XLOOKUP(B485,cat!B:B,cat!D:D)</f>
        <v>184</v>
      </c>
      <c r="L485" s="7">
        <f t="shared" si="1"/>
        <v>0.02083333333</v>
      </c>
      <c r="M485" s="1" t="str">
        <f t="shared" si="2"/>
        <v/>
      </c>
      <c r="P485" s="9"/>
      <c r="Q485" s="9">
        <f t="shared" si="3"/>
        <v>0</v>
      </c>
      <c r="R485" s="1" t="str">
        <f t="shared" si="4"/>
        <v>RYR</v>
      </c>
      <c r="S485" s="1" t="str">
        <f>IF($D485="LEBL", IF(COUNTIF('Paises ECAC'!B:B, C485)&gt;0, "ECAC","NO ECAC"), "")</f>
        <v/>
      </c>
    </row>
    <row r="486" ht="14.25" customHeight="1">
      <c r="A486" s="1" t="s">
        <v>930</v>
      </c>
      <c r="B486" s="1" t="s">
        <v>136</v>
      </c>
      <c r="C486" s="1" t="s">
        <v>137</v>
      </c>
      <c r="D486" s="1" t="s">
        <v>21</v>
      </c>
      <c r="E486" s="1" t="s">
        <v>138</v>
      </c>
      <c r="F486" s="1">
        <v>290.0</v>
      </c>
      <c r="G486" s="5">
        <v>0.4618055555555556</v>
      </c>
      <c r="H486" s="1">
        <v>10.0</v>
      </c>
      <c r="I486" s="5">
        <v>0.5034722222222222</v>
      </c>
      <c r="J486" s="1" t="str">
        <f t="array" ref="J486">XLOOKUP(B486,cat!B:B,cat!C:C)</f>
        <v>D</v>
      </c>
      <c r="K486" s="1">
        <f t="array" ref="K486">XLOOKUP(B486,cat!B:B,cat!D:D)</f>
        <v>144</v>
      </c>
      <c r="L486" s="7">
        <f t="shared" si="1"/>
        <v>0.04166666667</v>
      </c>
      <c r="M486" s="7">
        <f t="shared" si="2"/>
        <v>0.02201388889</v>
      </c>
      <c r="P486" s="9"/>
      <c r="Q486" s="9">
        <f t="shared" si="3"/>
        <v>438.5166667</v>
      </c>
      <c r="R486" s="1" t="str">
        <f t="shared" si="4"/>
        <v>EJU</v>
      </c>
      <c r="S486" s="1" t="str">
        <f>IF($D486="LEBL", IF(COUNTIF('Paises ECAC'!B:B, C486)&gt;0, "ECAC","NO ECAC"), "")</f>
        <v>ECAC</v>
      </c>
    </row>
    <row r="487" ht="14.25" customHeight="1">
      <c r="A487" s="1" t="s">
        <v>931</v>
      </c>
      <c r="B487" s="1" t="s">
        <v>35</v>
      </c>
      <c r="C487" s="1" t="s">
        <v>234</v>
      </c>
      <c r="D487" s="1" t="s">
        <v>21</v>
      </c>
      <c r="E487" s="1" t="s">
        <v>520</v>
      </c>
      <c r="F487" s="1">
        <v>280.0</v>
      </c>
      <c r="G487" s="5">
        <v>0.46597222222222223</v>
      </c>
      <c r="H487" s="1">
        <v>16.0</v>
      </c>
      <c r="I487" s="5">
        <v>0.5069444444444444</v>
      </c>
      <c r="J487" s="1" t="str">
        <f t="array" ref="J487">XLOOKUP(B487,cat!B:B,cat!C:C)</f>
        <v>D</v>
      </c>
      <c r="K487" s="1">
        <f t="array" ref="K487">XLOOKUP(B487,cat!B:B,cat!D:D)</f>
        <v>207</v>
      </c>
      <c r="L487" s="7">
        <f t="shared" si="1"/>
        <v>0.04097222222</v>
      </c>
      <c r="M487" s="7">
        <f t="shared" si="2"/>
        <v>0.01715277778</v>
      </c>
      <c r="P487" s="9"/>
      <c r="Q487" s="9">
        <f t="shared" si="3"/>
        <v>341.6833333</v>
      </c>
      <c r="R487" s="1" t="str">
        <f t="shared" si="4"/>
        <v>IBE</v>
      </c>
      <c r="S487" s="1" t="str">
        <f>IF($D487="LEBL", IF(COUNTIF('Paises ECAC'!B:B, C487)&gt;0, "ECAC","NO ECAC"), "")</f>
        <v>ECAC</v>
      </c>
    </row>
    <row r="488" ht="14.25" customHeight="1">
      <c r="A488" s="1" t="s">
        <v>932</v>
      </c>
      <c r="B488" s="1" t="s">
        <v>19</v>
      </c>
      <c r="C488" s="1" t="s">
        <v>156</v>
      </c>
      <c r="D488" s="1" t="s">
        <v>21</v>
      </c>
      <c r="E488" s="1" t="s">
        <v>95</v>
      </c>
      <c r="F488" s="1">
        <v>180.0</v>
      </c>
      <c r="G488" s="5">
        <v>0.4840277777777778</v>
      </c>
      <c r="H488" s="1">
        <v>17.0</v>
      </c>
      <c r="I488" s="5">
        <v>0.5069444444444444</v>
      </c>
      <c r="J488" s="1" t="str">
        <f t="array" ref="J488">XLOOKUP(B488,cat!B:B,cat!C:C)</f>
        <v>D</v>
      </c>
      <c r="K488" s="1">
        <f t="array" ref="K488">XLOOKUP(B488,cat!B:B,cat!D:D)</f>
        <v>184</v>
      </c>
      <c r="L488" s="7">
        <f t="shared" si="1"/>
        <v>0.02291666667</v>
      </c>
      <c r="M488" s="7">
        <f t="shared" si="2"/>
        <v>0.01111111111</v>
      </c>
      <c r="P488" s="9"/>
      <c r="Q488" s="9">
        <f t="shared" si="3"/>
        <v>221.3333333</v>
      </c>
      <c r="R488" s="1" t="str">
        <f t="shared" si="4"/>
        <v>RYR</v>
      </c>
      <c r="S488" s="1" t="str">
        <f>IF($D488="LEBL", IF(COUNTIF('Paises ECAC'!B:B, C488)&gt;0, "ECAC","NO ECAC"), "")</f>
        <v>ECAC</v>
      </c>
    </row>
    <row r="489" ht="14.25" customHeight="1">
      <c r="A489" s="1" t="s">
        <v>933</v>
      </c>
      <c r="B489" s="1" t="s">
        <v>19</v>
      </c>
      <c r="C489" s="1" t="s">
        <v>282</v>
      </c>
      <c r="D489" s="1" t="s">
        <v>21</v>
      </c>
      <c r="E489" s="1" t="s">
        <v>101</v>
      </c>
      <c r="F489" s="1">
        <v>260.0</v>
      </c>
      <c r="G489" s="5">
        <v>0.4673611111111111</v>
      </c>
      <c r="H489" s="1">
        <v>13.0</v>
      </c>
      <c r="I489" s="5">
        <v>0.5069444444444444</v>
      </c>
      <c r="J489" s="1" t="str">
        <f t="array" ref="J489">XLOOKUP(B489,cat!B:B,cat!C:C)</f>
        <v>D</v>
      </c>
      <c r="K489" s="1">
        <f t="array" ref="K489">XLOOKUP(B489,cat!B:B,cat!D:D)</f>
        <v>184</v>
      </c>
      <c r="L489" s="7">
        <f t="shared" si="1"/>
        <v>0.03958333333</v>
      </c>
      <c r="M489" s="7">
        <f t="shared" si="2"/>
        <v>0.01784722222</v>
      </c>
      <c r="P489" s="9"/>
      <c r="Q489" s="9">
        <f t="shared" si="3"/>
        <v>355.5166667</v>
      </c>
      <c r="R489" s="1" t="str">
        <f t="shared" si="4"/>
        <v>RYR</v>
      </c>
      <c r="S489" s="1" t="str">
        <f>IF($D489="LEBL", IF(COUNTIF('Paises ECAC'!B:B, C489)&gt;0, "ECAC","NO ECAC"), "")</f>
        <v>ECAC</v>
      </c>
    </row>
    <row r="490" ht="14.25" customHeight="1">
      <c r="A490" s="1" t="s">
        <v>934</v>
      </c>
      <c r="B490" s="1" t="s">
        <v>212</v>
      </c>
      <c r="C490" s="1" t="s">
        <v>21</v>
      </c>
      <c r="D490" s="1" t="s">
        <v>794</v>
      </c>
      <c r="E490" s="1" t="s">
        <v>795</v>
      </c>
      <c r="F490" s="1">
        <v>360.0</v>
      </c>
      <c r="G490" s="5">
        <v>0.5125</v>
      </c>
      <c r="H490" s="1">
        <v>21.0</v>
      </c>
      <c r="I490" s="5">
        <v>0.6319444444444444</v>
      </c>
      <c r="J490" s="1" t="str">
        <f t="array" ref="J490">XLOOKUP(B490,cat!B:B,cat!C:C)</f>
        <v>D</v>
      </c>
      <c r="K490" s="1">
        <f t="array" ref="K490">XLOOKUP(B490,cat!B:B,cat!D:D)</f>
        <v>200</v>
      </c>
      <c r="L490" s="7">
        <f t="shared" si="1"/>
        <v>0.1194444444</v>
      </c>
      <c r="M490" s="1" t="str">
        <f t="shared" si="2"/>
        <v/>
      </c>
      <c r="P490" s="9"/>
      <c r="Q490" s="9">
        <f t="shared" si="3"/>
        <v>0</v>
      </c>
      <c r="R490" s="1" t="str">
        <f t="shared" si="4"/>
        <v>PGT</v>
      </c>
      <c r="S490" s="1" t="str">
        <f>IF($D490="LEBL", IF(COUNTIF('Paises ECAC'!B:B, C490)&gt;0, "ECAC","NO ECAC"), "")</f>
        <v/>
      </c>
    </row>
    <row r="491" ht="14.25" customHeight="1">
      <c r="A491" s="1" t="s">
        <v>935</v>
      </c>
      <c r="B491" s="1" t="s">
        <v>212</v>
      </c>
      <c r="C491" s="1" t="s">
        <v>126</v>
      </c>
      <c r="D491" s="1" t="s">
        <v>21</v>
      </c>
      <c r="E491" s="1" t="s">
        <v>213</v>
      </c>
      <c r="F491" s="1">
        <v>340.0</v>
      </c>
      <c r="G491" s="5">
        <v>0.38680555555555557</v>
      </c>
      <c r="H491" s="1">
        <v>14.0</v>
      </c>
      <c r="I491" s="5">
        <v>0.5104166666666666</v>
      </c>
      <c r="J491" s="1" t="str">
        <f t="array" ref="J491">XLOOKUP(B491,cat!B:B,cat!C:C)</f>
        <v>D</v>
      </c>
      <c r="K491" s="1">
        <f t="array" ref="K491">XLOOKUP(B491,cat!B:B,cat!D:D)</f>
        <v>200</v>
      </c>
      <c r="L491" s="7">
        <f t="shared" si="1"/>
        <v>0.1236111111</v>
      </c>
      <c r="M491" s="7">
        <f t="shared" si="2"/>
        <v>0.1011805556</v>
      </c>
      <c r="P491" s="9"/>
      <c r="Q491" s="9">
        <f t="shared" si="3"/>
        <v>2015.516667</v>
      </c>
      <c r="R491" s="1" t="str">
        <f t="shared" si="4"/>
        <v>VLG</v>
      </c>
      <c r="S491" s="1" t="str">
        <f>IF($D491="LEBL", IF(COUNTIF('Paises ECAC'!B:B, C491)&gt;0, "ECAC","NO ECAC"), "")</f>
        <v>ECAC</v>
      </c>
    </row>
    <row r="492" ht="14.25" customHeight="1">
      <c r="A492" s="1" t="s">
        <v>936</v>
      </c>
      <c r="B492" s="1" t="s">
        <v>30</v>
      </c>
      <c r="C492" s="1" t="s">
        <v>21</v>
      </c>
      <c r="D492" s="1" t="s">
        <v>937</v>
      </c>
      <c r="E492" s="1" t="s">
        <v>86</v>
      </c>
      <c r="F492" s="1">
        <v>370.0</v>
      </c>
      <c r="G492" s="5">
        <v>0.5083333333333333</v>
      </c>
      <c r="H492" s="1">
        <v>11.0</v>
      </c>
      <c r="I492" s="5">
        <v>0.5868055555555556</v>
      </c>
      <c r="J492" s="1" t="str">
        <f t="array" ref="J492">XLOOKUP(B492,cat!B:B,cat!C:C)</f>
        <v>D</v>
      </c>
      <c r="K492" s="1">
        <f t="array" ref="K492">XLOOKUP(B492,cat!B:B,cat!D:D)</f>
        <v>173</v>
      </c>
      <c r="L492" s="7">
        <f t="shared" si="1"/>
        <v>0.07847222222</v>
      </c>
      <c r="M492" s="1" t="str">
        <f t="shared" si="2"/>
        <v/>
      </c>
      <c r="P492" s="9"/>
      <c r="Q492" s="9">
        <f t="shared" si="3"/>
        <v>0</v>
      </c>
      <c r="R492" s="1" t="str">
        <f t="shared" si="4"/>
        <v>VLG</v>
      </c>
      <c r="S492" s="1" t="str">
        <f>IF($D492="LEBL", IF(COUNTIF('Paises ECAC'!B:B, C492)&gt;0, "ECAC","NO ECAC"), "")</f>
        <v/>
      </c>
    </row>
    <row r="493" ht="14.25" customHeight="1">
      <c r="A493" s="1" t="s">
        <v>938</v>
      </c>
      <c r="B493" s="1" t="s">
        <v>30</v>
      </c>
      <c r="C493" s="1" t="s">
        <v>939</v>
      </c>
      <c r="D493" s="1" t="s">
        <v>21</v>
      </c>
      <c r="E493" s="1" t="s">
        <v>940</v>
      </c>
      <c r="F493" s="1">
        <v>370.0</v>
      </c>
      <c r="G493" s="5">
        <v>0.4027777777777778</v>
      </c>
      <c r="H493" s="1">
        <v>10.0</v>
      </c>
      <c r="I493" s="5">
        <v>0.5104166666666666</v>
      </c>
      <c r="J493" s="1" t="str">
        <f t="array" ref="J493">XLOOKUP(B493,cat!B:B,cat!C:C)</f>
        <v>D</v>
      </c>
      <c r="K493" s="1">
        <f t="array" ref="K493">XLOOKUP(B493,cat!B:B,cat!D:D)</f>
        <v>173</v>
      </c>
      <c r="L493" s="7">
        <f t="shared" si="1"/>
        <v>0.1076388889</v>
      </c>
      <c r="M493" s="7">
        <f t="shared" si="2"/>
        <v>0.08798611111</v>
      </c>
      <c r="P493" s="9"/>
      <c r="Q493" s="9">
        <f t="shared" si="3"/>
        <v>1752.683333</v>
      </c>
      <c r="R493" s="1" t="str">
        <f t="shared" si="4"/>
        <v>WMT</v>
      </c>
      <c r="S493" s="1" t="str">
        <f>IF($D493="LEBL", IF(COUNTIF('Paises ECAC'!B:B, C493)&gt;0, "ECAC","NO ECAC"), "")</f>
        <v>ECAC</v>
      </c>
    </row>
    <row r="494" ht="14.25" customHeight="1">
      <c r="A494" s="1" t="s">
        <v>941</v>
      </c>
      <c r="B494" s="1" t="s">
        <v>35</v>
      </c>
      <c r="C494" s="1" t="s">
        <v>21</v>
      </c>
      <c r="D494" s="1" t="s">
        <v>942</v>
      </c>
      <c r="E494" s="1" t="s">
        <v>37</v>
      </c>
      <c r="F494" s="1">
        <v>310.0</v>
      </c>
      <c r="G494" s="5">
        <v>0.5076388888888889</v>
      </c>
      <c r="H494" s="1">
        <v>11.0</v>
      </c>
      <c r="I494" s="5">
        <v>0.5486111111111112</v>
      </c>
      <c r="J494" s="1" t="str">
        <f t="array" ref="J494">XLOOKUP(B494,cat!B:B,cat!C:C)</f>
        <v>D</v>
      </c>
      <c r="K494" s="1">
        <f t="array" ref="K494">XLOOKUP(B494,cat!B:B,cat!D:D)</f>
        <v>207</v>
      </c>
      <c r="L494" s="7">
        <f t="shared" si="1"/>
        <v>0.04097222222</v>
      </c>
      <c r="M494" s="1" t="str">
        <f t="shared" si="2"/>
        <v/>
      </c>
      <c r="P494" s="9"/>
      <c r="Q494" s="9">
        <f t="shared" si="3"/>
        <v>0</v>
      </c>
      <c r="R494" s="1" t="str">
        <f t="shared" si="4"/>
        <v>VLG</v>
      </c>
      <c r="S494" s="1" t="str">
        <f>IF($D494="LEBL", IF(COUNTIF('Paises ECAC'!B:B, C494)&gt;0, "ECAC","NO ECAC"), "")</f>
        <v/>
      </c>
    </row>
    <row r="495" ht="14.25" customHeight="1">
      <c r="A495" s="1" t="s">
        <v>943</v>
      </c>
      <c r="B495" s="1" t="s">
        <v>182</v>
      </c>
      <c r="C495" s="1" t="s">
        <v>21</v>
      </c>
      <c r="D495" s="1" t="s">
        <v>414</v>
      </c>
      <c r="E495" s="1" t="s">
        <v>415</v>
      </c>
      <c r="F495" s="1">
        <v>380.0</v>
      </c>
      <c r="G495" s="5">
        <v>0.5111111111111111</v>
      </c>
      <c r="H495" s="1">
        <v>13.0</v>
      </c>
      <c r="I495" s="5">
        <v>0.8125</v>
      </c>
      <c r="J495" s="1" t="str">
        <f t="array" ref="J495">XLOOKUP(B495,cat!B:B,cat!C:C)</f>
        <v>B</v>
      </c>
      <c r="K495" s="1">
        <f t="array" ref="K495">XLOOKUP(B495,cat!B:B,cat!D:D)</f>
        <v>284</v>
      </c>
      <c r="L495" s="7">
        <f t="shared" si="1"/>
        <v>0.3013888889</v>
      </c>
      <c r="M495" s="1" t="str">
        <f t="shared" si="2"/>
        <v/>
      </c>
      <c r="P495" s="9"/>
      <c r="Q495" s="9">
        <f t="shared" si="3"/>
        <v>0</v>
      </c>
      <c r="R495" s="1" t="str">
        <f t="shared" si="4"/>
        <v>AAL</v>
      </c>
      <c r="S495" s="1" t="str">
        <f>IF($D495="LEBL", IF(COUNTIF('Paises ECAC'!B:B, C495)&gt;0, "ECAC","NO ECAC"), "")</f>
        <v/>
      </c>
    </row>
    <row r="496" ht="14.25" customHeight="1">
      <c r="A496" s="1" t="s">
        <v>944</v>
      </c>
      <c r="B496" s="1" t="s">
        <v>30</v>
      </c>
      <c r="C496" s="1" t="s">
        <v>192</v>
      </c>
      <c r="D496" s="1" t="s">
        <v>21</v>
      </c>
      <c r="E496" s="1" t="s">
        <v>945</v>
      </c>
      <c r="F496" s="1">
        <v>320.0</v>
      </c>
      <c r="G496" s="5">
        <v>0.4638888888888889</v>
      </c>
      <c r="H496" s="1">
        <v>11.0</v>
      </c>
      <c r="I496" s="5">
        <v>0.5138888888888888</v>
      </c>
      <c r="J496" s="1" t="str">
        <f t="array" ref="J496">XLOOKUP(B496,cat!B:B,cat!C:C)</f>
        <v>D</v>
      </c>
      <c r="K496" s="1">
        <f t="array" ref="K496">XLOOKUP(B496,cat!B:B,cat!D:D)</f>
        <v>173</v>
      </c>
      <c r="L496" s="7">
        <f t="shared" si="1"/>
        <v>0.05</v>
      </c>
      <c r="M496" s="7">
        <f t="shared" si="2"/>
        <v>0.02965277778</v>
      </c>
      <c r="P496" s="9"/>
      <c r="Q496" s="9">
        <f t="shared" si="3"/>
        <v>590.6833333</v>
      </c>
      <c r="R496" s="1" t="str">
        <f t="shared" si="4"/>
        <v>VLG</v>
      </c>
      <c r="S496" s="1" t="str">
        <f>IF($D496="LEBL", IF(COUNTIF('Paises ECAC'!B:B, C496)&gt;0, "ECAC","NO ECAC"), "")</f>
        <v>ECAC</v>
      </c>
    </row>
    <row r="497" ht="14.25" customHeight="1">
      <c r="A497" s="1" t="s">
        <v>593</v>
      </c>
      <c r="B497" s="1" t="s">
        <v>594</v>
      </c>
      <c r="C497" s="1" t="s">
        <v>21</v>
      </c>
      <c r="D497" s="1" t="s">
        <v>946</v>
      </c>
      <c r="E497" s="1" t="s">
        <v>596</v>
      </c>
      <c r="F497" s="1">
        <v>320.0</v>
      </c>
      <c r="G497" s="5">
        <v>0.5138888888888888</v>
      </c>
      <c r="H497" s="1">
        <v>20.0</v>
      </c>
      <c r="I497" s="5">
        <v>0.5659722222222222</v>
      </c>
      <c r="J497" s="1" t="str">
        <f t="array" ref="J497">XLOOKUP(B497,cat!B:B,cat!C:C)</f>
        <v>E</v>
      </c>
      <c r="K497" s="1">
        <f t="array" ref="K497">XLOOKUP(B497,cat!B:B,cat!D:D)</f>
        <v>15</v>
      </c>
      <c r="L497" s="7">
        <f t="shared" si="1"/>
        <v>0.05208333333</v>
      </c>
      <c r="M497" s="1" t="str">
        <f t="shared" si="2"/>
        <v/>
      </c>
      <c r="P497" s="9"/>
      <c r="Q497" s="9">
        <f t="shared" si="3"/>
        <v>0</v>
      </c>
      <c r="R497" s="1" t="str">
        <f t="shared" si="4"/>
        <v>JCO</v>
      </c>
      <c r="S497" s="1" t="str">
        <f>IF($D497="LEBL", IF(COUNTIF('Paises ECAC'!B:B, C497)&gt;0, "ECAC","NO ECAC"), "")</f>
        <v/>
      </c>
    </row>
    <row r="498" ht="14.25" customHeight="1">
      <c r="A498" s="1" t="s">
        <v>947</v>
      </c>
      <c r="B498" s="1" t="s">
        <v>136</v>
      </c>
      <c r="C498" s="1" t="s">
        <v>21</v>
      </c>
      <c r="D498" s="1" t="s">
        <v>97</v>
      </c>
      <c r="E498" s="1" t="s">
        <v>336</v>
      </c>
      <c r="F498" s="1">
        <v>300.0</v>
      </c>
      <c r="G498" s="5">
        <v>0.5145833333333333</v>
      </c>
      <c r="H498" s="1">
        <v>20.0</v>
      </c>
      <c r="I498" s="5">
        <v>0.5659722222222222</v>
      </c>
      <c r="J498" s="1" t="str">
        <f t="array" ref="J498">XLOOKUP(B498,cat!B:B,cat!C:C)</f>
        <v>D</v>
      </c>
      <c r="K498" s="1">
        <f t="array" ref="K498">XLOOKUP(B498,cat!B:B,cat!D:D)</f>
        <v>144</v>
      </c>
      <c r="L498" s="7">
        <f t="shared" si="1"/>
        <v>0.05138888889</v>
      </c>
      <c r="M498" s="1" t="str">
        <f t="shared" si="2"/>
        <v/>
      </c>
      <c r="P498" s="9"/>
      <c r="Q498" s="9">
        <f t="shared" si="3"/>
        <v>0</v>
      </c>
      <c r="R498" s="1" t="str">
        <f t="shared" si="4"/>
        <v>EJU</v>
      </c>
      <c r="S498" s="1" t="str">
        <f>IF($D498="LEBL", IF(COUNTIF('Paises ECAC'!B:B, C498)&gt;0, "ECAC","NO ECAC"), "")</f>
        <v/>
      </c>
    </row>
    <row r="499" ht="14.25" customHeight="1">
      <c r="A499" s="1" t="s">
        <v>948</v>
      </c>
      <c r="B499" s="1" t="s">
        <v>182</v>
      </c>
      <c r="C499" s="1" t="s">
        <v>183</v>
      </c>
      <c r="D499" s="1" t="s">
        <v>21</v>
      </c>
      <c r="E499" s="1" t="s">
        <v>949</v>
      </c>
      <c r="F499" s="1">
        <v>380.0</v>
      </c>
      <c r="G499" s="5">
        <v>0.2534722222222222</v>
      </c>
      <c r="H499" s="1">
        <v>10.0</v>
      </c>
      <c r="I499" s="5">
        <v>0.5173611111111112</v>
      </c>
      <c r="J499" s="1" t="str">
        <f t="array" ref="J499">XLOOKUP(B499,cat!B:B,cat!C:C)</f>
        <v>B</v>
      </c>
      <c r="K499" s="1">
        <f t="array" ref="K499">XLOOKUP(B499,cat!B:B,cat!D:D)</f>
        <v>284</v>
      </c>
      <c r="L499" s="7">
        <f t="shared" si="1"/>
        <v>0.2638888889</v>
      </c>
      <c r="M499" s="7">
        <f t="shared" si="2"/>
        <v>0.2442361111</v>
      </c>
      <c r="P499" s="9"/>
      <c r="Q499" s="9">
        <f t="shared" si="3"/>
        <v>5275.5</v>
      </c>
      <c r="R499" s="1" t="str">
        <f t="shared" si="4"/>
        <v>QTR</v>
      </c>
      <c r="S499" s="1" t="str">
        <f>IF($D499="LEBL", IF(COUNTIF('Paises ECAC'!B:B, C499)&gt;0, "ECAC","NO ECAC"), "")</f>
        <v>NO ECAC</v>
      </c>
    </row>
    <row r="500" ht="14.25" customHeight="1">
      <c r="A500" s="1" t="s">
        <v>950</v>
      </c>
      <c r="B500" s="1" t="s">
        <v>35</v>
      </c>
      <c r="C500" s="1" t="s">
        <v>140</v>
      </c>
      <c r="D500" s="1" t="s">
        <v>21</v>
      </c>
      <c r="E500" s="1" t="s">
        <v>172</v>
      </c>
      <c r="F500" s="1">
        <v>341.0</v>
      </c>
      <c r="G500" s="5">
        <v>0.46041666666666664</v>
      </c>
      <c r="H500" s="1">
        <v>15.0</v>
      </c>
      <c r="I500" s="5">
        <v>0.5173611111111112</v>
      </c>
      <c r="J500" s="1" t="str">
        <f t="array" ref="J500">XLOOKUP(B500,cat!B:B,cat!C:C)</f>
        <v>D</v>
      </c>
      <c r="K500" s="1">
        <f t="array" ref="K500">XLOOKUP(B500,cat!B:B,cat!D:D)</f>
        <v>207</v>
      </c>
      <c r="L500" s="7">
        <f t="shared" si="1"/>
        <v>0.05694444444</v>
      </c>
      <c r="M500" s="7">
        <f t="shared" si="2"/>
        <v>0.03381944444</v>
      </c>
      <c r="P500" s="9"/>
      <c r="Q500" s="9">
        <f t="shared" si="3"/>
        <v>673.6833333</v>
      </c>
      <c r="R500" s="1" t="str">
        <f t="shared" si="4"/>
        <v>VLG</v>
      </c>
      <c r="S500" s="1" t="str">
        <f>IF($D500="LEBL", IF(COUNTIF('Paises ECAC'!B:B, C500)&gt;0, "ECAC","NO ECAC"), "")</f>
        <v>ECAC</v>
      </c>
    </row>
    <row r="501" ht="14.25" customHeight="1">
      <c r="A501" s="1" t="s">
        <v>951</v>
      </c>
      <c r="B501" s="1" t="s">
        <v>30</v>
      </c>
      <c r="C501" s="1" t="s">
        <v>21</v>
      </c>
      <c r="D501" s="1" t="s">
        <v>158</v>
      </c>
      <c r="E501" s="1" t="s">
        <v>71</v>
      </c>
      <c r="F501" s="1">
        <v>340.0</v>
      </c>
      <c r="G501" s="5">
        <v>0.5131944444444444</v>
      </c>
      <c r="H501" s="1">
        <v>11.0</v>
      </c>
      <c r="I501" s="5">
        <v>0.5763888888888888</v>
      </c>
      <c r="J501" s="1" t="str">
        <f t="array" ref="J501">XLOOKUP(B501,cat!B:B,cat!C:C)</f>
        <v>D</v>
      </c>
      <c r="K501" s="1">
        <f t="array" ref="K501">XLOOKUP(B501,cat!B:B,cat!D:D)</f>
        <v>173</v>
      </c>
      <c r="L501" s="7">
        <f t="shared" si="1"/>
        <v>0.06319444444</v>
      </c>
      <c r="M501" s="1" t="str">
        <f t="shared" si="2"/>
        <v/>
      </c>
      <c r="P501" s="9"/>
      <c r="Q501" s="9">
        <f t="shared" si="3"/>
        <v>0</v>
      </c>
      <c r="R501" s="1" t="str">
        <f t="shared" si="4"/>
        <v>VLG</v>
      </c>
      <c r="S501" s="1" t="str">
        <f>IF($D501="LEBL", IF(COUNTIF('Paises ECAC'!B:B, C501)&gt;0, "ECAC","NO ECAC"), "")</f>
        <v/>
      </c>
    </row>
    <row r="502" ht="14.25" customHeight="1">
      <c r="A502" s="1" t="s">
        <v>952</v>
      </c>
      <c r="B502" s="1" t="s">
        <v>25</v>
      </c>
      <c r="C502" s="1" t="s">
        <v>21</v>
      </c>
      <c r="D502" s="1" t="s">
        <v>227</v>
      </c>
      <c r="E502" s="1" t="s">
        <v>833</v>
      </c>
      <c r="F502" s="1">
        <v>340.0</v>
      </c>
      <c r="G502" s="5">
        <v>0.5118055555555555</v>
      </c>
      <c r="H502" s="1">
        <v>10.0</v>
      </c>
      <c r="I502" s="5">
        <v>0.59375</v>
      </c>
      <c r="J502" s="1" t="str">
        <f t="array" ref="J502">XLOOKUP(B502,cat!B:B,cat!C:C)</f>
        <v>D</v>
      </c>
      <c r="K502" s="1">
        <f t="array" ref="K502">XLOOKUP(B502,cat!B:B,cat!D:D)</f>
        <v>180</v>
      </c>
      <c r="L502" s="7">
        <f t="shared" si="1"/>
        <v>0.08194444444</v>
      </c>
      <c r="M502" s="1" t="str">
        <f t="shared" si="2"/>
        <v/>
      </c>
      <c r="P502" s="9"/>
      <c r="Q502" s="9">
        <f t="shared" si="3"/>
        <v>0</v>
      </c>
      <c r="R502" s="1" t="str">
        <f t="shared" si="4"/>
        <v>DLH</v>
      </c>
      <c r="S502" s="1" t="str">
        <f>IF($D502="LEBL", IF(COUNTIF('Paises ECAC'!B:B, C502)&gt;0, "ECAC","NO ECAC"), "")</f>
        <v/>
      </c>
    </row>
    <row r="503" ht="14.25" customHeight="1">
      <c r="A503" s="1" t="s">
        <v>953</v>
      </c>
      <c r="B503" s="1" t="s">
        <v>57</v>
      </c>
      <c r="C503" s="1" t="s">
        <v>21</v>
      </c>
      <c r="D503" s="1" t="s">
        <v>954</v>
      </c>
      <c r="E503" s="1" t="s">
        <v>955</v>
      </c>
      <c r="F503" s="1">
        <v>400.0</v>
      </c>
      <c r="G503" s="5">
        <v>0.5159722222222223</v>
      </c>
      <c r="H503" s="1">
        <v>14.0</v>
      </c>
      <c r="I503" s="5">
        <v>0.010416666666666666</v>
      </c>
      <c r="J503" s="1" t="str">
        <f t="array" ref="J503">XLOOKUP(B503,cat!B:B,cat!C:C)</f>
        <v>B</v>
      </c>
      <c r="K503" s="1">
        <f t="array" ref="K503">XLOOKUP(B503,cat!B:B,cat!D:D)</f>
        <v>281</v>
      </c>
      <c r="L503" s="7">
        <f t="shared" si="1"/>
        <v>0.4944444444</v>
      </c>
      <c r="M503" s="1" t="str">
        <f t="shared" si="2"/>
        <v/>
      </c>
      <c r="P503" s="9"/>
      <c r="Q503" s="9">
        <f t="shared" si="3"/>
        <v>0</v>
      </c>
      <c r="R503" s="1" t="str">
        <f t="shared" si="4"/>
        <v>IBE</v>
      </c>
      <c r="S503" s="1" t="str">
        <f>IF($D503="LEBL", IF(COUNTIF('Paises ECAC'!B:B, C503)&gt;0, "ECAC","NO ECAC"), "")</f>
        <v/>
      </c>
    </row>
    <row r="504" ht="14.25" customHeight="1">
      <c r="A504" s="1" t="s">
        <v>956</v>
      </c>
      <c r="B504" s="1" t="s">
        <v>19</v>
      </c>
      <c r="C504" s="1" t="s">
        <v>21</v>
      </c>
      <c r="D504" s="1" t="s">
        <v>70</v>
      </c>
      <c r="E504" s="1" t="s">
        <v>849</v>
      </c>
      <c r="F504" s="1">
        <v>370.0</v>
      </c>
      <c r="G504" s="5">
        <v>0.5173611111111112</v>
      </c>
      <c r="H504" s="1">
        <v>20.0</v>
      </c>
      <c r="I504" s="5">
        <v>0.5763888888888888</v>
      </c>
      <c r="J504" s="1" t="str">
        <f t="array" ref="J504">XLOOKUP(B504,cat!B:B,cat!C:C)</f>
        <v>D</v>
      </c>
      <c r="K504" s="1">
        <f t="array" ref="K504">XLOOKUP(B504,cat!B:B,cat!D:D)</f>
        <v>184</v>
      </c>
      <c r="L504" s="7">
        <f t="shared" si="1"/>
        <v>0.05902777778</v>
      </c>
      <c r="M504" s="1" t="str">
        <f t="shared" si="2"/>
        <v/>
      </c>
      <c r="P504" s="9"/>
      <c r="Q504" s="9">
        <f t="shared" si="3"/>
        <v>0</v>
      </c>
      <c r="R504" s="1" t="str">
        <f t="shared" si="4"/>
        <v>RYR</v>
      </c>
      <c r="S504" s="1" t="str">
        <f>IF($D504="LEBL", IF(COUNTIF('Paises ECAC'!B:B, C504)&gt;0, "ECAC","NO ECAC"), "")</f>
        <v/>
      </c>
    </row>
    <row r="505" ht="14.25" customHeight="1">
      <c r="A505" s="1" t="s">
        <v>957</v>
      </c>
      <c r="B505" s="1" t="s">
        <v>19</v>
      </c>
      <c r="C505" s="1" t="s">
        <v>958</v>
      </c>
      <c r="D505" s="1" t="s">
        <v>21</v>
      </c>
      <c r="E505" s="1" t="s">
        <v>959</v>
      </c>
      <c r="F505" s="1">
        <v>380.0</v>
      </c>
      <c r="G505" s="5">
        <v>0.4375</v>
      </c>
      <c r="H505" s="1">
        <v>16.0</v>
      </c>
      <c r="I505" s="5">
        <v>0.5173611111111112</v>
      </c>
      <c r="J505" s="1" t="str">
        <f t="array" ref="J505">XLOOKUP(B505,cat!B:B,cat!C:C)</f>
        <v>D</v>
      </c>
      <c r="K505" s="1">
        <f t="array" ref="K505">XLOOKUP(B505,cat!B:B,cat!D:D)</f>
        <v>184</v>
      </c>
      <c r="L505" s="7">
        <f t="shared" si="1"/>
        <v>0.07986111111</v>
      </c>
      <c r="M505" s="7">
        <f t="shared" si="2"/>
        <v>0.05604166667</v>
      </c>
      <c r="P505" s="9"/>
      <c r="Q505" s="9">
        <f t="shared" si="3"/>
        <v>1116.35</v>
      </c>
      <c r="R505" s="1" t="str">
        <f t="shared" si="4"/>
        <v>RAM</v>
      </c>
      <c r="S505" s="1" t="str">
        <f>IF($D505="LEBL", IF(COUNTIF('Paises ECAC'!B:B, C505)&gt;0, "ECAC","NO ECAC"), "")</f>
        <v>NO ECAC</v>
      </c>
    </row>
    <row r="506" ht="14.25" customHeight="1">
      <c r="A506" s="1" t="s">
        <v>960</v>
      </c>
      <c r="B506" s="1" t="s">
        <v>19</v>
      </c>
      <c r="C506" s="1" t="s">
        <v>501</v>
      </c>
      <c r="D506" s="1" t="s">
        <v>21</v>
      </c>
      <c r="E506" s="1" t="s">
        <v>144</v>
      </c>
      <c r="F506" s="1">
        <v>380.0</v>
      </c>
      <c r="G506" s="5">
        <v>0.44375</v>
      </c>
      <c r="H506" s="1">
        <v>15.0</v>
      </c>
      <c r="I506" s="5">
        <v>0.5173611111111112</v>
      </c>
      <c r="J506" s="1" t="str">
        <f t="array" ref="J506">XLOOKUP(B506,cat!B:B,cat!C:C)</f>
        <v>D</v>
      </c>
      <c r="K506" s="1">
        <f t="array" ref="K506">XLOOKUP(B506,cat!B:B,cat!D:D)</f>
        <v>184</v>
      </c>
      <c r="L506" s="7">
        <f t="shared" si="1"/>
        <v>0.07361111111</v>
      </c>
      <c r="M506" s="7">
        <f t="shared" si="2"/>
        <v>0.05048611111</v>
      </c>
      <c r="P506" s="9"/>
      <c r="Q506" s="9">
        <f t="shared" si="3"/>
        <v>1005.683333</v>
      </c>
      <c r="R506" s="1" t="str">
        <f t="shared" si="4"/>
        <v>RYR</v>
      </c>
      <c r="S506" s="1" t="str">
        <f>IF($D506="LEBL", IF(COUNTIF('Paises ECAC'!B:B, C506)&gt;0, "ECAC","NO ECAC"), "")</f>
        <v>NO ECAC</v>
      </c>
    </row>
    <row r="507" ht="14.25" customHeight="1">
      <c r="A507" s="1" t="s">
        <v>961</v>
      </c>
      <c r="B507" s="1" t="s">
        <v>962</v>
      </c>
      <c r="C507" s="1" t="s">
        <v>21</v>
      </c>
      <c r="D507" s="1" t="s">
        <v>143</v>
      </c>
      <c r="E507" s="1" t="s">
        <v>963</v>
      </c>
      <c r="F507" s="1">
        <v>190.0</v>
      </c>
      <c r="G507" s="5">
        <v>0.5034722222222222</v>
      </c>
      <c r="H507" s="1">
        <v>20.0</v>
      </c>
      <c r="I507" s="5">
        <v>0.5381944444444444</v>
      </c>
      <c r="J507" s="1" t="str">
        <f t="array" ref="J507">XLOOKUP(B507,cat!B:B,cat!C:C)</f>
        <v>F</v>
      </c>
      <c r="K507" s="1">
        <f t="array" ref="K507">XLOOKUP(B507,cat!B:B,cat!D:D)</f>
        <v>9</v>
      </c>
      <c r="L507" s="7">
        <f t="shared" si="1"/>
        <v>0.03472222222</v>
      </c>
      <c r="M507" s="1" t="str">
        <f t="shared" si="2"/>
        <v/>
      </c>
      <c r="P507" s="9"/>
      <c r="Q507" s="9">
        <f t="shared" si="3"/>
        <v>0</v>
      </c>
      <c r="R507" s="1" t="str">
        <f t="shared" si="4"/>
        <v>ORO</v>
      </c>
      <c r="S507" s="1" t="str">
        <f>IF($D507="LEBL", IF(COUNTIF('Paises ECAC'!B:B, C507)&gt;0, "ECAC","NO ECAC"), "")</f>
        <v/>
      </c>
    </row>
    <row r="508" ht="14.25" customHeight="1">
      <c r="A508" s="1" t="s">
        <v>964</v>
      </c>
      <c r="B508" s="1" t="s">
        <v>25</v>
      </c>
      <c r="C508" s="1" t="s">
        <v>156</v>
      </c>
      <c r="D508" s="1" t="s">
        <v>21</v>
      </c>
      <c r="E508" s="1" t="s">
        <v>965</v>
      </c>
      <c r="F508" s="1">
        <v>180.0</v>
      </c>
      <c r="G508" s="5">
        <v>0.5</v>
      </c>
      <c r="H508" s="1">
        <v>20.0</v>
      </c>
      <c r="I508" s="5">
        <v>0.5208333333333334</v>
      </c>
      <c r="J508" s="1" t="str">
        <f t="array" ref="J508">XLOOKUP(B508,cat!B:B,cat!C:C)</f>
        <v>D</v>
      </c>
      <c r="K508" s="1">
        <f t="array" ref="K508">XLOOKUP(B508,cat!B:B,cat!D:D)</f>
        <v>180</v>
      </c>
      <c r="L508" s="7">
        <f t="shared" si="1"/>
        <v>0.02083333333</v>
      </c>
      <c r="M508" s="7">
        <f t="shared" si="2"/>
        <v>0.006944444444</v>
      </c>
      <c r="P508" s="9"/>
      <c r="Q508" s="9">
        <f t="shared" si="3"/>
        <v>138.3333333</v>
      </c>
      <c r="R508" s="1" t="str">
        <f t="shared" si="4"/>
        <v>VLG</v>
      </c>
      <c r="S508" s="1" t="str">
        <f>IF($D508="LEBL", IF(COUNTIF('Paises ECAC'!B:B, C508)&gt;0, "ECAC","NO ECAC"), "")</f>
        <v>ECAC</v>
      </c>
    </row>
    <row r="509" ht="14.25" customHeight="1">
      <c r="A509" s="1" t="s">
        <v>966</v>
      </c>
      <c r="B509" s="1" t="s">
        <v>35</v>
      </c>
      <c r="C509" s="1" t="s">
        <v>166</v>
      </c>
      <c r="D509" s="1" t="s">
        <v>21</v>
      </c>
      <c r="E509" s="1" t="s">
        <v>256</v>
      </c>
      <c r="F509" s="1">
        <v>360.0</v>
      </c>
      <c r="G509" s="5">
        <v>0.4013888888888889</v>
      </c>
      <c r="H509" s="1">
        <v>8.0</v>
      </c>
      <c r="I509" s="5">
        <v>0.5208333333333334</v>
      </c>
      <c r="J509" s="1" t="str">
        <f t="array" ref="J509">XLOOKUP(B509,cat!B:B,cat!C:C)</f>
        <v>D</v>
      </c>
      <c r="K509" s="1">
        <f t="array" ref="K509">XLOOKUP(B509,cat!B:B,cat!D:D)</f>
        <v>207</v>
      </c>
      <c r="L509" s="7">
        <f t="shared" si="1"/>
        <v>0.1194444444</v>
      </c>
      <c r="M509" s="7">
        <f t="shared" si="2"/>
        <v>0.1011805556</v>
      </c>
      <c r="P509" s="9"/>
      <c r="Q509" s="9">
        <f t="shared" si="3"/>
        <v>2015.516667</v>
      </c>
      <c r="R509" s="1" t="str">
        <f t="shared" si="4"/>
        <v>VLG</v>
      </c>
      <c r="S509" s="1" t="str">
        <f>IF($D509="LEBL", IF(COUNTIF('Paises ECAC'!B:B, C509)&gt;0, "ECAC","NO ECAC"), "")</f>
        <v>ECAC</v>
      </c>
    </row>
    <row r="510" ht="14.25" customHeight="1">
      <c r="A510" s="1" t="s">
        <v>967</v>
      </c>
      <c r="B510" s="1" t="s">
        <v>477</v>
      </c>
      <c r="C510" s="1" t="s">
        <v>21</v>
      </c>
      <c r="D510" s="1" t="s">
        <v>478</v>
      </c>
      <c r="E510" s="1" t="s">
        <v>479</v>
      </c>
      <c r="F510" s="1">
        <v>400.0</v>
      </c>
      <c r="G510" s="5">
        <v>0.5152777777777777</v>
      </c>
      <c r="H510" s="1">
        <v>13.0</v>
      </c>
      <c r="I510" s="5">
        <v>0.9270833333333334</v>
      </c>
      <c r="J510" s="1" t="str">
        <f t="array" ref="J510">XLOOKUP(B510,cat!B:B,cat!C:C)</f>
        <v>B</v>
      </c>
      <c r="K510" s="1">
        <f t="array" ref="K510">XLOOKUP(B510,cat!B:B,cat!D:D)</f>
        <v>266</v>
      </c>
      <c r="L510" s="7">
        <f t="shared" si="1"/>
        <v>0.4118055556</v>
      </c>
      <c r="M510" s="1" t="str">
        <f t="shared" si="2"/>
        <v/>
      </c>
      <c r="P510" s="9"/>
      <c r="Q510" s="9">
        <f t="shared" si="3"/>
        <v>0</v>
      </c>
      <c r="R510" s="1" t="str">
        <f t="shared" si="4"/>
        <v>AVA</v>
      </c>
      <c r="S510" s="1" t="str">
        <f>IF($D510="LEBL", IF(COUNTIF('Paises ECAC'!B:B, C510)&gt;0, "ECAC","NO ECAC"), "")</f>
        <v/>
      </c>
    </row>
    <row r="511" ht="14.25" customHeight="1">
      <c r="A511" s="1" t="s">
        <v>968</v>
      </c>
      <c r="B511" s="1" t="s">
        <v>30</v>
      </c>
      <c r="C511" s="1" t="s">
        <v>21</v>
      </c>
      <c r="D511" s="1" t="s">
        <v>969</v>
      </c>
      <c r="E511" s="1" t="s">
        <v>751</v>
      </c>
      <c r="F511" s="1">
        <v>340.0</v>
      </c>
      <c r="G511" s="5">
        <v>0.5201388888888889</v>
      </c>
      <c r="H511" s="1">
        <v>16.0</v>
      </c>
      <c r="I511" s="5">
        <v>0.6736111111111112</v>
      </c>
      <c r="J511" s="1" t="str">
        <f t="array" ref="J511">XLOOKUP(B511,cat!B:B,cat!C:C)</f>
        <v>D</v>
      </c>
      <c r="K511" s="1">
        <f t="array" ref="K511">XLOOKUP(B511,cat!B:B,cat!D:D)</f>
        <v>173</v>
      </c>
      <c r="L511" s="7">
        <f t="shared" si="1"/>
        <v>0.1534722222</v>
      </c>
      <c r="M511" s="1" t="str">
        <f t="shared" si="2"/>
        <v/>
      </c>
      <c r="P511" s="9"/>
      <c r="Q511" s="9">
        <f t="shared" si="3"/>
        <v>0</v>
      </c>
      <c r="R511" s="1" t="str">
        <f t="shared" si="4"/>
        <v>NMA</v>
      </c>
      <c r="S511" s="1" t="str">
        <f>IF($D511="LEBL", IF(COUNTIF('Paises ECAC'!B:B, C511)&gt;0, "ECAC","NO ECAC"), "")</f>
        <v/>
      </c>
    </row>
    <row r="512" ht="14.25" customHeight="1">
      <c r="A512" s="1" t="s">
        <v>970</v>
      </c>
      <c r="B512" s="1" t="s">
        <v>594</v>
      </c>
      <c r="C512" s="1" t="s">
        <v>682</v>
      </c>
      <c r="D512" s="1" t="s">
        <v>21</v>
      </c>
      <c r="E512" s="1" t="s">
        <v>971</v>
      </c>
      <c r="F512" s="1">
        <v>290.0</v>
      </c>
      <c r="G512" s="5">
        <v>0.48055555555555557</v>
      </c>
      <c r="H512" s="1">
        <v>12.0</v>
      </c>
      <c r="I512" s="5">
        <v>0.5208333333333334</v>
      </c>
      <c r="J512" s="1" t="str">
        <f t="array" ref="J512">XLOOKUP(B512,cat!B:B,cat!C:C)</f>
        <v>E</v>
      </c>
      <c r="K512" s="1">
        <f t="array" ref="K512">XLOOKUP(B512,cat!B:B,cat!D:D)</f>
        <v>15</v>
      </c>
      <c r="L512" s="7">
        <f t="shared" si="1"/>
        <v>0.04027777778</v>
      </c>
      <c r="M512" s="7">
        <f t="shared" si="2"/>
        <v>0.01923611111</v>
      </c>
      <c r="P512" s="9"/>
      <c r="Q512" s="9">
        <f t="shared" si="3"/>
        <v>207.75</v>
      </c>
      <c r="R512" s="1" t="str">
        <f t="shared" si="4"/>
        <v>PVA</v>
      </c>
      <c r="S512" s="1" t="str">
        <f>IF($D512="LEBL", IF(COUNTIF('Paises ECAC'!B:B, C512)&gt;0, "ECAC","NO ECAC"), "")</f>
        <v>ECAC</v>
      </c>
    </row>
    <row r="513" ht="14.25" customHeight="1">
      <c r="A513" s="1" t="s">
        <v>972</v>
      </c>
      <c r="B513" s="1" t="s">
        <v>30</v>
      </c>
      <c r="C513" s="1" t="s">
        <v>301</v>
      </c>
      <c r="D513" s="1" t="s">
        <v>21</v>
      </c>
      <c r="E513" s="1" t="s">
        <v>302</v>
      </c>
      <c r="F513" s="1">
        <v>380.0</v>
      </c>
      <c r="G513" s="5">
        <v>0.4083333333333333</v>
      </c>
      <c r="H513" s="1">
        <v>10.0</v>
      </c>
      <c r="I513" s="5">
        <v>0.5243055555555556</v>
      </c>
      <c r="J513" s="1" t="str">
        <f t="array" ref="J513">XLOOKUP(B513,cat!B:B,cat!C:C)</f>
        <v>D</v>
      </c>
      <c r="K513" s="1">
        <f t="array" ref="K513">XLOOKUP(B513,cat!B:B,cat!D:D)</f>
        <v>173</v>
      </c>
      <c r="L513" s="7">
        <f t="shared" si="1"/>
        <v>0.1159722222</v>
      </c>
      <c r="M513" s="7">
        <f t="shared" si="2"/>
        <v>0.09631944444</v>
      </c>
      <c r="P513" s="9"/>
      <c r="Q513" s="9">
        <f t="shared" si="3"/>
        <v>1918.683333</v>
      </c>
      <c r="R513" s="1" t="str">
        <f t="shared" si="4"/>
        <v>VLG</v>
      </c>
      <c r="S513" s="1" t="str">
        <f>IF($D513="LEBL", IF(COUNTIF('Paises ECAC'!B:B, C513)&gt;0, "ECAC","NO ECAC"), "")</f>
        <v>ECAC</v>
      </c>
    </row>
    <row r="514" ht="14.25" customHeight="1">
      <c r="A514" s="1" t="s">
        <v>973</v>
      </c>
      <c r="B514" s="1" t="s">
        <v>30</v>
      </c>
      <c r="C514" s="1" t="s">
        <v>240</v>
      </c>
      <c r="D514" s="1" t="s">
        <v>21</v>
      </c>
      <c r="E514" s="1" t="s">
        <v>241</v>
      </c>
      <c r="F514" s="1">
        <v>370.0</v>
      </c>
      <c r="G514" s="5">
        <v>0.4027777777777778</v>
      </c>
      <c r="H514" s="1">
        <v>15.0</v>
      </c>
      <c r="I514" s="5">
        <v>0.5243055555555556</v>
      </c>
      <c r="J514" s="1" t="str">
        <f t="array" ref="J514">XLOOKUP(B514,cat!B:B,cat!C:C)</f>
        <v>D</v>
      </c>
      <c r="K514" s="1">
        <f t="array" ref="K514">XLOOKUP(B514,cat!B:B,cat!D:D)</f>
        <v>173</v>
      </c>
      <c r="L514" s="7">
        <f t="shared" si="1"/>
        <v>0.1215277778</v>
      </c>
      <c r="M514" s="7">
        <f t="shared" si="2"/>
        <v>0.09840277778</v>
      </c>
      <c r="P514" s="9"/>
      <c r="Q514" s="9">
        <f t="shared" si="3"/>
        <v>1960.183333</v>
      </c>
      <c r="R514" s="1" t="str">
        <f t="shared" si="4"/>
        <v>VLG</v>
      </c>
      <c r="S514" s="1" t="str">
        <f>IF($D514="LEBL", IF(COUNTIF('Paises ECAC'!B:B, C514)&gt;0, "ECAC","NO ECAC"), "")</f>
        <v>ECAC</v>
      </c>
    </row>
    <row r="515" ht="14.25" customHeight="1">
      <c r="A515" s="1" t="s">
        <v>974</v>
      </c>
      <c r="B515" s="1" t="s">
        <v>35</v>
      </c>
      <c r="C515" s="1" t="s">
        <v>21</v>
      </c>
      <c r="D515" s="1" t="s">
        <v>116</v>
      </c>
      <c r="E515" s="1" t="s">
        <v>161</v>
      </c>
      <c r="F515" s="1">
        <v>320.0</v>
      </c>
      <c r="G515" s="5">
        <v>0.5215277777777778</v>
      </c>
      <c r="H515" s="1">
        <v>11.0</v>
      </c>
      <c r="I515" s="5">
        <v>0.5833333333333334</v>
      </c>
      <c r="J515" s="1" t="str">
        <f t="array" ref="J515">XLOOKUP(B515,cat!B:B,cat!C:C)</f>
        <v>D</v>
      </c>
      <c r="K515" s="1">
        <f t="array" ref="K515">XLOOKUP(B515,cat!B:B,cat!D:D)</f>
        <v>207</v>
      </c>
      <c r="L515" s="7">
        <f t="shared" si="1"/>
        <v>0.06180555556</v>
      </c>
      <c r="M515" s="1" t="str">
        <f t="shared" si="2"/>
        <v/>
      </c>
      <c r="P515" s="9"/>
      <c r="Q515" s="9">
        <f t="shared" si="3"/>
        <v>0</v>
      </c>
      <c r="R515" s="1" t="str">
        <f t="shared" si="4"/>
        <v>VLG</v>
      </c>
      <c r="S515" s="1" t="str">
        <f>IF($D515="LEBL", IF(COUNTIF('Paises ECAC'!B:B, C515)&gt;0, "ECAC","NO ECAC"), "")</f>
        <v/>
      </c>
    </row>
    <row r="516" ht="14.25" customHeight="1">
      <c r="A516" s="1" t="s">
        <v>975</v>
      </c>
      <c r="B516" s="1" t="s">
        <v>30</v>
      </c>
      <c r="C516" s="1" t="s">
        <v>21</v>
      </c>
      <c r="D516" s="1" t="s">
        <v>156</v>
      </c>
      <c r="E516" s="1" t="s">
        <v>404</v>
      </c>
      <c r="F516" s="1">
        <v>150.0</v>
      </c>
      <c r="G516" s="5">
        <v>0.5138888888888888</v>
      </c>
      <c r="H516" s="1">
        <v>10.0</v>
      </c>
      <c r="I516" s="5">
        <v>0.5416666666666666</v>
      </c>
      <c r="J516" s="1" t="str">
        <f t="array" ref="J516">XLOOKUP(B516,cat!B:B,cat!C:C)</f>
        <v>D</v>
      </c>
      <c r="K516" s="1">
        <f t="array" ref="K516">XLOOKUP(B516,cat!B:B,cat!D:D)</f>
        <v>173</v>
      </c>
      <c r="L516" s="7">
        <f t="shared" si="1"/>
        <v>0.02777777778</v>
      </c>
      <c r="M516" s="1" t="str">
        <f t="shared" si="2"/>
        <v/>
      </c>
      <c r="P516" s="9"/>
      <c r="Q516" s="9">
        <f t="shared" si="3"/>
        <v>0</v>
      </c>
      <c r="R516" s="1" t="str">
        <f t="shared" si="4"/>
        <v>VLG</v>
      </c>
      <c r="S516" s="1" t="str">
        <f>IF($D516="LEBL", IF(COUNTIF('Paises ECAC'!B:B, C516)&gt;0, "ECAC","NO ECAC"), "")</f>
        <v/>
      </c>
    </row>
    <row r="517" ht="14.25" customHeight="1">
      <c r="A517" s="1" t="s">
        <v>976</v>
      </c>
      <c r="B517" s="1" t="s">
        <v>57</v>
      </c>
      <c r="C517" s="1" t="s">
        <v>21</v>
      </c>
      <c r="D517" s="1" t="s">
        <v>915</v>
      </c>
      <c r="E517" s="1" t="s">
        <v>59</v>
      </c>
      <c r="F517" s="1">
        <v>400.0</v>
      </c>
      <c r="G517" s="5">
        <v>0.5208333333333334</v>
      </c>
      <c r="H517" s="1">
        <v>19.0</v>
      </c>
      <c r="I517" s="5">
        <v>0.024305555555555556</v>
      </c>
      <c r="J517" s="1" t="str">
        <f t="array" ref="J517">XLOOKUP(B517,cat!B:B,cat!C:C)</f>
        <v>B</v>
      </c>
      <c r="K517" s="1">
        <f t="array" ref="K517">XLOOKUP(B517,cat!B:B,cat!D:D)</f>
        <v>281</v>
      </c>
      <c r="L517" s="7">
        <f t="shared" si="1"/>
        <v>0.5034722222</v>
      </c>
      <c r="M517" s="1" t="str">
        <f t="shared" si="2"/>
        <v/>
      </c>
      <c r="P517" s="9"/>
      <c r="Q517" s="9">
        <f t="shared" si="3"/>
        <v>0</v>
      </c>
      <c r="R517" s="1" t="str">
        <f t="shared" si="4"/>
        <v>IBE</v>
      </c>
      <c r="S517" s="1" t="str">
        <f>IF($D517="LEBL", IF(COUNTIF('Paises ECAC'!B:B, C517)&gt;0, "ECAC","NO ECAC"), "")</f>
        <v/>
      </c>
    </row>
    <row r="518" ht="14.25" customHeight="1">
      <c r="A518" s="1" t="s">
        <v>977</v>
      </c>
      <c r="B518" s="1" t="s">
        <v>30</v>
      </c>
      <c r="C518" s="1" t="s">
        <v>527</v>
      </c>
      <c r="D518" s="1" t="s">
        <v>21</v>
      </c>
      <c r="E518" s="1" t="s">
        <v>51</v>
      </c>
      <c r="F518" s="1">
        <v>390.0</v>
      </c>
      <c r="G518" s="5">
        <v>0.46319444444444446</v>
      </c>
      <c r="H518" s="1">
        <v>12.0</v>
      </c>
      <c r="I518" s="5">
        <v>0.5243055555555556</v>
      </c>
      <c r="J518" s="1" t="str">
        <f t="array" ref="J518">XLOOKUP(B518,cat!B:B,cat!C:C)</f>
        <v>D</v>
      </c>
      <c r="K518" s="1">
        <f t="array" ref="K518">XLOOKUP(B518,cat!B:B,cat!D:D)</f>
        <v>173</v>
      </c>
      <c r="L518" s="7">
        <f t="shared" si="1"/>
        <v>0.06111111111</v>
      </c>
      <c r="M518" s="7">
        <f t="shared" si="2"/>
        <v>0.04006944444</v>
      </c>
      <c r="P518" s="9"/>
      <c r="Q518" s="9">
        <f t="shared" si="3"/>
        <v>798.1833333</v>
      </c>
      <c r="R518" s="1" t="str">
        <f t="shared" si="4"/>
        <v>VLG</v>
      </c>
      <c r="S518" s="1" t="str">
        <f>IF($D518="LEBL", IF(COUNTIF('Paises ECAC'!B:B, C518)&gt;0, "ECAC","NO ECAC"), "")</f>
        <v>ECAC</v>
      </c>
    </row>
    <row r="519" ht="14.25" customHeight="1">
      <c r="A519" s="1" t="s">
        <v>978</v>
      </c>
      <c r="B519" s="1" t="s">
        <v>25</v>
      </c>
      <c r="C519" s="1" t="s">
        <v>21</v>
      </c>
      <c r="D519" s="1" t="s">
        <v>857</v>
      </c>
      <c r="E519" s="1" t="s">
        <v>858</v>
      </c>
      <c r="F519" s="1">
        <v>380.0</v>
      </c>
      <c r="G519" s="5">
        <v>0.5243055555555556</v>
      </c>
      <c r="H519" s="1">
        <v>20.0</v>
      </c>
      <c r="I519" s="5">
        <v>0.6597222222222222</v>
      </c>
      <c r="J519" s="1" t="str">
        <f t="array" ref="J519">XLOOKUP(B519,cat!B:B,cat!C:C)</f>
        <v>D</v>
      </c>
      <c r="K519" s="1">
        <f t="array" ref="K519">XLOOKUP(B519,cat!B:B,cat!D:D)</f>
        <v>180</v>
      </c>
      <c r="L519" s="7">
        <f t="shared" si="1"/>
        <v>0.1354166667</v>
      </c>
      <c r="M519" s="1" t="str">
        <f t="shared" si="2"/>
        <v/>
      </c>
      <c r="P519" s="9"/>
      <c r="Q519" s="9">
        <f t="shared" si="3"/>
        <v>0</v>
      </c>
      <c r="R519" s="1" t="str">
        <f t="shared" si="4"/>
        <v>RZO</v>
      </c>
      <c r="S519" s="1" t="str">
        <f>IF($D519="LEBL", IF(COUNTIF('Paises ECAC'!B:B, C519)&gt;0, "ECAC","NO ECAC"), "")</f>
        <v/>
      </c>
    </row>
    <row r="520" ht="14.25" customHeight="1">
      <c r="A520" s="1" t="s">
        <v>979</v>
      </c>
      <c r="B520" s="1" t="s">
        <v>30</v>
      </c>
      <c r="C520" s="1" t="s">
        <v>21</v>
      </c>
      <c r="D520" s="1" t="s">
        <v>251</v>
      </c>
      <c r="E520" s="1" t="s">
        <v>249</v>
      </c>
      <c r="F520" s="1">
        <v>310.0</v>
      </c>
      <c r="G520" s="5">
        <v>0.5180555555555556</v>
      </c>
      <c r="H520" s="1">
        <v>11.0</v>
      </c>
      <c r="I520" s="5">
        <v>0.5798611111111112</v>
      </c>
      <c r="J520" s="1" t="str">
        <f t="array" ref="J520">XLOOKUP(B520,cat!B:B,cat!C:C)</f>
        <v>D</v>
      </c>
      <c r="K520" s="1">
        <f t="array" ref="K520">XLOOKUP(B520,cat!B:B,cat!D:D)</f>
        <v>173</v>
      </c>
      <c r="L520" s="7">
        <f t="shared" si="1"/>
        <v>0.06180555556</v>
      </c>
      <c r="M520" s="1" t="str">
        <f t="shared" si="2"/>
        <v/>
      </c>
      <c r="P520" s="9"/>
      <c r="Q520" s="9">
        <f t="shared" si="3"/>
        <v>0</v>
      </c>
      <c r="R520" s="1" t="str">
        <f t="shared" si="4"/>
        <v>VLG</v>
      </c>
      <c r="S520" s="1" t="str">
        <f>IF($D520="LEBL", IF(COUNTIF('Paises ECAC'!B:B, C520)&gt;0, "ECAC","NO ECAC"), "")</f>
        <v/>
      </c>
    </row>
    <row r="521" ht="14.25" customHeight="1">
      <c r="A521" s="1" t="s">
        <v>980</v>
      </c>
      <c r="B521" s="1" t="s">
        <v>981</v>
      </c>
      <c r="C521" s="1" t="s">
        <v>982</v>
      </c>
      <c r="D521" s="1" t="s">
        <v>21</v>
      </c>
      <c r="E521" s="1" t="s">
        <v>983</v>
      </c>
      <c r="F521" s="1">
        <v>390.0</v>
      </c>
      <c r="G521" s="5">
        <v>0.4326388888888889</v>
      </c>
      <c r="H521" s="1">
        <v>5.0</v>
      </c>
      <c r="I521" s="5">
        <v>0.5277777777777778</v>
      </c>
      <c r="J521" s="1" t="str">
        <f t="array" ref="J521">XLOOKUP(B521,cat!B:B,cat!C:C)</f>
        <v>F</v>
      </c>
      <c r="K521" s="1">
        <f t="array" ref="K521">XLOOKUP(B521,cat!B:B,cat!D:D)</f>
        <v>6</v>
      </c>
      <c r="L521" s="7">
        <f t="shared" si="1"/>
        <v>0.09513888889</v>
      </c>
      <c r="M521" s="7">
        <f t="shared" si="2"/>
        <v>0.07895833333</v>
      </c>
      <c r="P521" s="9"/>
      <c r="Q521" s="9">
        <f t="shared" si="3"/>
        <v>341.1</v>
      </c>
      <c r="R521" s="1" t="str">
        <f t="shared" si="4"/>
        <v>VTB</v>
      </c>
      <c r="S521" s="1" t="str">
        <f>IF($D521="LEBL", IF(COUNTIF('Paises ECAC'!B:B, C521)&gt;0, "ECAC","NO ECAC"), "")</f>
        <v>ECAC</v>
      </c>
    </row>
    <row r="522" ht="14.25" customHeight="1">
      <c r="A522" s="1" t="s">
        <v>984</v>
      </c>
      <c r="B522" s="1" t="s">
        <v>40</v>
      </c>
      <c r="C522" s="1" t="s">
        <v>245</v>
      </c>
      <c r="D522" s="1" t="s">
        <v>21</v>
      </c>
      <c r="E522" s="1" t="s">
        <v>120</v>
      </c>
      <c r="F522" s="1">
        <v>240.0</v>
      </c>
      <c r="G522" s="5">
        <v>0.4895833333333333</v>
      </c>
      <c r="H522" s="1">
        <v>12.0</v>
      </c>
      <c r="I522" s="5">
        <v>0.5277777777777778</v>
      </c>
      <c r="J522" s="1" t="str">
        <f t="array" ref="J522">XLOOKUP(B522,cat!B:B,cat!C:C)</f>
        <v>D</v>
      </c>
      <c r="K522" s="1">
        <f t="array" ref="K522">XLOOKUP(B522,cat!B:B,cat!D:D)</f>
        <v>186</v>
      </c>
      <c r="L522" s="7">
        <f t="shared" si="1"/>
        <v>0.03819444444</v>
      </c>
      <c r="M522" s="7">
        <f t="shared" si="2"/>
        <v>0.01715277778</v>
      </c>
      <c r="P522" s="9"/>
      <c r="Q522" s="9">
        <f t="shared" si="3"/>
        <v>341.6833333</v>
      </c>
      <c r="R522" s="1" t="str">
        <f t="shared" si="4"/>
        <v>RYR</v>
      </c>
      <c r="S522" s="1" t="str">
        <f>IF($D522="LEBL", IF(COUNTIF('Paises ECAC'!B:B, C522)&gt;0, "ECAC","NO ECAC"), "")</f>
        <v>ECAC</v>
      </c>
    </row>
    <row r="523" ht="14.25" customHeight="1">
      <c r="A523" s="1" t="s">
        <v>771</v>
      </c>
      <c r="B523" s="1" t="s">
        <v>772</v>
      </c>
      <c r="C523" s="1" t="s">
        <v>21</v>
      </c>
      <c r="D523" s="1" t="s">
        <v>137</v>
      </c>
      <c r="E523" s="1" t="s">
        <v>774</v>
      </c>
      <c r="F523" s="1">
        <v>340.0</v>
      </c>
      <c r="G523" s="5">
        <v>0.5270833333333333</v>
      </c>
      <c r="H523" s="1">
        <v>20.0</v>
      </c>
      <c r="I523" s="5">
        <v>0.5833333333333334</v>
      </c>
      <c r="J523" s="1" t="str">
        <f t="array" ref="J523">XLOOKUP(B523,cat!B:B,cat!C:C)</f>
        <v>F</v>
      </c>
      <c r="K523" s="1">
        <f t="array" ref="K523">XLOOKUP(B523,cat!B:B,cat!D:D)</f>
        <v>8</v>
      </c>
      <c r="L523" s="7">
        <f t="shared" si="1"/>
        <v>0.05625</v>
      </c>
      <c r="M523" s="1" t="str">
        <f t="shared" si="2"/>
        <v/>
      </c>
      <c r="P523" s="9"/>
      <c r="Q523" s="9">
        <f t="shared" si="3"/>
        <v>0</v>
      </c>
      <c r="R523" s="1" t="str">
        <f t="shared" si="4"/>
        <v>JFA</v>
      </c>
      <c r="S523" s="1" t="str">
        <f>IF($D523="LEBL", IF(COUNTIF('Paises ECAC'!B:B, C523)&gt;0, "ECAC","NO ECAC"), "")</f>
        <v/>
      </c>
    </row>
    <row r="524" ht="14.25" customHeight="1">
      <c r="A524" s="1" t="s">
        <v>985</v>
      </c>
      <c r="B524" s="1" t="s">
        <v>576</v>
      </c>
      <c r="C524" s="1" t="s">
        <v>21</v>
      </c>
      <c r="D524" s="1" t="s">
        <v>133</v>
      </c>
      <c r="E524" s="1" t="s">
        <v>725</v>
      </c>
      <c r="F524" s="1">
        <v>360.0</v>
      </c>
      <c r="G524" s="5">
        <v>0.5284722222222222</v>
      </c>
      <c r="H524" s="1">
        <v>26.0</v>
      </c>
      <c r="I524" s="5">
        <v>0.8298611111111112</v>
      </c>
      <c r="J524" s="1" t="str">
        <f t="array" ref="J524">XLOOKUP(B524,cat!B:B,cat!C:C)</f>
        <v>B</v>
      </c>
      <c r="K524" s="1">
        <f t="array" ref="K524">XLOOKUP(B524,cat!B:B,cat!D:D)</f>
        <v>284</v>
      </c>
      <c r="L524" s="7">
        <f t="shared" si="1"/>
        <v>0.3013888889</v>
      </c>
      <c r="M524" s="1" t="str">
        <f t="shared" si="2"/>
        <v/>
      </c>
      <c r="P524" s="9"/>
      <c r="Q524" s="9">
        <f t="shared" si="3"/>
        <v>0</v>
      </c>
      <c r="R524" s="1" t="str">
        <f t="shared" si="4"/>
        <v>DAL</v>
      </c>
      <c r="S524" s="1" t="str">
        <f>IF($D524="LEBL", IF(COUNTIF('Paises ECAC'!B:B, C524)&gt;0, "ECAC","NO ECAC"), "")</f>
        <v/>
      </c>
    </row>
    <row r="525" ht="14.25" customHeight="1">
      <c r="A525" s="1" t="s">
        <v>986</v>
      </c>
      <c r="B525" s="1" t="s">
        <v>25</v>
      </c>
      <c r="C525" s="1" t="s">
        <v>21</v>
      </c>
      <c r="D525" s="1" t="s">
        <v>274</v>
      </c>
      <c r="E525" s="1" t="s">
        <v>865</v>
      </c>
      <c r="F525" s="1">
        <v>340.0</v>
      </c>
      <c r="G525" s="5">
        <v>0.5263888888888889</v>
      </c>
      <c r="H525" s="1">
        <v>13.0</v>
      </c>
      <c r="I525" s="5">
        <v>0.6041666666666666</v>
      </c>
      <c r="J525" s="1" t="str">
        <f t="array" ref="J525">XLOOKUP(B525,cat!B:B,cat!C:C)</f>
        <v>D</v>
      </c>
      <c r="K525" s="1">
        <f t="array" ref="K525">XLOOKUP(B525,cat!B:B,cat!D:D)</f>
        <v>180</v>
      </c>
      <c r="L525" s="7">
        <f t="shared" si="1"/>
        <v>0.07777777778</v>
      </c>
      <c r="M525" s="1" t="str">
        <f t="shared" si="2"/>
        <v/>
      </c>
      <c r="P525" s="9"/>
      <c r="Q525" s="9">
        <f t="shared" si="3"/>
        <v>0</v>
      </c>
      <c r="R525" s="1" t="str">
        <f t="shared" si="4"/>
        <v>BAW</v>
      </c>
      <c r="S525" s="1" t="str">
        <f>IF($D525="LEBL", IF(COUNTIF('Paises ECAC'!B:B, C525)&gt;0, "ECAC","NO ECAC"), "")</f>
        <v/>
      </c>
    </row>
    <row r="526" ht="14.25" customHeight="1">
      <c r="A526" s="1" t="s">
        <v>987</v>
      </c>
      <c r="B526" s="1" t="s">
        <v>30</v>
      </c>
      <c r="C526" s="1" t="s">
        <v>116</v>
      </c>
      <c r="D526" s="1" t="s">
        <v>21</v>
      </c>
      <c r="E526" s="1" t="s">
        <v>92</v>
      </c>
      <c r="F526" s="1">
        <v>310.0</v>
      </c>
      <c r="G526" s="5">
        <v>0.47847222222222224</v>
      </c>
      <c r="H526" s="1">
        <v>24.0</v>
      </c>
      <c r="I526" s="5">
        <v>0.53125</v>
      </c>
      <c r="J526" s="1" t="str">
        <f t="array" ref="J526">XLOOKUP(B526,cat!B:B,cat!C:C)</f>
        <v>D</v>
      </c>
      <c r="K526" s="1">
        <f t="array" ref="K526">XLOOKUP(B526,cat!B:B,cat!D:D)</f>
        <v>173</v>
      </c>
      <c r="L526" s="7">
        <f t="shared" si="1"/>
        <v>0.05277777778</v>
      </c>
      <c r="M526" s="7">
        <f t="shared" si="2"/>
        <v>0.02340277778</v>
      </c>
      <c r="P526" s="9"/>
      <c r="Q526" s="9">
        <f t="shared" si="3"/>
        <v>466.1833333</v>
      </c>
      <c r="R526" s="1" t="str">
        <f t="shared" si="4"/>
        <v>VLG</v>
      </c>
      <c r="S526" s="1" t="str">
        <f>IF($D526="LEBL", IF(COUNTIF('Paises ECAC'!B:B, C526)&gt;0, "ECAC","NO ECAC"), "")</f>
        <v>ECAC</v>
      </c>
    </row>
    <row r="527" ht="14.25" customHeight="1">
      <c r="A527" s="1" t="s">
        <v>988</v>
      </c>
      <c r="B527" s="1" t="s">
        <v>45</v>
      </c>
      <c r="C527" s="1" t="s">
        <v>21</v>
      </c>
      <c r="D527" s="1" t="s">
        <v>989</v>
      </c>
      <c r="E527" s="1" t="s">
        <v>47</v>
      </c>
      <c r="F527" s="1">
        <v>330.0</v>
      </c>
      <c r="G527" s="5">
        <v>0.5201388888888889</v>
      </c>
      <c r="H527" s="1">
        <v>8.0</v>
      </c>
      <c r="I527" s="5">
        <v>0.5694444444444444</v>
      </c>
      <c r="J527" s="1" t="str">
        <f t="array" ref="J527">XLOOKUP(B527,cat!B:B,cat!C:C)</f>
        <v>E</v>
      </c>
      <c r="K527" s="1">
        <f t="array" ref="K527">XLOOKUP(B527,cat!B:B,cat!D:D)</f>
        <v>100</v>
      </c>
      <c r="L527" s="7">
        <f t="shared" si="1"/>
        <v>0.04930555556</v>
      </c>
      <c r="M527" s="1" t="str">
        <f t="shared" si="2"/>
        <v/>
      </c>
      <c r="P527" s="9"/>
      <c r="Q527" s="9">
        <f t="shared" si="3"/>
        <v>0</v>
      </c>
      <c r="R527" s="1" t="str">
        <f t="shared" si="4"/>
        <v>ANE</v>
      </c>
      <c r="S527" s="1" t="str">
        <f>IF($D527="LEBL", IF(COUNTIF('Paises ECAC'!B:B, C527)&gt;0, "ECAC","NO ECAC"), "")</f>
        <v/>
      </c>
    </row>
    <row r="528" ht="14.25" customHeight="1">
      <c r="A528" s="1" t="s">
        <v>990</v>
      </c>
      <c r="B528" s="1" t="s">
        <v>30</v>
      </c>
      <c r="C528" s="1" t="s">
        <v>137</v>
      </c>
      <c r="D528" s="1" t="s">
        <v>21</v>
      </c>
      <c r="E528" s="1" t="s">
        <v>154</v>
      </c>
      <c r="F528" s="1">
        <v>330.0</v>
      </c>
      <c r="G528" s="5">
        <v>0.4895833333333333</v>
      </c>
      <c r="H528" s="1">
        <v>10.0</v>
      </c>
      <c r="I528" s="5">
        <v>0.53125</v>
      </c>
      <c r="J528" s="1" t="str">
        <f t="array" ref="J528">XLOOKUP(B528,cat!B:B,cat!C:C)</f>
        <v>D</v>
      </c>
      <c r="K528" s="1">
        <f t="array" ref="K528">XLOOKUP(B528,cat!B:B,cat!D:D)</f>
        <v>173</v>
      </c>
      <c r="L528" s="7">
        <f t="shared" si="1"/>
        <v>0.04166666667</v>
      </c>
      <c r="M528" s="7">
        <f t="shared" si="2"/>
        <v>0.02201388889</v>
      </c>
      <c r="P528" s="9"/>
      <c r="Q528" s="9">
        <f t="shared" si="3"/>
        <v>438.5166667</v>
      </c>
      <c r="R528" s="1" t="str">
        <f t="shared" si="4"/>
        <v>VLG</v>
      </c>
      <c r="S528" s="1" t="str">
        <f>IF($D528="LEBL", IF(COUNTIF('Paises ECAC'!B:B, C528)&gt;0, "ECAC","NO ECAC"), "")</f>
        <v>ECAC</v>
      </c>
    </row>
    <row r="529" ht="14.25" customHeight="1">
      <c r="A529" s="1" t="s">
        <v>991</v>
      </c>
      <c r="B529" s="1" t="s">
        <v>35</v>
      </c>
      <c r="C529" s="1" t="s">
        <v>158</v>
      </c>
      <c r="D529" s="1" t="s">
        <v>21</v>
      </c>
      <c r="E529" s="1" t="s">
        <v>992</v>
      </c>
      <c r="F529" s="1">
        <v>330.0</v>
      </c>
      <c r="G529" s="5">
        <v>0.4798611111111111</v>
      </c>
      <c r="H529" s="1">
        <v>14.0</v>
      </c>
      <c r="I529" s="5">
        <v>0.53125</v>
      </c>
      <c r="J529" s="1" t="str">
        <f t="array" ref="J529">XLOOKUP(B529,cat!B:B,cat!C:C)</f>
        <v>D</v>
      </c>
      <c r="K529" s="1">
        <f t="array" ref="K529">XLOOKUP(B529,cat!B:B,cat!D:D)</f>
        <v>207</v>
      </c>
      <c r="L529" s="7">
        <f t="shared" si="1"/>
        <v>0.05138888889</v>
      </c>
      <c r="M529" s="7">
        <f t="shared" si="2"/>
        <v>0.02895833333</v>
      </c>
      <c r="P529" s="9"/>
      <c r="Q529" s="9">
        <f t="shared" si="3"/>
        <v>576.85</v>
      </c>
      <c r="R529" s="1" t="str">
        <f t="shared" si="4"/>
        <v>SWR</v>
      </c>
      <c r="S529" s="1" t="str">
        <f>IF($D529="LEBL", IF(COUNTIF('Paises ECAC'!B:B, C529)&gt;0, "ECAC","NO ECAC"), "")</f>
        <v>ECAC</v>
      </c>
    </row>
    <row r="530" ht="14.25" customHeight="1">
      <c r="A530" s="1" t="s">
        <v>993</v>
      </c>
      <c r="B530" s="1" t="s">
        <v>19</v>
      </c>
      <c r="C530" s="1" t="s">
        <v>335</v>
      </c>
      <c r="D530" s="1" t="s">
        <v>21</v>
      </c>
      <c r="E530" s="1" t="s">
        <v>994</v>
      </c>
      <c r="F530" s="1">
        <v>370.0</v>
      </c>
      <c r="G530" s="5">
        <v>0.4722222222222222</v>
      </c>
      <c r="H530" s="1">
        <v>15.0</v>
      </c>
      <c r="I530" s="5">
        <v>0.53125</v>
      </c>
      <c r="J530" s="1" t="str">
        <f t="array" ref="J530">XLOOKUP(B530,cat!B:B,cat!C:C)</f>
        <v>D</v>
      </c>
      <c r="K530" s="1">
        <f t="array" ref="K530">XLOOKUP(B530,cat!B:B,cat!D:D)</f>
        <v>184</v>
      </c>
      <c r="L530" s="7">
        <f t="shared" si="1"/>
        <v>0.05902777778</v>
      </c>
      <c r="M530" s="7">
        <f t="shared" si="2"/>
        <v>0.03590277778</v>
      </c>
      <c r="P530" s="9"/>
      <c r="Q530" s="9">
        <f t="shared" si="3"/>
        <v>715.1833333</v>
      </c>
      <c r="R530" s="1" t="str">
        <f t="shared" si="4"/>
        <v>RYR</v>
      </c>
      <c r="S530" s="1" t="str">
        <f>IF($D530="LEBL", IF(COUNTIF('Paises ECAC'!B:B, C530)&gt;0, "ECAC","NO ECAC"), "")</f>
        <v>ECAC</v>
      </c>
    </row>
    <row r="531" ht="14.25" customHeight="1">
      <c r="A531" s="1" t="s">
        <v>766</v>
      </c>
      <c r="B531" s="1" t="s">
        <v>767</v>
      </c>
      <c r="C531" s="1" t="s">
        <v>21</v>
      </c>
      <c r="D531" s="1" t="s">
        <v>995</v>
      </c>
      <c r="E531" s="1" t="s">
        <v>768</v>
      </c>
      <c r="F531" s="1">
        <v>360.0</v>
      </c>
      <c r="G531" s="5">
        <v>0.5298611111111111</v>
      </c>
      <c r="H531" s="1">
        <v>20.0</v>
      </c>
      <c r="I531" s="5">
        <v>0.6111111111111112</v>
      </c>
      <c r="J531" s="1" t="str">
        <f t="array" ref="J531">XLOOKUP(B531,cat!B:B,cat!C:C)</f>
        <v>F</v>
      </c>
      <c r="K531" s="1">
        <f t="array" ref="K531">XLOOKUP(B531,cat!B:B,cat!D:D)</f>
        <v>4</v>
      </c>
      <c r="L531" s="7">
        <f t="shared" si="1"/>
        <v>0.08125</v>
      </c>
      <c r="M531" s="1" t="str">
        <f t="shared" si="2"/>
        <v/>
      </c>
      <c r="P531" s="9"/>
      <c r="Q531" s="9">
        <f t="shared" si="3"/>
        <v>0</v>
      </c>
      <c r="R531" s="1" t="str">
        <f t="shared" si="4"/>
        <v>AAO</v>
      </c>
      <c r="S531" s="1" t="str">
        <f>IF($D531="LEBL", IF(COUNTIF('Paises ECAC'!B:B, C531)&gt;0, "ECAC","NO ECAC"), "")</f>
        <v/>
      </c>
    </row>
    <row r="532" ht="14.25" customHeight="1">
      <c r="A532" s="1" t="s">
        <v>996</v>
      </c>
      <c r="B532" s="1" t="s">
        <v>30</v>
      </c>
      <c r="C532" s="1" t="s">
        <v>282</v>
      </c>
      <c r="D532" s="1" t="s">
        <v>21</v>
      </c>
      <c r="E532" s="1" t="s">
        <v>180</v>
      </c>
      <c r="F532" s="1">
        <v>260.0</v>
      </c>
      <c r="G532" s="5">
        <v>0.49166666666666664</v>
      </c>
      <c r="H532" s="1">
        <v>13.0</v>
      </c>
      <c r="I532" s="5">
        <v>0.5347222222222222</v>
      </c>
      <c r="J532" s="1" t="str">
        <f t="array" ref="J532">XLOOKUP(B532,cat!B:B,cat!C:C)</f>
        <v>D</v>
      </c>
      <c r="K532" s="1">
        <f t="array" ref="K532">XLOOKUP(B532,cat!B:B,cat!D:D)</f>
        <v>173</v>
      </c>
      <c r="L532" s="7">
        <f t="shared" si="1"/>
        <v>0.04305555556</v>
      </c>
      <c r="M532" s="7">
        <f t="shared" si="2"/>
        <v>0.02131944444</v>
      </c>
      <c r="P532" s="9"/>
      <c r="Q532" s="9">
        <f t="shared" si="3"/>
        <v>424.6833333</v>
      </c>
      <c r="R532" s="1" t="str">
        <f t="shared" si="4"/>
        <v>VLG</v>
      </c>
      <c r="S532" s="1" t="str">
        <f>IF($D532="LEBL", IF(COUNTIF('Paises ECAC'!B:B, C532)&gt;0, "ECAC","NO ECAC"), "")</f>
        <v>ECAC</v>
      </c>
    </row>
    <row r="533" ht="14.25" customHeight="1">
      <c r="A533" s="1" t="s">
        <v>997</v>
      </c>
      <c r="B533" s="1" t="s">
        <v>790</v>
      </c>
      <c r="C533" s="1" t="s">
        <v>21</v>
      </c>
      <c r="D533" s="1" t="s">
        <v>541</v>
      </c>
      <c r="E533" s="1" t="s">
        <v>791</v>
      </c>
      <c r="F533" s="1">
        <v>340.0</v>
      </c>
      <c r="G533" s="5">
        <v>0.5138888888888888</v>
      </c>
      <c r="H533" s="1">
        <v>20.0</v>
      </c>
      <c r="I533" s="5">
        <v>0.6145833333333334</v>
      </c>
      <c r="J533" s="1" t="str">
        <f t="array" ref="J533">XLOOKUP(B533,cat!B:B,cat!C:C)</f>
        <v>E</v>
      </c>
      <c r="K533" s="1">
        <f t="array" ref="K533">XLOOKUP(B533,cat!B:B,cat!D:D)</f>
        <v>49</v>
      </c>
      <c r="L533" s="7">
        <f t="shared" si="1"/>
        <v>0.1006944444</v>
      </c>
      <c r="M533" s="1" t="str">
        <f t="shared" si="2"/>
        <v/>
      </c>
      <c r="P533" s="9"/>
      <c r="Q533" s="9">
        <f t="shared" si="3"/>
        <v>0</v>
      </c>
      <c r="R533" s="1" t="str">
        <f t="shared" si="4"/>
        <v>AXY</v>
      </c>
      <c r="S533" s="1" t="str">
        <f>IF($D533="LEBL", IF(COUNTIF('Paises ECAC'!B:B, C533)&gt;0, "ECAC","NO ECAC"), "")</f>
        <v/>
      </c>
    </row>
    <row r="534" ht="14.25" customHeight="1">
      <c r="A534" s="1" t="s">
        <v>998</v>
      </c>
      <c r="B534" s="1" t="s">
        <v>30</v>
      </c>
      <c r="C534" s="1" t="s">
        <v>21</v>
      </c>
      <c r="D534" s="1" t="s">
        <v>282</v>
      </c>
      <c r="E534" s="1" t="s">
        <v>883</v>
      </c>
      <c r="F534" s="1">
        <v>270.0</v>
      </c>
      <c r="G534" s="5">
        <v>0.5333333333333333</v>
      </c>
      <c r="H534" s="1">
        <v>10.0</v>
      </c>
      <c r="I534" s="5">
        <v>0.5625</v>
      </c>
      <c r="J534" s="1" t="str">
        <f t="array" ref="J534">XLOOKUP(B534,cat!B:B,cat!C:C)</f>
        <v>D</v>
      </c>
      <c r="K534" s="1">
        <f t="array" ref="K534">XLOOKUP(B534,cat!B:B,cat!D:D)</f>
        <v>173</v>
      </c>
      <c r="L534" s="7">
        <f t="shared" si="1"/>
        <v>0.02916666667</v>
      </c>
      <c r="M534" s="1" t="str">
        <f t="shared" si="2"/>
        <v/>
      </c>
      <c r="P534" s="9"/>
      <c r="Q534" s="9">
        <f t="shared" si="3"/>
        <v>0</v>
      </c>
      <c r="R534" s="1" t="str">
        <f t="shared" si="4"/>
        <v>VLG</v>
      </c>
      <c r="S534" s="1" t="str">
        <f>IF($D534="LEBL", IF(COUNTIF('Paises ECAC'!B:B, C534)&gt;0, "ECAC","NO ECAC"), "")</f>
        <v/>
      </c>
    </row>
    <row r="535" ht="14.25" customHeight="1">
      <c r="A535" s="1" t="s">
        <v>999</v>
      </c>
      <c r="B535" s="1" t="s">
        <v>25</v>
      </c>
      <c r="C535" s="1" t="s">
        <v>107</v>
      </c>
      <c r="D535" s="1" t="s">
        <v>21</v>
      </c>
      <c r="E535" s="1" t="s">
        <v>1000</v>
      </c>
      <c r="F535" s="1">
        <v>380.0</v>
      </c>
      <c r="G535" s="5">
        <v>0.45694444444444443</v>
      </c>
      <c r="H535" s="1">
        <v>18.0</v>
      </c>
      <c r="I535" s="5">
        <v>0.5347222222222222</v>
      </c>
      <c r="J535" s="1" t="str">
        <f t="array" ref="J535">XLOOKUP(B535,cat!B:B,cat!C:C)</f>
        <v>D</v>
      </c>
      <c r="K535" s="1">
        <f t="array" ref="K535">XLOOKUP(B535,cat!B:B,cat!D:D)</f>
        <v>180</v>
      </c>
      <c r="L535" s="7">
        <f t="shared" si="1"/>
        <v>0.07777777778</v>
      </c>
      <c r="M535" s="7">
        <f t="shared" si="2"/>
        <v>0.05256944444</v>
      </c>
      <c r="P535" s="9"/>
      <c r="Q535" s="9">
        <f t="shared" si="3"/>
        <v>1047.183333</v>
      </c>
      <c r="R535" s="1" t="str">
        <f t="shared" si="4"/>
        <v>EJU</v>
      </c>
      <c r="S535" s="1" t="str">
        <f>IF($D535="LEBL", IF(COUNTIF('Paises ECAC'!B:B, C535)&gt;0, "ECAC","NO ECAC"), "")</f>
        <v>ECAC</v>
      </c>
    </row>
    <row r="536" ht="14.25" customHeight="1">
      <c r="A536" s="1" t="s">
        <v>1001</v>
      </c>
      <c r="B536" s="1" t="s">
        <v>19</v>
      </c>
      <c r="C536" s="1" t="s">
        <v>380</v>
      </c>
      <c r="D536" s="1" t="s">
        <v>21</v>
      </c>
      <c r="E536" s="1" t="s">
        <v>381</v>
      </c>
      <c r="F536" s="1">
        <v>390.0</v>
      </c>
      <c r="G536" s="5">
        <v>0.42291666666666666</v>
      </c>
      <c r="H536" s="1">
        <v>9.0</v>
      </c>
      <c r="I536" s="5">
        <v>0.5347222222222222</v>
      </c>
      <c r="J536" s="1" t="str">
        <f t="array" ref="J536">XLOOKUP(B536,cat!B:B,cat!C:C)</f>
        <v>D</v>
      </c>
      <c r="K536" s="1">
        <f t="array" ref="K536">XLOOKUP(B536,cat!B:B,cat!D:D)</f>
        <v>184</v>
      </c>
      <c r="L536" s="7">
        <f t="shared" si="1"/>
        <v>0.1118055556</v>
      </c>
      <c r="M536" s="7">
        <f t="shared" si="2"/>
        <v>0.09284722222</v>
      </c>
      <c r="P536" s="9"/>
      <c r="Q536" s="9">
        <f t="shared" si="3"/>
        <v>1849.516667</v>
      </c>
      <c r="R536" s="1" t="str">
        <f t="shared" si="4"/>
        <v>NSZ</v>
      </c>
      <c r="S536" s="1" t="str">
        <f>IF($D536="LEBL", IF(COUNTIF('Paises ECAC'!B:B, C536)&gt;0, "ECAC","NO ECAC"), "")</f>
        <v>ECAC</v>
      </c>
    </row>
    <row r="537" ht="14.25" customHeight="1">
      <c r="A537" s="1" t="s">
        <v>1002</v>
      </c>
      <c r="B537" s="1" t="s">
        <v>19</v>
      </c>
      <c r="C537" s="1" t="s">
        <v>21</v>
      </c>
      <c r="D537" s="1" t="s">
        <v>169</v>
      </c>
      <c r="E537" s="1" t="s">
        <v>887</v>
      </c>
      <c r="F537" s="1">
        <v>360.0</v>
      </c>
      <c r="G537" s="5">
        <v>0.5361111111111111</v>
      </c>
      <c r="H537" s="1">
        <v>20.0</v>
      </c>
      <c r="I537" s="5">
        <v>0.6076388888888888</v>
      </c>
      <c r="J537" s="1" t="str">
        <f t="array" ref="J537">XLOOKUP(B537,cat!B:B,cat!C:C)</f>
        <v>D</v>
      </c>
      <c r="K537" s="1">
        <f t="array" ref="K537">XLOOKUP(B537,cat!B:B,cat!D:D)</f>
        <v>184</v>
      </c>
      <c r="L537" s="7">
        <f t="shared" si="1"/>
        <v>0.07152777778</v>
      </c>
      <c r="M537" s="1" t="str">
        <f t="shared" si="2"/>
        <v/>
      </c>
      <c r="P537" s="9"/>
      <c r="Q537" s="9">
        <f t="shared" si="3"/>
        <v>0</v>
      </c>
      <c r="R537" s="1" t="str">
        <f t="shared" si="4"/>
        <v>TRA</v>
      </c>
      <c r="S537" s="1" t="str">
        <f>IF($D537="LEBL", IF(COUNTIF('Paises ECAC'!B:B, C537)&gt;0, "ECAC","NO ECAC"), "")</f>
        <v/>
      </c>
    </row>
    <row r="538" ht="14.25" customHeight="1">
      <c r="A538" s="1" t="s">
        <v>1003</v>
      </c>
      <c r="B538" s="1" t="s">
        <v>35</v>
      </c>
      <c r="C538" s="1" t="s">
        <v>21</v>
      </c>
      <c r="D538" s="1" t="s">
        <v>140</v>
      </c>
      <c r="E538" s="1" t="s">
        <v>263</v>
      </c>
      <c r="F538" s="1">
        <v>340.0</v>
      </c>
      <c r="G538" s="5">
        <v>0.5368055555555555</v>
      </c>
      <c r="H538" s="1">
        <v>12.0</v>
      </c>
      <c r="I538" s="5">
        <v>0.5902777777777778</v>
      </c>
      <c r="J538" s="1" t="str">
        <f t="array" ref="J538">XLOOKUP(B538,cat!B:B,cat!C:C)</f>
        <v>D</v>
      </c>
      <c r="K538" s="1">
        <f t="array" ref="K538">XLOOKUP(B538,cat!B:B,cat!D:D)</f>
        <v>207</v>
      </c>
      <c r="L538" s="7">
        <f t="shared" si="1"/>
        <v>0.05347222222</v>
      </c>
      <c r="M538" s="1" t="str">
        <f t="shared" si="2"/>
        <v/>
      </c>
      <c r="P538" s="9"/>
      <c r="Q538" s="9">
        <f t="shared" si="3"/>
        <v>0</v>
      </c>
      <c r="R538" s="1" t="str">
        <f t="shared" si="4"/>
        <v>VLG</v>
      </c>
      <c r="S538" s="1" t="str">
        <f>IF($D538="LEBL", IF(COUNTIF('Paises ECAC'!B:B, C538)&gt;0, "ECAC","NO ECAC"), "")</f>
        <v/>
      </c>
    </row>
    <row r="539" ht="14.25" customHeight="1">
      <c r="A539" s="1" t="s">
        <v>1004</v>
      </c>
      <c r="B539" s="1" t="s">
        <v>30</v>
      </c>
      <c r="C539" s="1" t="s">
        <v>322</v>
      </c>
      <c r="D539" s="1" t="s">
        <v>21</v>
      </c>
      <c r="E539" s="1" t="s">
        <v>1005</v>
      </c>
      <c r="F539" s="1">
        <v>340.0</v>
      </c>
      <c r="G539" s="5">
        <v>0.48194444444444445</v>
      </c>
      <c r="H539" s="1">
        <v>10.0</v>
      </c>
      <c r="I539" s="5">
        <v>0.5381944444444444</v>
      </c>
      <c r="J539" s="1" t="str">
        <f t="array" ref="J539">XLOOKUP(B539,cat!B:B,cat!C:C)</f>
        <v>D</v>
      </c>
      <c r="K539" s="1">
        <f t="array" ref="K539">XLOOKUP(B539,cat!B:B,cat!D:D)</f>
        <v>173</v>
      </c>
      <c r="L539" s="7">
        <f t="shared" si="1"/>
        <v>0.05625</v>
      </c>
      <c r="M539" s="7">
        <f t="shared" si="2"/>
        <v>0.03659722222</v>
      </c>
      <c r="P539" s="9"/>
      <c r="Q539" s="9">
        <f t="shared" si="3"/>
        <v>729.0166667</v>
      </c>
      <c r="R539" s="1" t="str">
        <f t="shared" si="4"/>
        <v>VLG</v>
      </c>
      <c r="S539" s="1" t="str">
        <f>IF($D539="LEBL", IF(COUNTIF('Paises ECAC'!B:B, C539)&gt;0, "ECAC","NO ECAC"), "")</f>
        <v>ECAC</v>
      </c>
    </row>
    <row r="540" ht="14.25" customHeight="1">
      <c r="A540" s="1" t="s">
        <v>1006</v>
      </c>
      <c r="B540" s="1" t="s">
        <v>30</v>
      </c>
      <c r="C540" s="1" t="s">
        <v>21</v>
      </c>
      <c r="D540" s="1" t="s">
        <v>74</v>
      </c>
      <c r="E540" s="1" t="s">
        <v>318</v>
      </c>
      <c r="F540" s="1">
        <v>340.0</v>
      </c>
      <c r="G540" s="5">
        <v>0.53125</v>
      </c>
      <c r="H540" s="1">
        <v>10.0</v>
      </c>
      <c r="I540" s="5">
        <v>0.5902777777777778</v>
      </c>
      <c r="J540" s="1" t="str">
        <f t="array" ref="J540">XLOOKUP(B540,cat!B:B,cat!C:C)</f>
        <v>D</v>
      </c>
      <c r="K540" s="1">
        <f t="array" ref="K540">XLOOKUP(B540,cat!B:B,cat!D:D)</f>
        <v>173</v>
      </c>
      <c r="L540" s="7">
        <f t="shared" si="1"/>
        <v>0.05902777778</v>
      </c>
      <c r="M540" s="1" t="str">
        <f t="shared" si="2"/>
        <v/>
      </c>
      <c r="P540" s="9"/>
      <c r="Q540" s="9">
        <f t="shared" si="3"/>
        <v>0</v>
      </c>
      <c r="R540" s="1" t="str">
        <f t="shared" si="4"/>
        <v>VLG</v>
      </c>
      <c r="S540" s="1" t="str">
        <f>IF($D540="LEBL", IF(COUNTIF('Paises ECAC'!B:B, C540)&gt;0, "ECAC","NO ECAC"), "")</f>
        <v/>
      </c>
    </row>
    <row r="541" ht="14.25" customHeight="1">
      <c r="A541" s="1" t="s">
        <v>1007</v>
      </c>
      <c r="B541" s="1" t="s">
        <v>576</v>
      </c>
      <c r="C541" s="1" t="s">
        <v>1008</v>
      </c>
      <c r="D541" s="1" t="s">
        <v>21</v>
      </c>
      <c r="E541" s="1" t="s">
        <v>1009</v>
      </c>
      <c r="F541" s="1">
        <v>380.0</v>
      </c>
      <c r="G541" s="5">
        <v>0.3125</v>
      </c>
      <c r="H541" s="1">
        <v>0.0</v>
      </c>
      <c r="I541" s="5">
        <v>0.5381944444444444</v>
      </c>
      <c r="J541" s="1" t="str">
        <f t="array" ref="J541">XLOOKUP(B541,cat!B:B,cat!C:C)</f>
        <v>B</v>
      </c>
      <c r="K541" s="1">
        <f t="array" ref="K541">XLOOKUP(B541,cat!B:B,cat!D:D)</f>
        <v>284</v>
      </c>
      <c r="L541" s="7">
        <f t="shared" si="1"/>
        <v>0.2256944444</v>
      </c>
      <c r="M541" s="7">
        <f t="shared" si="2"/>
        <v>0.2129861111</v>
      </c>
      <c r="P541" s="9"/>
      <c r="Q541" s="9">
        <f t="shared" si="3"/>
        <v>4600.5</v>
      </c>
      <c r="R541" s="1" t="str">
        <f t="shared" si="4"/>
        <v>SVA</v>
      </c>
      <c r="S541" s="1" t="str">
        <f>IF($D541="LEBL", IF(COUNTIF('Paises ECAC'!B:B, C541)&gt;0, "ECAC","NO ECAC"), "")</f>
        <v>NO ECAC</v>
      </c>
    </row>
    <row r="542" ht="14.25" customHeight="1">
      <c r="A542" s="1" t="s">
        <v>1010</v>
      </c>
      <c r="B542" s="1" t="s">
        <v>35</v>
      </c>
      <c r="C542" s="1" t="s">
        <v>21</v>
      </c>
      <c r="D542" s="1" t="s">
        <v>343</v>
      </c>
      <c r="E542" s="1" t="s">
        <v>867</v>
      </c>
      <c r="F542" s="1">
        <v>360.0</v>
      </c>
      <c r="G542" s="5">
        <v>0.5381944444444444</v>
      </c>
      <c r="H542" s="1">
        <v>12.0</v>
      </c>
      <c r="I542" s="5">
        <v>0.6597222222222222</v>
      </c>
      <c r="J542" s="1" t="str">
        <f t="array" ref="J542">XLOOKUP(B542,cat!B:B,cat!C:C)</f>
        <v>D</v>
      </c>
      <c r="K542" s="1">
        <f t="array" ref="K542">XLOOKUP(B542,cat!B:B,cat!D:D)</f>
        <v>207</v>
      </c>
      <c r="L542" s="7">
        <f t="shared" si="1"/>
        <v>0.1215277778</v>
      </c>
      <c r="M542" s="1" t="str">
        <f t="shared" si="2"/>
        <v/>
      </c>
      <c r="P542" s="9"/>
      <c r="Q542" s="9">
        <f t="shared" si="3"/>
        <v>0</v>
      </c>
      <c r="R542" s="1" t="str">
        <f t="shared" si="4"/>
        <v>THY</v>
      </c>
      <c r="S542" s="1" t="str">
        <f>IF($D542="LEBL", IF(COUNTIF('Paises ECAC'!B:B, C542)&gt;0, "ECAC","NO ECAC"), "")</f>
        <v/>
      </c>
    </row>
    <row r="543" ht="14.25" customHeight="1">
      <c r="A543" s="1" t="s">
        <v>1011</v>
      </c>
      <c r="B543" s="1" t="s">
        <v>212</v>
      </c>
      <c r="C543" s="1" t="s">
        <v>1012</v>
      </c>
      <c r="D543" s="1" t="s">
        <v>21</v>
      </c>
      <c r="E543" s="1" t="s">
        <v>1013</v>
      </c>
      <c r="F543" s="1">
        <v>360.0</v>
      </c>
      <c r="G543" s="5">
        <v>0.3854166666666667</v>
      </c>
      <c r="H543" s="1">
        <v>15.0</v>
      </c>
      <c r="I543" s="5">
        <v>0.5381944444444444</v>
      </c>
      <c r="J543" s="1" t="str">
        <f t="array" ref="J543">XLOOKUP(B543,cat!B:B,cat!C:C)</f>
        <v>D</v>
      </c>
      <c r="K543" s="1">
        <f t="array" ref="K543">XLOOKUP(B543,cat!B:B,cat!D:D)</f>
        <v>200</v>
      </c>
      <c r="L543" s="7">
        <f t="shared" si="1"/>
        <v>0.1527777778</v>
      </c>
      <c r="M543" s="7">
        <f t="shared" si="2"/>
        <v>0.1296527778</v>
      </c>
      <c r="P543" s="9"/>
      <c r="Q543" s="9">
        <f t="shared" si="3"/>
        <v>2582.683333</v>
      </c>
      <c r="R543" s="1" t="str">
        <f t="shared" si="4"/>
        <v>MSR</v>
      </c>
      <c r="S543" s="1" t="str">
        <f>IF($D543="LEBL", IF(COUNTIF('Paises ECAC'!B:B, C543)&gt;0, "ECAC","NO ECAC"), "")</f>
        <v>NO ECAC</v>
      </c>
    </row>
    <row r="544" ht="14.25" customHeight="1">
      <c r="A544" s="1" t="s">
        <v>1014</v>
      </c>
      <c r="B544" s="1" t="s">
        <v>25</v>
      </c>
      <c r="C544" s="1" t="s">
        <v>287</v>
      </c>
      <c r="D544" s="1" t="s">
        <v>21</v>
      </c>
      <c r="E544" s="1" t="s">
        <v>1015</v>
      </c>
      <c r="F544" s="1">
        <v>390.0</v>
      </c>
      <c r="G544" s="5">
        <v>0.47708333333333336</v>
      </c>
      <c r="H544" s="1">
        <v>11.0</v>
      </c>
      <c r="I544" s="5">
        <v>0.5381944444444444</v>
      </c>
      <c r="J544" s="1" t="str">
        <f t="array" ref="J544">XLOOKUP(B544,cat!B:B,cat!C:C)</f>
        <v>D</v>
      </c>
      <c r="K544" s="1">
        <f t="array" ref="K544">XLOOKUP(B544,cat!B:B,cat!D:D)</f>
        <v>180</v>
      </c>
      <c r="L544" s="7">
        <f t="shared" si="1"/>
        <v>0.06111111111</v>
      </c>
      <c r="M544" s="7">
        <f t="shared" si="2"/>
        <v>0.04076388889</v>
      </c>
      <c r="P544" s="9"/>
      <c r="Q544" s="9">
        <f t="shared" si="3"/>
        <v>812.0166667</v>
      </c>
      <c r="R544" s="1" t="str">
        <f t="shared" si="4"/>
        <v>DLH</v>
      </c>
      <c r="S544" s="1" t="str">
        <f>IF($D544="LEBL", IF(COUNTIF('Paises ECAC'!B:B, C544)&gt;0, "ECAC","NO ECAC"), "")</f>
        <v>ECAC</v>
      </c>
    </row>
    <row r="545" ht="14.25" customHeight="1">
      <c r="A545" s="1" t="s">
        <v>1016</v>
      </c>
      <c r="B545" s="1" t="s">
        <v>182</v>
      </c>
      <c r="C545" s="1" t="s">
        <v>21</v>
      </c>
      <c r="D545" s="1" t="s">
        <v>745</v>
      </c>
      <c r="E545" s="1" t="s">
        <v>746</v>
      </c>
      <c r="F545" s="1">
        <v>380.0</v>
      </c>
      <c r="G545" s="5">
        <v>0.5388888888888889</v>
      </c>
      <c r="H545" s="1">
        <v>23.0</v>
      </c>
      <c r="I545" s="5">
        <v>0.9305555555555556</v>
      </c>
      <c r="J545" s="1" t="str">
        <f t="array" ref="J545">XLOOKUP(B545,cat!B:B,cat!C:C)</f>
        <v>B</v>
      </c>
      <c r="K545" s="1">
        <f t="array" ref="K545">XLOOKUP(B545,cat!B:B,cat!D:D)</f>
        <v>284</v>
      </c>
      <c r="L545" s="7">
        <f t="shared" si="1"/>
        <v>0.3916666667</v>
      </c>
      <c r="M545" s="1" t="str">
        <f t="shared" si="2"/>
        <v/>
      </c>
      <c r="P545" s="9"/>
      <c r="Q545" s="9">
        <f t="shared" si="3"/>
        <v>0</v>
      </c>
      <c r="R545" s="1" t="str">
        <f t="shared" si="4"/>
        <v>WJA</v>
      </c>
      <c r="S545" s="1" t="str">
        <f>IF($D545="LEBL", IF(COUNTIF('Paises ECAC'!B:B, C545)&gt;0, "ECAC","NO ECAC"), "")</f>
        <v/>
      </c>
    </row>
    <row r="546" ht="14.25" customHeight="1">
      <c r="A546" s="1" t="s">
        <v>1017</v>
      </c>
      <c r="B546" s="1" t="s">
        <v>25</v>
      </c>
      <c r="C546" s="1" t="s">
        <v>1018</v>
      </c>
      <c r="D546" s="1" t="s">
        <v>21</v>
      </c>
      <c r="E546" s="1" t="s">
        <v>1019</v>
      </c>
      <c r="F546" s="1">
        <v>370.0</v>
      </c>
      <c r="G546" s="5">
        <v>0.3576388888888889</v>
      </c>
      <c r="H546" s="1">
        <v>10.0</v>
      </c>
      <c r="I546" s="5">
        <v>0.5416666666666666</v>
      </c>
      <c r="J546" s="1" t="str">
        <f t="array" ref="J546">XLOOKUP(B546,cat!B:B,cat!C:C)</f>
        <v>D</v>
      </c>
      <c r="K546" s="1">
        <f t="array" ref="K546">XLOOKUP(B546,cat!B:B,cat!D:D)</f>
        <v>180</v>
      </c>
      <c r="L546" s="7">
        <f t="shared" si="1"/>
        <v>0.1840277778</v>
      </c>
      <c r="M546" s="7">
        <f t="shared" si="2"/>
        <v>0.164375</v>
      </c>
      <c r="P546" s="9"/>
      <c r="Q546" s="9">
        <f t="shared" si="3"/>
        <v>3274.35</v>
      </c>
      <c r="R546" s="1" t="str">
        <f t="shared" si="4"/>
        <v>RJA</v>
      </c>
      <c r="S546" s="1" t="str">
        <f>IF($D546="LEBL", IF(COUNTIF('Paises ECAC'!B:B, C546)&gt;0, "ECAC","NO ECAC"), "")</f>
        <v>NO ECAC</v>
      </c>
    </row>
    <row r="547" ht="14.25" customHeight="1">
      <c r="A547" s="1" t="s">
        <v>1020</v>
      </c>
      <c r="B547" s="1" t="s">
        <v>30</v>
      </c>
      <c r="C547" s="1" t="s">
        <v>1021</v>
      </c>
      <c r="D547" s="1" t="s">
        <v>21</v>
      </c>
      <c r="E547" s="1" t="s">
        <v>1022</v>
      </c>
      <c r="F547" s="1">
        <v>380.0</v>
      </c>
      <c r="G547" s="5">
        <v>0.4444444444444444</v>
      </c>
      <c r="H547" s="1">
        <v>10.0</v>
      </c>
      <c r="I547" s="5">
        <v>0.5416666666666666</v>
      </c>
      <c r="J547" s="1" t="str">
        <f t="array" ref="J547">XLOOKUP(B547,cat!B:B,cat!C:C)</f>
        <v>D</v>
      </c>
      <c r="K547" s="1">
        <f t="array" ref="K547">XLOOKUP(B547,cat!B:B,cat!D:D)</f>
        <v>173</v>
      </c>
      <c r="L547" s="7">
        <f t="shared" si="1"/>
        <v>0.09722222222</v>
      </c>
      <c r="M547" s="7">
        <f t="shared" si="2"/>
        <v>0.07756944444</v>
      </c>
      <c r="P547" s="9"/>
      <c r="Q547" s="9">
        <f t="shared" si="3"/>
        <v>1545.183333</v>
      </c>
      <c r="R547" s="1" t="str">
        <f t="shared" si="4"/>
        <v>WZZ</v>
      </c>
      <c r="S547" s="1" t="str">
        <f>IF($D547="LEBL", IF(COUNTIF('Paises ECAC'!B:B, C547)&gt;0, "ECAC","NO ECAC"), "")</f>
        <v>ECAC</v>
      </c>
    </row>
    <row r="548" ht="14.25" customHeight="1">
      <c r="A548" s="1" t="s">
        <v>1023</v>
      </c>
      <c r="B548" s="1" t="s">
        <v>30</v>
      </c>
      <c r="C548" s="1" t="s">
        <v>192</v>
      </c>
      <c r="D548" s="1" t="s">
        <v>21</v>
      </c>
      <c r="E548" s="1" t="s">
        <v>1024</v>
      </c>
      <c r="F548" s="1">
        <v>360.0</v>
      </c>
      <c r="G548" s="5">
        <v>0.48333333333333334</v>
      </c>
      <c r="H548" s="1">
        <v>16.0</v>
      </c>
      <c r="I548" s="5">
        <v>0.5416666666666666</v>
      </c>
      <c r="J548" s="1" t="str">
        <f t="array" ref="J548">XLOOKUP(B548,cat!B:B,cat!C:C)</f>
        <v>D</v>
      </c>
      <c r="K548" s="1">
        <f t="array" ref="K548">XLOOKUP(B548,cat!B:B,cat!D:D)</f>
        <v>173</v>
      </c>
      <c r="L548" s="7">
        <f t="shared" si="1"/>
        <v>0.05833333333</v>
      </c>
      <c r="M548" s="7">
        <f t="shared" si="2"/>
        <v>0.03451388889</v>
      </c>
      <c r="P548" s="9"/>
      <c r="Q548" s="9">
        <f t="shared" si="3"/>
        <v>687.5166667</v>
      </c>
      <c r="R548" s="1" t="str">
        <f t="shared" si="4"/>
        <v>VLG</v>
      </c>
      <c r="S548" s="1" t="str">
        <f>IF($D548="LEBL", IF(COUNTIF('Paises ECAC'!B:B, C548)&gt;0, "ECAC","NO ECAC"), "")</f>
        <v>ECAC</v>
      </c>
    </row>
    <row r="549" ht="14.25" customHeight="1">
      <c r="A549" s="1" t="s">
        <v>1025</v>
      </c>
      <c r="B549" s="1" t="s">
        <v>19</v>
      </c>
      <c r="C549" s="1" t="s">
        <v>156</v>
      </c>
      <c r="D549" s="1" t="s">
        <v>21</v>
      </c>
      <c r="E549" s="1" t="s">
        <v>313</v>
      </c>
      <c r="F549" s="1">
        <v>180.0</v>
      </c>
      <c r="G549" s="5">
        <v>0.49722222222222223</v>
      </c>
      <c r="H549" s="1">
        <v>17.0</v>
      </c>
      <c r="I549" s="5">
        <v>0.5416666666666666</v>
      </c>
      <c r="J549" s="1" t="str">
        <f t="array" ref="J549">XLOOKUP(B549,cat!B:B,cat!C:C)</f>
        <v>D</v>
      </c>
      <c r="K549" s="1">
        <f t="array" ref="K549">XLOOKUP(B549,cat!B:B,cat!D:D)</f>
        <v>184</v>
      </c>
      <c r="L549" s="7">
        <f t="shared" si="1"/>
        <v>0.04444444444</v>
      </c>
      <c r="M549" s="7">
        <f t="shared" si="2"/>
        <v>0.01993055556</v>
      </c>
      <c r="P549" s="9"/>
      <c r="Q549" s="9">
        <f t="shared" si="3"/>
        <v>397.0166667</v>
      </c>
      <c r="R549" s="1" t="str">
        <f t="shared" si="4"/>
        <v>AEA</v>
      </c>
      <c r="S549" s="1" t="str">
        <f>IF($D549="LEBL", IF(COUNTIF('Paises ECAC'!B:B, C549)&gt;0, "ECAC","NO ECAC"), "")</f>
        <v>ECAC</v>
      </c>
    </row>
    <row r="550" ht="14.25" customHeight="1">
      <c r="A550" s="1" t="s">
        <v>1026</v>
      </c>
      <c r="B550" s="1" t="s">
        <v>35</v>
      </c>
      <c r="C550" s="1" t="s">
        <v>290</v>
      </c>
      <c r="D550" s="1" t="s">
        <v>21</v>
      </c>
      <c r="E550" s="1" t="s">
        <v>1027</v>
      </c>
      <c r="F550" s="1">
        <v>350.0</v>
      </c>
      <c r="G550" s="5">
        <v>0.4395833333333333</v>
      </c>
      <c r="H550" s="1">
        <v>10.0</v>
      </c>
      <c r="I550" s="5">
        <v>0.5451388888888888</v>
      </c>
      <c r="J550" s="1" t="str">
        <f t="array" ref="J550">XLOOKUP(B550,cat!B:B,cat!C:C)</f>
        <v>D</v>
      </c>
      <c r="K550" s="1">
        <f t="array" ref="K550">XLOOKUP(B550,cat!B:B,cat!D:D)</f>
        <v>207</v>
      </c>
      <c r="L550" s="7">
        <f t="shared" si="1"/>
        <v>0.1055555556</v>
      </c>
      <c r="M550" s="7">
        <f t="shared" si="2"/>
        <v>0.08590277778</v>
      </c>
      <c r="P550" s="9"/>
      <c r="Q550" s="9">
        <f t="shared" si="3"/>
        <v>1711.183333</v>
      </c>
      <c r="R550" s="1" t="str">
        <f t="shared" si="4"/>
        <v>WMT</v>
      </c>
      <c r="S550" s="1" t="str">
        <f>IF($D550="LEBL", IF(COUNTIF('Paises ECAC'!B:B, C550)&gt;0, "ECAC","NO ECAC"), "")</f>
        <v>ECAC</v>
      </c>
    </row>
    <row r="551" ht="14.25" customHeight="1">
      <c r="A551" s="1" t="s">
        <v>1028</v>
      </c>
      <c r="B551" s="1" t="s">
        <v>35</v>
      </c>
      <c r="C551" s="1" t="s">
        <v>251</v>
      </c>
      <c r="D551" s="1" t="s">
        <v>21</v>
      </c>
      <c r="E551" s="1" t="s">
        <v>193</v>
      </c>
      <c r="F551" s="1">
        <v>340.0</v>
      </c>
      <c r="G551" s="5">
        <v>0.5</v>
      </c>
      <c r="H551" s="1">
        <v>5.0</v>
      </c>
      <c r="I551" s="5">
        <v>0.5451388888888888</v>
      </c>
      <c r="J551" s="1" t="str">
        <f t="array" ref="J551">XLOOKUP(B551,cat!B:B,cat!C:C)</f>
        <v>D</v>
      </c>
      <c r="K551" s="1">
        <f t="array" ref="K551">XLOOKUP(B551,cat!B:B,cat!D:D)</f>
        <v>207</v>
      </c>
      <c r="L551" s="7">
        <f t="shared" si="1"/>
        <v>0.04513888889</v>
      </c>
      <c r="M551" s="7">
        <f t="shared" si="2"/>
        <v>0.02895833333</v>
      </c>
      <c r="P551" s="9"/>
      <c r="Q551" s="9">
        <f t="shared" si="3"/>
        <v>576.85</v>
      </c>
      <c r="R551" s="1" t="str">
        <f t="shared" si="4"/>
        <v>VLG</v>
      </c>
      <c r="S551" s="1" t="str">
        <f>IF($D551="LEBL", IF(COUNTIF('Paises ECAC'!B:B, C551)&gt;0, "ECAC","NO ECAC"), "")</f>
        <v>ECAC</v>
      </c>
    </row>
    <row r="552" ht="14.25" customHeight="1">
      <c r="A552" s="1" t="s">
        <v>1029</v>
      </c>
      <c r="B552" s="1" t="s">
        <v>19</v>
      </c>
      <c r="C552" s="1" t="s">
        <v>21</v>
      </c>
      <c r="D552" s="1" t="s">
        <v>20</v>
      </c>
      <c r="E552" s="1" t="s">
        <v>920</v>
      </c>
      <c r="F552" s="1">
        <v>330.0</v>
      </c>
      <c r="G552" s="5">
        <v>0.5527777777777778</v>
      </c>
      <c r="H552" s="1">
        <v>20.0</v>
      </c>
      <c r="I552" s="5">
        <v>0.6041666666666666</v>
      </c>
      <c r="J552" s="1" t="str">
        <f t="array" ref="J552">XLOOKUP(B552,cat!B:B,cat!C:C)</f>
        <v>D</v>
      </c>
      <c r="K552" s="1">
        <f t="array" ref="K552">XLOOKUP(B552,cat!B:B,cat!D:D)</f>
        <v>184</v>
      </c>
      <c r="L552" s="7">
        <f t="shared" si="1"/>
        <v>0.05138888889</v>
      </c>
      <c r="M552" s="1" t="str">
        <f t="shared" si="2"/>
        <v/>
      </c>
      <c r="P552" s="9"/>
      <c r="Q552" s="9">
        <f t="shared" si="3"/>
        <v>0</v>
      </c>
      <c r="R552" s="1" t="str">
        <f t="shared" si="4"/>
        <v>RYR</v>
      </c>
      <c r="S552" s="1" t="str">
        <f>IF($D552="LEBL", IF(COUNTIF('Paises ECAC'!B:B, C552)&gt;0, "ECAC","NO ECAC"), "")</f>
        <v/>
      </c>
    </row>
    <row r="553" ht="14.25" customHeight="1">
      <c r="A553" s="1" t="s">
        <v>1030</v>
      </c>
      <c r="B553" s="1" t="s">
        <v>136</v>
      </c>
      <c r="C553" s="1" t="s">
        <v>267</v>
      </c>
      <c r="D553" s="1" t="s">
        <v>21</v>
      </c>
      <c r="E553" s="1" t="s">
        <v>1031</v>
      </c>
      <c r="F553" s="1">
        <v>350.0</v>
      </c>
      <c r="G553" s="5">
        <v>0.48819444444444443</v>
      </c>
      <c r="H553" s="1">
        <v>8.0</v>
      </c>
      <c r="I553" s="5">
        <v>0.5486111111111112</v>
      </c>
      <c r="J553" s="1" t="str">
        <f t="array" ref="J553">XLOOKUP(B553,cat!B:B,cat!C:C)</f>
        <v>D</v>
      </c>
      <c r="K553" s="1">
        <f t="array" ref="K553">XLOOKUP(B553,cat!B:B,cat!D:D)</f>
        <v>144</v>
      </c>
      <c r="L553" s="7">
        <f t="shared" si="1"/>
        <v>0.06041666667</v>
      </c>
      <c r="M553" s="7">
        <f t="shared" si="2"/>
        <v>0.04215277778</v>
      </c>
      <c r="P553" s="9"/>
      <c r="Q553" s="9">
        <f t="shared" si="3"/>
        <v>839.6833333</v>
      </c>
      <c r="R553" s="1" t="str">
        <f t="shared" si="4"/>
        <v>EWG</v>
      </c>
      <c r="S553" s="1" t="str">
        <f>IF($D553="LEBL", IF(COUNTIF('Paises ECAC'!B:B, C553)&gt;0, "ECAC","NO ECAC"), "")</f>
        <v>ECAC</v>
      </c>
    </row>
    <row r="554" ht="14.25" customHeight="1">
      <c r="A554" s="1" t="s">
        <v>1032</v>
      </c>
      <c r="B554" s="1" t="s">
        <v>212</v>
      </c>
      <c r="C554" s="1" t="s">
        <v>21</v>
      </c>
      <c r="D554" s="1" t="s">
        <v>295</v>
      </c>
      <c r="E554" s="1" t="s">
        <v>837</v>
      </c>
      <c r="F554" s="1">
        <v>360.0</v>
      </c>
      <c r="G554" s="5">
        <v>0.5465277777777777</v>
      </c>
      <c r="H554" s="1">
        <v>17.0</v>
      </c>
      <c r="I554" s="5">
        <v>0.8472222222222222</v>
      </c>
      <c r="J554" s="1" t="str">
        <f t="array" ref="J554">XLOOKUP(B554,cat!B:B,cat!C:C)</f>
        <v>D</v>
      </c>
      <c r="K554" s="1">
        <f t="array" ref="K554">XLOOKUP(B554,cat!B:B,cat!D:D)</f>
        <v>200</v>
      </c>
      <c r="L554" s="7">
        <f t="shared" si="1"/>
        <v>0.3006944444</v>
      </c>
      <c r="M554" s="1" t="str">
        <f t="shared" si="2"/>
        <v/>
      </c>
      <c r="P554" s="9"/>
      <c r="Q554" s="9">
        <f t="shared" si="3"/>
        <v>0</v>
      </c>
      <c r="R554" s="1" t="str">
        <f t="shared" si="4"/>
        <v>TSC</v>
      </c>
      <c r="S554" s="1" t="str">
        <f>IF($D554="LEBL", IF(COUNTIF('Paises ECAC'!B:B, C554)&gt;0, "ECAC","NO ECAC"), "")</f>
        <v/>
      </c>
    </row>
    <row r="555" ht="14.25" customHeight="1">
      <c r="A555" s="1" t="s">
        <v>1033</v>
      </c>
      <c r="B555" s="1" t="s">
        <v>212</v>
      </c>
      <c r="C555" s="1" t="s">
        <v>100</v>
      </c>
      <c r="D555" s="1" t="s">
        <v>21</v>
      </c>
      <c r="E555" s="1" t="s">
        <v>1034</v>
      </c>
      <c r="F555" s="1">
        <v>350.0</v>
      </c>
      <c r="G555" s="5">
        <v>0.48680555555555555</v>
      </c>
      <c r="H555" s="1">
        <v>11.0</v>
      </c>
      <c r="I555" s="5">
        <v>0.5486111111111112</v>
      </c>
      <c r="J555" s="1" t="str">
        <f t="array" ref="J555">XLOOKUP(B555,cat!B:B,cat!C:C)</f>
        <v>D</v>
      </c>
      <c r="K555" s="1">
        <f t="array" ref="K555">XLOOKUP(B555,cat!B:B,cat!D:D)</f>
        <v>200</v>
      </c>
      <c r="L555" s="7">
        <f t="shared" si="1"/>
        <v>0.06180555556</v>
      </c>
      <c r="M555" s="7">
        <f t="shared" si="2"/>
        <v>0.04145833333</v>
      </c>
      <c r="P555" s="9"/>
      <c r="Q555" s="9">
        <f t="shared" si="3"/>
        <v>825.85</v>
      </c>
      <c r="R555" s="1" t="str">
        <f t="shared" si="4"/>
        <v>WMT</v>
      </c>
      <c r="S555" s="1" t="str">
        <f>IF($D555="LEBL", IF(COUNTIF('Paises ECAC'!B:B, C555)&gt;0, "ECAC","NO ECAC"), "")</f>
        <v>ECAC</v>
      </c>
    </row>
    <row r="556" ht="14.25" customHeight="1">
      <c r="A556" s="1" t="s">
        <v>1035</v>
      </c>
      <c r="B556" s="1" t="s">
        <v>19</v>
      </c>
      <c r="C556" s="1" t="s">
        <v>21</v>
      </c>
      <c r="D556" s="1" t="s">
        <v>110</v>
      </c>
      <c r="E556" s="1" t="s">
        <v>167</v>
      </c>
      <c r="F556" s="1">
        <v>340.0</v>
      </c>
      <c r="G556" s="5">
        <v>0.5451388888888888</v>
      </c>
      <c r="H556" s="1">
        <v>20.0</v>
      </c>
      <c r="I556" s="5">
        <v>0.6076388888888888</v>
      </c>
      <c r="J556" s="1" t="str">
        <f t="array" ref="J556">XLOOKUP(B556,cat!B:B,cat!C:C)</f>
        <v>D</v>
      </c>
      <c r="K556" s="1">
        <f t="array" ref="K556">XLOOKUP(B556,cat!B:B,cat!D:D)</f>
        <v>184</v>
      </c>
      <c r="L556" s="7">
        <f t="shared" si="1"/>
        <v>0.0625</v>
      </c>
      <c r="M556" s="1" t="str">
        <f t="shared" si="2"/>
        <v/>
      </c>
      <c r="P556" s="9"/>
      <c r="Q556" s="9">
        <f t="shared" si="3"/>
        <v>0</v>
      </c>
      <c r="R556" s="1" t="str">
        <f t="shared" si="4"/>
        <v>RYR</v>
      </c>
      <c r="S556" s="1" t="str">
        <f>IF($D556="LEBL", IF(COUNTIF('Paises ECAC'!B:B, C556)&gt;0, "ECAC","NO ECAC"), "")</f>
        <v/>
      </c>
    </row>
    <row r="557" ht="14.25" customHeight="1">
      <c r="A557" s="1" t="s">
        <v>1036</v>
      </c>
      <c r="B557" s="1" t="s">
        <v>25</v>
      </c>
      <c r="C557" s="1" t="s">
        <v>74</v>
      </c>
      <c r="D557" s="1" t="s">
        <v>21</v>
      </c>
      <c r="E557" s="1" t="s">
        <v>225</v>
      </c>
      <c r="F557" s="1">
        <v>390.0</v>
      </c>
      <c r="G557" s="5">
        <v>0.49722222222222223</v>
      </c>
      <c r="H557" s="1">
        <v>8.0</v>
      </c>
      <c r="I557" s="5">
        <v>0.5520833333333334</v>
      </c>
      <c r="J557" s="1" t="str">
        <f t="array" ref="J557">XLOOKUP(B557,cat!B:B,cat!C:C)</f>
        <v>D</v>
      </c>
      <c r="K557" s="1">
        <f t="array" ref="K557">XLOOKUP(B557,cat!B:B,cat!D:D)</f>
        <v>180</v>
      </c>
      <c r="L557" s="7">
        <f t="shared" si="1"/>
        <v>0.05486111111</v>
      </c>
      <c r="M557" s="7">
        <f t="shared" si="2"/>
        <v>0.03659722222</v>
      </c>
      <c r="P557" s="9"/>
      <c r="Q557" s="9">
        <f t="shared" si="3"/>
        <v>729.0166667</v>
      </c>
      <c r="R557" s="1" t="str">
        <f t="shared" si="4"/>
        <v>VLG</v>
      </c>
      <c r="S557" s="1" t="str">
        <f>IF($D557="LEBL", IF(COUNTIF('Paises ECAC'!B:B, C557)&gt;0, "ECAC","NO ECAC"), "")</f>
        <v>ECAC</v>
      </c>
    </row>
    <row r="558" ht="14.25" customHeight="1">
      <c r="A558" s="1" t="s">
        <v>1037</v>
      </c>
      <c r="B558" s="1" t="s">
        <v>35</v>
      </c>
      <c r="C558" s="1" t="s">
        <v>21</v>
      </c>
      <c r="D558" s="1" t="s">
        <v>279</v>
      </c>
      <c r="E558" s="1" t="s">
        <v>305</v>
      </c>
      <c r="F558" s="1">
        <v>320.0</v>
      </c>
      <c r="G558" s="5">
        <v>0.5520833333333334</v>
      </c>
      <c r="H558" s="1">
        <v>10.0</v>
      </c>
      <c r="I558" s="5">
        <v>0.5972222222222222</v>
      </c>
      <c r="J558" s="1" t="str">
        <f t="array" ref="J558">XLOOKUP(B558,cat!B:B,cat!C:C)</f>
        <v>D</v>
      </c>
      <c r="K558" s="1">
        <f t="array" ref="K558">XLOOKUP(B558,cat!B:B,cat!D:D)</f>
        <v>207</v>
      </c>
      <c r="L558" s="7">
        <f t="shared" si="1"/>
        <v>0.04513888889</v>
      </c>
      <c r="M558" s="1" t="str">
        <f t="shared" si="2"/>
        <v/>
      </c>
      <c r="P558" s="9"/>
      <c r="Q558" s="9">
        <f t="shared" si="3"/>
        <v>0</v>
      </c>
      <c r="R558" s="1" t="str">
        <f t="shared" si="4"/>
        <v>VLG</v>
      </c>
      <c r="S558" s="1" t="str">
        <f>IF($D558="LEBL", IF(COUNTIF('Paises ECAC'!B:B, C558)&gt;0, "ECAC","NO ECAC"), "")</f>
        <v/>
      </c>
    </row>
    <row r="559" ht="14.25" customHeight="1">
      <c r="A559" s="1" t="s">
        <v>1038</v>
      </c>
      <c r="B559" s="1" t="s">
        <v>30</v>
      </c>
      <c r="C559" s="1" t="s">
        <v>143</v>
      </c>
      <c r="D559" s="1" t="s">
        <v>21</v>
      </c>
      <c r="E559" s="1" t="s">
        <v>330</v>
      </c>
      <c r="F559" s="1">
        <v>180.0</v>
      </c>
      <c r="G559" s="5">
        <v>0.5305555555555556</v>
      </c>
      <c r="H559" s="1">
        <v>10.0</v>
      </c>
      <c r="I559" s="5">
        <v>0.5520833333333334</v>
      </c>
      <c r="J559" s="1" t="str">
        <f t="array" ref="J559">XLOOKUP(B559,cat!B:B,cat!C:C)</f>
        <v>D</v>
      </c>
      <c r="K559" s="1">
        <f t="array" ref="K559">XLOOKUP(B559,cat!B:B,cat!D:D)</f>
        <v>173</v>
      </c>
      <c r="L559" s="7">
        <f t="shared" si="1"/>
        <v>0.02152777778</v>
      </c>
      <c r="M559" s="7">
        <f t="shared" si="2"/>
        <v>0.001875</v>
      </c>
      <c r="P559" s="9"/>
      <c r="Q559" s="9">
        <f t="shared" si="3"/>
        <v>37.35</v>
      </c>
      <c r="R559" s="1" t="str">
        <f t="shared" si="4"/>
        <v>VLG</v>
      </c>
      <c r="S559" s="1" t="str">
        <f>IF($D559="LEBL", IF(COUNTIF('Paises ECAC'!B:B, C559)&gt;0, "ECAC","NO ECAC"), "")</f>
        <v>ECAC</v>
      </c>
    </row>
    <row r="560" ht="14.25" customHeight="1">
      <c r="A560" s="1" t="s">
        <v>1039</v>
      </c>
      <c r="B560" s="1" t="s">
        <v>901</v>
      </c>
      <c r="C560" s="1" t="s">
        <v>21</v>
      </c>
      <c r="D560" s="1" t="s">
        <v>46</v>
      </c>
      <c r="E560" s="1" t="s">
        <v>902</v>
      </c>
      <c r="F560" s="1">
        <v>190.0</v>
      </c>
      <c r="G560" s="5">
        <v>0.5555555555555556</v>
      </c>
      <c r="H560" s="1">
        <v>20.0</v>
      </c>
      <c r="I560" s="5">
        <v>0.5729166666666666</v>
      </c>
      <c r="J560" s="1" t="str">
        <f t="array" ref="J560">XLOOKUP(B560,cat!B:B,cat!C:C)</f>
        <v>F</v>
      </c>
      <c r="K560" s="1">
        <f t="array" ref="K560">XLOOKUP(B560,cat!B:B,cat!D:D)</f>
        <v>8</v>
      </c>
      <c r="L560" s="7">
        <f t="shared" si="1"/>
        <v>0.01736111111</v>
      </c>
      <c r="M560" s="1" t="str">
        <f t="shared" si="2"/>
        <v/>
      </c>
      <c r="P560" s="9"/>
      <c r="Q560" s="9">
        <f t="shared" si="3"/>
        <v>0</v>
      </c>
      <c r="R560" s="1" t="str">
        <f t="shared" si="4"/>
        <v>NJE</v>
      </c>
      <c r="S560" s="1" t="str">
        <f>IF($D560="LEBL", IF(COUNTIF('Paises ECAC'!B:B, C560)&gt;0, "ECAC","NO ECAC"), "")</f>
        <v/>
      </c>
    </row>
    <row r="561" ht="14.25" customHeight="1">
      <c r="A561" s="1" t="s">
        <v>1040</v>
      </c>
      <c r="B561" s="1" t="s">
        <v>35</v>
      </c>
      <c r="C561" s="1" t="s">
        <v>227</v>
      </c>
      <c r="D561" s="1" t="s">
        <v>21</v>
      </c>
      <c r="E561" s="1" t="s">
        <v>1041</v>
      </c>
      <c r="F561" s="1">
        <v>370.0</v>
      </c>
      <c r="G561" s="5">
        <v>0.49027777777777776</v>
      </c>
      <c r="H561" s="1">
        <v>11.0</v>
      </c>
      <c r="I561" s="5">
        <v>0.5520833333333334</v>
      </c>
      <c r="J561" s="1" t="str">
        <f t="array" ref="J561">XLOOKUP(B561,cat!B:B,cat!C:C)</f>
        <v>D</v>
      </c>
      <c r="K561" s="1">
        <f t="array" ref="K561">XLOOKUP(B561,cat!B:B,cat!D:D)</f>
        <v>207</v>
      </c>
      <c r="L561" s="7">
        <f t="shared" si="1"/>
        <v>0.06180555556</v>
      </c>
      <c r="M561" s="7">
        <f t="shared" si="2"/>
        <v>0.04145833333</v>
      </c>
      <c r="P561" s="9"/>
      <c r="Q561" s="9">
        <f t="shared" si="3"/>
        <v>825.85</v>
      </c>
      <c r="R561" s="1" t="str">
        <f t="shared" si="4"/>
        <v>DLH</v>
      </c>
      <c r="S561" s="1" t="str">
        <f>IF($D561="LEBL", IF(COUNTIF('Paises ECAC'!B:B, C561)&gt;0, "ECAC","NO ECAC"), "")</f>
        <v>ECAC</v>
      </c>
    </row>
    <row r="562" ht="14.25" customHeight="1">
      <c r="A562" s="1" t="s">
        <v>1042</v>
      </c>
      <c r="B562" s="1" t="s">
        <v>30</v>
      </c>
      <c r="C562" s="1" t="s">
        <v>1043</v>
      </c>
      <c r="D562" s="1" t="s">
        <v>21</v>
      </c>
      <c r="E562" s="1" t="s">
        <v>1044</v>
      </c>
      <c r="F562" s="1">
        <v>350.0</v>
      </c>
      <c r="G562" s="5">
        <v>0.49583333333333335</v>
      </c>
      <c r="H562" s="1">
        <v>8.0</v>
      </c>
      <c r="I562" s="5">
        <v>0.5520833333333334</v>
      </c>
      <c r="J562" s="1" t="str">
        <f t="array" ref="J562">XLOOKUP(B562,cat!B:B,cat!C:C)</f>
        <v>D</v>
      </c>
      <c r="K562" s="1">
        <f t="array" ref="K562">XLOOKUP(B562,cat!B:B,cat!D:D)</f>
        <v>173</v>
      </c>
      <c r="L562" s="7">
        <f t="shared" si="1"/>
        <v>0.05625</v>
      </c>
      <c r="M562" s="7">
        <f t="shared" si="2"/>
        <v>0.03798611111</v>
      </c>
      <c r="P562" s="9"/>
      <c r="Q562" s="9">
        <f t="shared" si="3"/>
        <v>756.6833333</v>
      </c>
      <c r="R562" s="1" t="str">
        <f t="shared" si="4"/>
        <v>TDR</v>
      </c>
      <c r="S562" s="1" t="str">
        <f>IF($D562="LEBL", IF(COUNTIF('Paises ECAC'!B:B, C562)&gt;0, "ECAC","NO ECAC"), "")</f>
        <v>ECAC</v>
      </c>
    </row>
    <row r="563" ht="14.25" customHeight="1">
      <c r="A563" s="1" t="s">
        <v>1045</v>
      </c>
      <c r="B563" s="1" t="s">
        <v>30</v>
      </c>
      <c r="C563" s="1" t="s">
        <v>279</v>
      </c>
      <c r="D563" s="1" t="s">
        <v>21</v>
      </c>
      <c r="E563" s="1" t="s">
        <v>1046</v>
      </c>
      <c r="F563" s="1">
        <v>330.0</v>
      </c>
      <c r="G563" s="5">
        <v>0.5104166666666666</v>
      </c>
      <c r="H563" s="1">
        <v>10.0</v>
      </c>
      <c r="I563" s="5">
        <v>0.5555555555555556</v>
      </c>
      <c r="J563" s="1" t="str">
        <f t="array" ref="J563">XLOOKUP(B563,cat!B:B,cat!C:C)</f>
        <v>D</v>
      </c>
      <c r="K563" s="1">
        <f t="array" ref="K563">XLOOKUP(B563,cat!B:B,cat!D:D)</f>
        <v>173</v>
      </c>
      <c r="L563" s="7">
        <f t="shared" si="1"/>
        <v>0.04513888889</v>
      </c>
      <c r="M563" s="7">
        <f t="shared" si="2"/>
        <v>0.02548611111</v>
      </c>
      <c r="P563" s="9"/>
      <c r="Q563" s="9">
        <f t="shared" si="3"/>
        <v>507.6833333</v>
      </c>
      <c r="R563" s="1" t="str">
        <f t="shared" si="4"/>
        <v>VOE</v>
      </c>
      <c r="S563" s="1" t="str">
        <f>IF($D563="LEBL", IF(COUNTIF('Paises ECAC'!B:B, C563)&gt;0, "ECAC","NO ECAC"), "")</f>
        <v>ECAC</v>
      </c>
    </row>
    <row r="564" ht="14.25" customHeight="1">
      <c r="A564" s="1" t="s">
        <v>1047</v>
      </c>
      <c r="B564" s="1" t="s">
        <v>25</v>
      </c>
      <c r="C564" s="1" t="s">
        <v>21</v>
      </c>
      <c r="D564" s="1" t="s">
        <v>267</v>
      </c>
      <c r="E564" s="1" t="s">
        <v>362</v>
      </c>
      <c r="F564" s="1">
        <v>340.0</v>
      </c>
      <c r="G564" s="5">
        <v>0.5576388888888889</v>
      </c>
      <c r="H564" s="1">
        <v>11.0</v>
      </c>
      <c r="I564" s="5">
        <v>0.6180555555555556</v>
      </c>
      <c r="J564" s="1" t="str">
        <f t="array" ref="J564">XLOOKUP(B564,cat!B:B,cat!C:C)</f>
        <v>D</v>
      </c>
      <c r="K564" s="1">
        <f t="array" ref="K564">XLOOKUP(B564,cat!B:B,cat!D:D)</f>
        <v>180</v>
      </c>
      <c r="L564" s="7">
        <f t="shared" si="1"/>
        <v>0.06041666667</v>
      </c>
      <c r="M564" s="1" t="str">
        <f t="shared" si="2"/>
        <v/>
      </c>
      <c r="P564" s="9"/>
      <c r="Q564" s="9">
        <f t="shared" si="3"/>
        <v>0</v>
      </c>
      <c r="R564" s="1" t="str">
        <f t="shared" si="4"/>
        <v>VLG</v>
      </c>
      <c r="S564" s="1" t="str">
        <f>IF($D564="LEBL", IF(COUNTIF('Paises ECAC'!B:B, C564)&gt;0, "ECAC","NO ECAC"), "")</f>
        <v/>
      </c>
    </row>
    <row r="565" ht="14.25" customHeight="1">
      <c r="A565" s="1" t="s">
        <v>1048</v>
      </c>
      <c r="B565" s="1" t="s">
        <v>30</v>
      </c>
      <c r="C565" s="1" t="s">
        <v>169</v>
      </c>
      <c r="D565" s="1" t="s">
        <v>21</v>
      </c>
      <c r="E565" s="1" t="s">
        <v>440</v>
      </c>
      <c r="F565" s="1">
        <v>370.0</v>
      </c>
      <c r="G565" s="5">
        <v>0.48055555555555557</v>
      </c>
      <c r="H565" s="1">
        <v>24.0</v>
      </c>
      <c r="I565" s="5">
        <v>0.5555555555555556</v>
      </c>
      <c r="J565" s="1" t="str">
        <f t="array" ref="J565">XLOOKUP(B565,cat!B:B,cat!C:C)</f>
        <v>D</v>
      </c>
      <c r="K565" s="1">
        <f t="array" ref="K565">XLOOKUP(B565,cat!B:B,cat!D:D)</f>
        <v>173</v>
      </c>
      <c r="L565" s="7">
        <f t="shared" si="1"/>
        <v>0.075</v>
      </c>
      <c r="M565" s="7">
        <f t="shared" si="2"/>
        <v>0.045625</v>
      </c>
      <c r="P565" s="9"/>
      <c r="Q565" s="9">
        <f t="shared" si="3"/>
        <v>908.85</v>
      </c>
      <c r="R565" s="1" t="str">
        <f t="shared" si="4"/>
        <v>VLG</v>
      </c>
      <c r="S565" s="1" t="str">
        <f>IF($D565="LEBL", IF(COUNTIF('Paises ECAC'!B:B, C565)&gt;0, "ECAC","NO ECAC"), "")</f>
        <v>ECAC</v>
      </c>
    </row>
    <row r="566" ht="14.25" customHeight="1">
      <c r="A566" s="1" t="s">
        <v>1049</v>
      </c>
      <c r="B566" s="1" t="s">
        <v>35</v>
      </c>
      <c r="C566" s="1" t="s">
        <v>21</v>
      </c>
      <c r="D566" s="1" t="s">
        <v>234</v>
      </c>
      <c r="E566" s="1" t="s">
        <v>520</v>
      </c>
      <c r="F566" s="1">
        <v>290.0</v>
      </c>
      <c r="G566" s="5">
        <v>0.5493055555555556</v>
      </c>
      <c r="H566" s="1">
        <v>12.0</v>
      </c>
      <c r="I566" s="5">
        <v>0.5902777777777778</v>
      </c>
      <c r="J566" s="1" t="str">
        <f t="array" ref="J566">XLOOKUP(B566,cat!B:B,cat!C:C)</f>
        <v>D</v>
      </c>
      <c r="K566" s="1">
        <f t="array" ref="K566">XLOOKUP(B566,cat!B:B,cat!D:D)</f>
        <v>207</v>
      </c>
      <c r="L566" s="7">
        <f t="shared" si="1"/>
        <v>0.04097222222</v>
      </c>
      <c r="M566" s="1" t="str">
        <f t="shared" si="2"/>
        <v/>
      </c>
      <c r="P566" s="9"/>
      <c r="Q566" s="9">
        <f t="shared" si="3"/>
        <v>0</v>
      </c>
      <c r="R566" s="1" t="str">
        <f t="shared" si="4"/>
        <v>IBE</v>
      </c>
      <c r="S566" s="1" t="str">
        <f>IF($D566="LEBL", IF(COUNTIF('Paises ECAC'!B:B, C566)&gt;0, "ECAC","NO ECAC"), "")</f>
        <v/>
      </c>
    </row>
    <row r="567" ht="14.25" customHeight="1">
      <c r="A567" s="1" t="s">
        <v>1050</v>
      </c>
      <c r="B567" s="1" t="s">
        <v>30</v>
      </c>
      <c r="C567" s="1" t="s">
        <v>808</v>
      </c>
      <c r="D567" s="1" t="s">
        <v>21</v>
      </c>
      <c r="E567" s="1" t="s">
        <v>1051</v>
      </c>
      <c r="F567" s="1">
        <v>330.0</v>
      </c>
      <c r="G567" s="5">
        <v>0.5145833333333333</v>
      </c>
      <c r="H567" s="1">
        <v>15.0</v>
      </c>
      <c r="I567" s="5">
        <v>0.5590277777777778</v>
      </c>
      <c r="J567" s="1" t="str">
        <f t="array" ref="J567">XLOOKUP(B567,cat!B:B,cat!C:C)</f>
        <v>D</v>
      </c>
      <c r="K567" s="1">
        <f t="array" ref="K567">XLOOKUP(B567,cat!B:B,cat!D:D)</f>
        <v>173</v>
      </c>
      <c r="L567" s="7">
        <f t="shared" si="1"/>
        <v>0.04444444444</v>
      </c>
      <c r="M567" s="7">
        <f t="shared" si="2"/>
        <v>0.02131944444</v>
      </c>
      <c r="P567" s="9"/>
      <c r="Q567" s="9">
        <f t="shared" si="3"/>
        <v>424.6833333</v>
      </c>
      <c r="R567" s="1" t="str">
        <f t="shared" si="4"/>
        <v>VOE</v>
      </c>
      <c r="S567" s="1" t="str">
        <f>IF($D567="LEBL", IF(COUNTIF('Paises ECAC'!B:B, C567)&gt;0, "ECAC","NO ECAC"), "")</f>
        <v>ECAC</v>
      </c>
    </row>
    <row r="568" ht="14.25" customHeight="1">
      <c r="A568" s="1" t="s">
        <v>1052</v>
      </c>
      <c r="B568" s="1" t="s">
        <v>544</v>
      </c>
      <c r="C568" s="1" t="s">
        <v>21</v>
      </c>
      <c r="D568" s="1" t="s">
        <v>390</v>
      </c>
      <c r="E568" s="1" t="s">
        <v>878</v>
      </c>
      <c r="F568" s="1">
        <v>370.0</v>
      </c>
      <c r="G568" s="5">
        <v>0.5597222222222222</v>
      </c>
      <c r="H568" s="1">
        <v>20.0</v>
      </c>
      <c r="I568" s="5">
        <v>0.6909722222222222</v>
      </c>
      <c r="J568" s="1" t="str">
        <f t="array" ref="J568">XLOOKUP(B568,cat!B:B,cat!C:C)</f>
        <v>D</v>
      </c>
      <c r="K568" s="1">
        <f t="array" ref="K568">XLOOKUP(B568,cat!B:B,cat!D:D)</f>
        <v>148</v>
      </c>
      <c r="L568" s="7">
        <f t="shared" si="1"/>
        <v>0.13125</v>
      </c>
      <c r="M568" s="1" t="str">
        <f t="shared" si="2"/>
        <v/>
      </c>
      <c r="P568" s="9"/>
      <c r="Q568" s="9">
        <f t="shared" si="3"/>
        <v>0</v>
      </c>
      <c r="R568" s="1" t="str">
        <f t="shared" si="4"/>
        <v>BTI</v>
      </c>
      <c r="S568" s="1" t="str">
        <f>IF($D568="LEBL", IF(COUNTIF('Paises ECAC'!B:B, C568)&gt;0, "ECAC","NO ECAC"), "")</f>
        <v/>
      </c>
    </row>
    <row r="569" ht="14.25" customHeight="1">
      <c r="A569" s="1" t="s">
        <v>1053</v>
      </c>
      <c r="B569" s="1" t="s">
        <v>136</v>
      </c>
      <c r="C569" s="1" t="s">
        <v>369</v>
      </c>
      <c r="D569" s="1" t="s">
        <v>21</v>
      </c>
      <c r="E569" s="1" t="s">
        <v>311</v>
      </c>
      <c r="F569" s="1">
        <v>360.0</v>
      </c>
      <c r="G569" s="5">
        <v>0.5055555555555555</v>
      </c>
      <c r="H569" s="1">
        <v>20.0</v>
      </c>
      <c r="I569" s="5">
        <v>0.5590277777777778</v>
      </c>
      <c r="J569" s="1" t="str">
        <f t="array" ref="J569">XLOOKUP(B569,cat!B:B,cat!C:C)</f>
        <v>D</v>
      </c>
      <c r="K569" s="1">
        <f t="array" ref="K569">XLOOKUP(B569,cat!B:B,cat!D:D)</f>
        <v>144</v>
      </c>
      <c r="L569" s="7">
        <f t="shared" si="1"/>
        <v>0.05347222222</v>
      </c>
      <c r="M569" s="7">
        <f t="shared" si="2"/>
        <v>0.026875</v>
      </c>
      <c r="P569" s="9"/>
      <c r="Q569" s="9">
        <f t="shared" si="3"/>
        <v>535.35</v>
      </c>
      <c r="R569" s="1" t="str">
        <f t="shared" si="4"/>
        <v>VLG</v>
      </c>
      <c r="S569" s="1" t="str">
        <f>IF($D569="LEBL", IF(COUNTIF('Paises ECAC'!B:B, C569)&gt;0, "ECAC","NO ECAC"), "")</f>
        <v>ECAC</v>
      </c>
    </row>
    <row r="570" ht="14.25" customHeight="1">
      <c r="A570" s="1" t="s">
        <v>1054</v>
      </c>
      <c r="B570" s="1" t="s">
        <v>30</v>
      </c>
      <c r="C570" s="1" t="s">
        <v>21</v>
      </c>
      <c r="D570" s="1" t="s">
        <v>192</v>
      </c>
      <c r="E570" s="1" t="s">
        <v>945</v>
      </c>
      <c r="F570" s="1">
        <v>350.0</v>
      </c>
      <c r="G570" s="5">
        <v>0.5583333333333333</v>
      </c>
      <c r="H570" s="1">
        <v>11.0</v>
      </c>
      <c r="I570" s="5">
        <v>0.6041666666666666</v>
      </c>
      <c r="J570" s="1" t="str">
        <f t="array" ref="J570">XLOOKUP(B570,cat!B:B,cat!C:C)</f>
        <v>D</v>
      </c>
      <c r="K570" s="1">
        <f t="array" ref="K570">XLOOKUP(B570,cat!B:B,cat!D:D)</f>
        <v>173</v>
      </c>
      <c r="L570" s="7">
        <f t="shared" si="1"/>
        <v>0.04583333333</v>
      </c>
      <c r="M570" s="1" t="str">
        <f t="shared" si="2"/>
        <v/>
      </c>
      <c r="P570" s="9"/>
      <c r="Q570" s="9">
        <f t="shared" si="3"/>
        <v>0</v>
      </c>
      <c r="R570" s="1" t="str">
        <f t="shared" si="4"/>
        <v>VLG</v>
      </c>
      <c r="S570" s="1" t="str">
        <f>IF($D570="LEBL", IF(COUNTIF('Paises ECAC'!B:B, C570)&gt;0, "ECAC","NO ECAC"), "")</f>
        <v/>
      </c>
    </row>
    <row r="571" ht="14.25" customHeight="1">
      <c r="A571" s="1" t="s">
        <v>1055</v>
      </c>
      <c r="B571" s="1" t="s">
        <v>842</v>
      </c>
      <c r="C571" s="1" t="s">
        <v>21</v>
      </c>
      <c r="D571" s="1" t="s">
        <v>843</v>
      </c>
      <c r="E571" s="1" t="s">
        <v>844</v>
      </c>
      <c r="F571" s="1">
        <v>390.0</v>
      </c>
      <c r="G571" s="5">
        <v>0.5569444444444445</v>
      </c>
      <c r="H571" s="1">
        <v>21.0</v>
      </c>
      <c r="I571" s="5">
        <v>0.78125</v>
      </c>
      <c r="J571" s="1" t="str">
        <f t="array" ref="J571">XLOOKUP(B571,cat!B:B,cat!C:C)</f>
        <v>B</v>
      </c>
      <c r="K571" s="1">
        <f t="array" ref="K571">XLOOKUP(B571,cat!B:B,cat!D:D)</f>
        <v>257</v>
      </c>
      <c r="L571" s="7">
        <f t="shared" si="1"/>
        <v>0.2243055556</v>
      </c>
      <c r="M571" s="1" t="str">
        <f t="shared" si="2"/>
        <v/>
      </c>
      <c r="P571" s="9"/>
      <c r="Q571" s="9">
        <f t="shared" si="3"/>
        <v>0</v>
      </c>
      <c r="R571" s="1" t="str">
        <f t="shared" si="4"/>
        <v>KAC</v>
      </c>
      <c r="S571" s="1" t="str">
        <f>IF($D571="LEBL", IF(COUNTIF('Paises ECAC'!B:B, C571)&gt;0, "ECAC","NO ECAC"), "")</f>
        <v/>
      </c>
    </row>
    <row r="572" ht="14.25" customHeight="1">
      <c r="A572" s="1" t="s">
        <v>1056</v>
      </c>
      <c r="B572" s="1" t="s">
        <v>19</v>
      </c>
      <c r="C572" s="1" t="s">
        <v>240</v>
      </c>
      <c r="D572" s="1" t="s">
        <v>21</v>
      </c>
      <c r="E572" s="1" t="s">
        <v>372</v>
      </c>
      <c r="F572" s="1">
        <v>390.0</v>
      </c>
      <c r="G572" s="5">
        <v>0.4305555555555556</v>
      </c>
      <c r="H572" s="1">
        <v>15.0</v>
      </c>
      <c r="I572" s="5">
        <v>0.5590277777777778</v>
      </c>
      <c r="J572" s="1" t="str">
        <f t="array" ref="J572">XLOOKUP(B572,cat!B:B,cat!C:C)</f>
        <v>D</v>
      </c>
      <c r="K572" s="1">
        <f t="array" ref="K572">XLOOKUP(B572,cat!B:B,cat!D:D)</f>
        <v>184</v>
      </c>
      <c r="L572" s="7">
        <f t="shared" si="1"/>
        <v>0.1284722222</v>
      </c>
      <c r="M572" s="7">
        <f t="shared" si="2"/>
        <v>0.1053472222</v>
      </c>
      <c r="P572" s="9"/>
      <c r="Q572" s="9">
        <f t="shared" si="3"/>
        <v>2098.516667</v>
      </c>
      <c r="R572" s="1" t="str">
        <f t="shared" si="4"/>
        <v>NSZ</v>
      </c>
      <c r="S572" s="1" t="str">
        <f>IF($D572="LEBL", IF(COUNTIF('Paises ECAC'!B:B, C572)&gt;0, "ECAC","NO ECAC"), "")</f>
        <v>ECAC</v>
      </c>
    </row>
    <row r="573" ht="14.25" customHeight="1">
      <c r="A573" s="1" t="s">
        <v>1057</v>
      </c>
      <c r="B573" s="1" t="s">
        <v>136</v>
      </c>
      <c r="C573" s="1" t="s">
        <v>274</v>
      </c>
      <c r="D573" s="1" t="s">
        <v>21</v>
      </c>
      <c r="E573" s="1" t="s">
        <v>1058</v>
      </c>
      <c r="F573" s="1">
        <v>350.0</v>
      </c>
      <c r="G573" s="5">
        <v>0.4951388888888889</v>
      </c>
      <c r="H573" s="1">
        <v>18.0</v>
      </c>
      <c r="I573" s="5">
        <v>0.5625</v>
      </c>
      <c r="J573" s="1" t="str">
        <f t="array" ref="J573">XLOOKUP(B573,cat!B:B,cat!C:C)</f>
        <v>D</v>
      </c>
      <c r="K573" s="1">
        <f t="array" ref="K573">XLOOKUP(B573,cat!B:B,cat!D:D)</f>
        <v>144</v>
      </c>
      <c r="L573" s="7">
        <f t="shared" si="1"/>
        <v>0.06736111111</v>
      </c>
      <c r="M573" s="7">
        <f t="shared" si="2"/>
        <v>0.04215277778</v>
      </c>
      <c r="P573" s="9"/>
      <c r="Q573" s="9">
        <f t="shared" si="3"/>
        <v>839.6833333</v>
      </c>
      <c r="R573" s="1" t="str">
        <f t="shared" si="4"/>
        <v>BAW</v>
      </c>
      <c r="S573" s="1" t="str">
        <f>IF($D573="LEBL", IF(COUNTIF('Paises ECAC'!B:B, C573)&gt;0, "ECAC","NO ECAC"), "")</f>
        <v>ECAC</v>
      </c>
    </row>
    <row r="574" ht="14.25" customHeight="1">
      <c r="A574" s="1" t="s">
        <v>1059</v>
      </c>
      <c r="B574" s="1" t="s">
        <v>19</v>
      </c>
      <c r="C574" s="1" t="s">
        <v>140</v>
      </c>
      <c r="D574" s="1" t="s">
        <v>21</v>
      </c>
      <c r="E574" s="1" t="s">
        <v>146</v>
      </c>
      <c r="F574" s="1">
        <v>330.0</v>
      </c>
      <c r="G574" s="5">
        <v>0.5152777777777777</v>
      </c>
      <c r="H574" s="1">
        <v>14.0</v>
      </c>
      <c r="I574" s="5">
        <v>0.5625</v>
      </c>
      <c r="J574" s="1" t="str">
        <f t="array" ref="J574">XLOOKUP(B574,cat!B:B,cat!C:C)</f>
        <v>D</v>
      </c>
      <c r="K574" s="1">
        <f t="array" ref="K574">XLOOKUP(B574,cat!B:B,cat!D:D)</f>
        <v>184</v>
      </c>
      <c r="L574" s="7">
        <f t="shared" si="1"/>
        <v>0.04722222222</v>
      </c>
      <c r="M574" s="7">
        <f t="shared" si="2"/>
        <v>0.02479166667</v>
      </c>
      <c r="P574" s="9"/>
      <c r="Q574" s="9">
        <f t="shared" si="3"/>
        <v>493.85</v>
      </c>
      <c r="R574" s="1" t="str">
        <f t="shared" si="4"/>
        <v>RYR</v>
      </c>
      <c r="S574" s="1" t="str">
        <f>IF($D574="LEBL", IF(COUNTIF('Paises ECAC'!B:B, C574)&gt;0, "ECAC","NO ECAC"), "")</f>
        <v>ECAC</v>
      </c>
    </row>
    <row r="575" ht="14.25" customHeight="1">
      <c r="A575" s="1" t="s">
        <v>1060</v>
      </c>
      <c r="B575" s="1" t="s">
        <v>30</v>
      </c>
      <c r="C575" s="1" t="s">
        <v>21</v>
      </c>
      <c r="D575" s="1" t="s">
        <v>166</v>
      </c>
      <c r="E575" s="1" t="s">
        <v>243</v>
      </c>
      <c r="F575" s="1">
        <v>370.0</v>
      </c>
      <c r="G575" s="5">
        <v>0.5604166666666667</v>
      </c>
      <c r="H575" s="1">
        <v>12.0</v>
      </c>
      <c r="I575" s="5">
        <v>0.6875</v>
      </c>
      <c r="J575" s="1" t="str">
        <f t="array" ref="J575">XLOOKUP(B575,cat!B:B,cat!C:C)</f>
        <v>D</v>
      </c>
      <c r="K575" s="1">
        <f t="array" ref="K575">XLOOKUP(B575,cat!B:B,cat!D:D)</f>
        <v>173</v>
      </c>
      <c r="L575" s="7">
        <f t="shared" si="1"/>
        <v>0.1270833333</v>
      </c>
      <c r="M575" s="1" t="str">
        <f t="shared" si="2"/>
        <v/>
      </c>
      <c r="P575" s="9"/>
      <c r="Q575" s="9">
        <f t="shared" si="3"/>
        <v>0</v>
      </c>
      <c r="R575" s="1" t="str">
        <f t="shared" si="4"/>
        <v>VLG</v>
      </c>
      <c r="S575" s="1" t="str">
        <f>IF($D575="LEBL", IF(COUNTIF('Paises ECAC'!B:B, C575)&gt;0, "ECAC","NO ECAC"), "")</f>
        <v/>
      </c>
    </row>
    <row r="576" ht="14.25" customHeight="1">
      <c r="A576" s="1" t="s">
        <v>1061</v>
      </c>
      <c r="B576" s="1" t="s">
        <v>544</v>
      </c>
      <c r="C576" s="1" t="s">
        <v>116</v>
      </c>
      <c r="D576" s="1" t="s">
        <v>21</v>
      </c>
      <c r="E576" s="1" t="s">
        <v>1062</v>
      </c>
      <c r="F576" s="1">
        <v>370.0</v>
      </c>
      <c r="G576" s="5">
        <v>0.5034722222222222</v>
      </c>
      <c r="H576" s="1">
        <v>14.0</v>
      </c>
      <c r="I576" s="5">
        <v>0.5625</v>
      </c>
      <c r="J576" s="1" t="str">
        <f t="array" ref="J576">XLOOKUP(B576,cat!B:B,cat!C:C)</f>
        <v>D</v>
      </c>
      <c r="K576" s="1">
        <f t="array" ref="K576">XLOOKUP(B576,cat!B:B,cat!D:D)</f>
        <v>148</v>
      </c>
      <c r="L576" s="7">
        <f t="shared" si="1"/>
        <v>0.05902777778</v>
      </c>
      <c r="M576" s="7">
        <f t="shared" si="2"/>
        <v>0.03659722222</v>
      </c>
      <c r="P576" s="9"/>
      <c r="Q576" s="9">
        <f t="shared" si="3"/>
        <v>729.0166667</v>
      </c>
      <c r="R576" s="1" t="str">
        <f t="shared" si="4"/>
        <v>AFR</v>
      </c>
      <c r="S576" s="1" t="str">
        <f>IF($D576="LEBL", IF(COUNTIF('Paises ECAC'!B:B, C576)&gt;0, "ECAC","NO ECAC"), "")</f>
        <v>ECAC</v>
      </c>
    </row>
    <row r="577" ht="14.25" customHeight="1">
      <c r="A577" s="1" t="s">
        <v>1063</v>
      </c>
      <c r="B577" s="1" t="s">
        <v>30</v>
      </c>
      <c r="C577" s="1" t="s">
        <v>21</v>
      </c>
      <c r="D577" s="1" t="s">
        <v>329</v>
      </c>
      <c r="E577" s="1" t="s">
        <v>275</v>
      </c>
      <c r="F577" s="1">
        <v>330.0</v>
      </c>
      <c r="G577" s="5">
        <v>0.5611111111111111</v>
      </c>
      <c r="H577" s="1">
        <v>13.0</v>
      </c>
      <c r="I577" s="5">
        <v>0.6145833333333334</v>
      </c>
      <c r="J577" s="1" t="str">
        <f t="array" ref="J577">XLOOKUP(B577,cat!B:B,cat!C:C)</f>
        <v>D</v>
      </c>
      <c r="K577" s="1">
        <f t="array" ref="K577">XLOOKUP(B577,cat!B:B,cat!D:D)</f>
        <v>173</v>
      </c>
      <c r="L577" s="7">
        <f t="shared" si="1"/>
        <v>0.05347222222</v>
      </c>
      <c r="M577" s="1" t="str">
        <f t="shared" si="2"/>
        <v/>
      </c>
      <c r="P577" s="9"/>
      <c r="Q577" s="9">
        <f t="shared" si="3"/>
        <v>0</v>
      </c>
      <c r="R577" s="1" t="str">
        <f t="shared" si="4"/>
        <v>VLG</v>
      </c>
      <c r="S577" s="1" t="str">
        <f>IF($D577="LEBL", IF(COUNTIF('Paises ECAC'!B:B, C577)&gt;0, "ECAC","NO ECAC"), "")</f>
        <v/>
      </c>
    </row>
    <row r="578" ht="14.25" customHeight="1">
      <c r="A578" s="1" t="s">
        <v>1064</v>
      </c>
      <c r="B578" s="1" t="s">
        <v>19</v>
      </c>
      <c r="C578" s="1" t="s">
        <v>21</v>
      </c>
      <c r="D578" s="1" t="s">
        <v>41</v>
      </c>
      <c r="E578" s="1" t="s">
        <v>95</v>
      </c>
      <c r="F578" s="1">
        <v>380.0</v>
      </c>
      <c r="G578" s="5">
        <v>0.5590277777777778</v>
      </c>
      <c r="H578" s="1">
        <v>20.0</v>
      </c>
      <c r="I578" s="5">
        <v>0.6527777777777778</v>
      </c>
      <c r="J578" s="1" t="str">
        <f t="array" ref="J578">XLOOKUP(B578,cat!B:B,cat!C:C)</f>
        <v>D</v>
      </c>
      <c r="K578" s="1">
        <f t="array" ref="K578">XLOOKUP(B578,cat!B:B,cat!D:D)</f>
        <v>184</v>
      </c>
      <c r="L578" s="7">
        <f t="shared" si="1"/>
        <v>0.09375</v>
      </c>
      <c r="M578" s="1" t="str">
        <f t="shared" si="2"/>
        <v/>
      </c>
      <c r="P578" s="9"/>
      <c r="Q578" s="9">
        <f t="shared" si="3"/>
        <v>0</v>
      </c>
      <c r="R578" s="1" t="str">
        <f t="shared" si="4"/>
        <v>RYR</v>
      </c>
      <c r="S578" s="1" t="str">
        <f>IF($D578="LEBL", IF(COUNTIF('Paises ECAC'!B:B, C578)&gt;0, "ECAC","NO ECAC"), "")</f>
        <v/>
      </c>
    </row>
    <row r="579" ht="14.25" customHeight="1">
      <c r="A579" s="1" t="s">
        <v>1065</v>
      </c>
      <c r="B579" s="1" t="s">
        <v>30</v>
      </c>
      <c r="C579" s="1" t="s">
        <v>143</v>
      </c>
      <c r="D579" s="1" t="s">
        <v>21</v>
      </c>
      <c r="E579" s="1" t="s">
        <v>870</v>
      </c>
      <c r="F579" s="1">
        <v>180.0</v>
      </c>
      <c r="G579" s="5">
        <v>0.5409722222222222</v>
      </c>
      <c r="H579" s="1">
        <v>9.0</v>
      </c>
      <c r="I579" s="5">
        <v>0.5659722222222222</v>
      </c>
      <c r="J579" s="1" t="str">
        <f t="array" ref="J579">XLOOKUP(B579,cat!B:B,cat!C:C)</f>
        <v>D</v>
      </c>
      <c r="K579" s="1">
        <f t="array" ref="K579">XLOOKUP(B579,cat!B:B,cat!D:D)</f>
        <v>173</v>
      </c>
      <c r="L579" s="7">
        <f t="shared" si="1"/>
        <v>0.025</v>
      </c>
      <c r="M579" s="7">
        <f t="shared" si="2"/>
        <v>0.006041666667</v>
      </c>
      <c r="P579" s="9"/>
      <c r="Q579" s="9">
        <f t="shared" si="3"/>
        <v>120.35</v>
      </c>
      <c r="R579" s="1" t="str">
        <f t="shared" si="4"/>
        <v>VLG</v>
      </c>
      <c r="S579" s="1" t="str">
        <f>IF($D579="LEBL", IF(COUNTIF('Paises ECAC'!B:B, C579)&gt;0, "ECAC","NO ECAC"), "")</f>
        <v>ECAC</v>
      </c>
    </row>
    <row r="580" ht="14.25" customHeight="1">
      <c r="A580" s="1" t="s">
        <v>1066</v>
      </c>
      <c r="B580" s="1" t="s">
        <v>35</v>
      </c>
      <c r="C580" s="1" t="s">
        <v>21</v>
      </c>
      <c r="D580" s="1" t="s">
        <v>20</v>
      </c>
      <c r="E580" s="1" t="s">
        <v>172</v>
      </c>
      <c r="F580" s="1">
        <v>330.0</v>
      </c>
      <c r="G580" s="5">
        <v>0.5625</v>
      </c>
      <c r="H580" s="1">
        <v>10.0</v>
      </c>
      <c r="I580" s="5">
        <v>0.6215277777777778</v>
      </c>
      <c r="J580" s="1" t="str">
        <f t="array" ref="J580">XLOOKUP(B580,cat!B:B,cat!C:C)</f>
        <v>D</v>
      </c>
      <c r="K580" s="1">
        <f t="array" ref="K580">XLOOKUP(B580,cat!B:B,cat!D:D)</f>
        <v>207</v>
      </c>
      <c r="L580" s="7">
        <f t="shared" si="1"/>
        <v>0.05902777778</v>
      </c>
      <c r="M580" s="1" t="str">
        <f t="shared" si="2"/>
        <v/>
      </c>
      <c r="P580" s="9"/>
      <c r="Q580" s="9">
        <f t="shared" si="3"/>
        <v>0</v>
      </c>
      <c r="R580" s="1" t="str">
        <f t="shared" si="4"/>
        <v>VLG</v>
      </c>
      <c r="S580" s="1" t="str">
        <f>IF($D580="LEBL", IF(COUNTIF('Paises ECAC'!B:B, C580)&gt;0, "ECAC","NO ECAC"), "")</f>
        <v/>
      </c>
    </row>
    <row r="581" ht="14.25" customHeight="1">
      <c r="A581" s="1" t="s">
        <v>1067</v>
      </c>
      <c r="B581" s="1" t="s">
        <v>1068</v>
      </c>
      <c r="C581" s="1" t="s">
        <v>1069</v>
      </c>
      <c r="D581" s="1" t="s">
        <v>21</v>
      </c>
      <c r="E581" s="1" t="s">
        <v>1070</v>
      </c>
      <c r="F581" s="1">
        <v>290.0</v>
      </c>
      <c r="G581" s="5">
        <v>0.5201388888888889</v>
      </c>
      <c r="H581" s="1">
        <v>10.0</v>
      </c>
      <c r="I581" s="5">
        <v>0.5659722222222222</v>
      </c>
      <c r="J581" s="1" t="str">
        <f t="array" ref="J581">XLOOKUP(B581,cat!B:B,cat!C:C)</f>
        <v>F</v>
      </c>
      <c r="K581" s="1">
        <f t="array" ref="K581">XLOOKUP(B581,cat!B:B,cat!D:D)</f>
        <v>6</v>
      </c>
      <c r="L581" s="7">
        <f t="shared" si="1"/>
        <v>0.04583333333</v>
      </c>
      <c r="M581" s="7">
        <f t="shared" si="2"/>
        <v>0.02618055556</v>
      </c>
      <c r="P581" s="9"/>
      <c r="Q581" s="9">
        <f t="shared" si="3"/>
        <v>113.1</v>
      </c>
      <c r="R581" s="1" t="str">
        <f t="shared" si="4"/>
        <v>BNI</v>
      </c>
      <c r="S581" s="1" t="str">
        <f>IF($D581="LEBL", IF(COUNTIF('Paises ECAC'!B:B, C581)&gt;0, "ECAC","NO ECAC"), "")</f>
        <v>ECAC</v>
      </c>
    </row>
    <row r="582" ht="14.25" customHeight="1">
      <c r="A582" s="1" t="s">
        <v>1071</v>
      </c>
      <c r="B582" s="1" t="s">
        <v>30</v>
      </c>
      <c r="C582" s="1" t="s">
        <v>218</v>
      </c>
      <c r="D582" s="1" t="s">
        <v>21</v>
      </c>
      <c r="E582" s="1" t="s">
        <v>393</v>
      </c>
      <c r="F582" s="1">
        <v>300.0</v>
      </c>
      <c r="G582" s="5">
        <v>0.5326388888888889</v>
      </c>
      <c r="H582" s="1">
        <v>9.0</v>
      </c>
      <c r="I582" s="5">
        <v>0.5659722222222222</v>
      </c>
      <c r="J582" s="1" t="str">
        <f t="array" ref="J582">XLOOKUP(B582,cat!B:B,cat!C:C)</f>
        <v>D</v>
      </c>
      <c r="K582" s="1">
        <f t="array" ref="K582">XLOOKUP(B582,cat!B:B,cat!D:D)</f>
        <v>173</v>
      </c>
      <c r="L582" s="7">
        <f t="shared" si="1"/>
        <v>0.03333333333</v>
      </c>
      <c r="M582" s="7">
        <f t="shared" si="2"/>
        <v>0.014375</v>
      </c>
      <c r="P582" s="9"/>
      <c r="Q582" s="9">
        <f t="shared" si="3"/>
        <v>286.35</v>
      </c>
      <c r="R582" s="1" t="str">
        <f t="shared" si="4"/>
        <v>VLG</v>
      </c>
      <c r="S582" s="1" t="str">
        <f>IF($D582="LEBL", IF(COUNTIF('Paises ECAC'!B:B, C582)&gt;0, "ECAC","NO ECAC"), "")</f>
        <v>ECAC</v>
      </c>
    </row>
    <row r="583" ht="14.25" customHeight="1">
      <c r="A583" s="1" t="s">
        <v>1072</v>
      </c>
      <c r="B583" s="1" t="s">
        <v>30</v>
      </c>
      <c r="C583" s="1" t="s">
        <v>21</v>
      </c>
      <c r="D583" s="1" t="s">
        <v>939</v>
      </c>
      <c r="E583" s="1" t="s">
        <v>940</v>
      </c>
      <c r="F583" s="1">
        <v>390.0</v>
      </c>
      <c r="G583" s="5">
        <v>0.5680555555555555</v>
      </c>
      <c r="H583" s="1">
        <v>20.0</v>
      </c>
      <c r="I583" s="5">
        <v>0.6736111111111112</v>
      </c>
      <c r="J583" s="1" t="str">
        <f t="array" ref="J583">XLOOKUP(B583,cat!B:B,cat!C:C)</f>
        <v>D</v>
      </c>
      <c r="K583" s="1">
        <f t="array" ref="K583">XLOOKUP(B583,cat!B:B,cat!D:D)</f>
        <v>173</v>
      </c>
      <c r="L583" s="7">
        <f t="shared" si="1"/>
        <v>0.1055555556</v>
      </c>
      <c r="M583" s="1" t="str">
        <f t="shared" si="2"/>
        <v/>
      </c>
      <c r="P583" s="9"/>
      <c r="Q583" s="9">
        <f t="shared" si="3"/>
        <v>0</v>
      </c>
      <c r="R583" s="1" t="str">
        <f t="shared" si="4"/>
        <v>WMT</v>
      </c>
      <c r="S583" s="1" t="str">
        <f>IF($D583="LEBL", IF(COUNTIF('Paises ECAC'!B:B, C583)&gt;0, "ECAC","NO ECAC"), "")</f>
        <v/>
      </c>
    </row>
    <row r="584" ht="14.25" customHeight="1">
      <c r="A584" s="1" t="s">
        <v>1073</v>
      </c>
      <c r="B584" s="1" t="s">
        <v>57</v>
      </c>
      <c r="C584" s="1" t="s">
        <v>915</v>
      </c>
      <c r="D584" s="1" t="s">
        <v>21</v>
      </c>
      <c r="E584" s="1" t="s">
        <v>1074</v>
      </c>
      <c r="F584" s="1">
        <v>410.0</v>
      </c>
      <c r="G584" s="5">
        <v>0.14930555555555555</v>
      </c>
      <c r="H584" s="1">
        <v>25.0</v>
      </c>
      <c r="I584" s="5">
        <v>0.5659722222222222</v>
      </c>
      <c r="J584" s="1" t="str">
        <f t="array" ref="J584">XLOOKUP(B584,cat!B:B,cat!C:C)</f>
        <v>B</v>
      </c>
      <c r="K584" s="1">
        <f t="array" ref="K584">XLOOKUP(B584,cat!B:B,cat!D:D)</f>
        <v>281</v>
      </c>
      <c r="L584" s="7">
        <f t="shared" si="1"/>
        <v>0.4166666667</v>
      </c>
      <c r="M584" s="7">
        <f t="shared" si="2"/>
        <v>0.3865972222</v>
      </c>
      <c r="P584" s="9"/>
      <c r="Q584" s="9">
        <f t="shared" si="3"/>
        <v>8350.5</v>
      </c>
      <c r="R584" s="1" t="str">
        <f t="shared" si="4"/>
        <v>IBE</v>
      </c>
      <c r="S584" s="1" t="str">
        <f>IF($D584="LEBL", IF(COUNTIF('Paises ECAC'!B:B, C584)&gt;0, "ECAC","NO ECAC"), "")</f>
        <v>NO ECAC</v>
      </c>
    </row>
    <row r="585" ht="14.25" customHeight="1">
      <c r="A585" s="1" t="s">
        <v>1075</v>
      </c>
      <c r="B585" s="1" t="s">
        <v>35</v>
      </c>
      <c r="C585" s="1" t="s">
        <v>21</v>
      </c>
      <c r="D585" s="1" t="s">
        <v>169</v>
      </c>
      <c r="E585" s="1" t="s">
        <v>188</v>
      </c>
      <c r="F585" s="1">
        <v>320.0</v>
      </c>
      <c r="G585" s="5">
        <v>0.5666666666666667</v>
      </c>
      <c r="H585" s="1">
        <v>11.0</v>
      </c>
      <c r="I585" s="5">
        <v>0.6423611111111112</v>
      </c>
      <c r="J585" s="1" t="str">
        <f t="array" ref="J585">XLOOKUP(B585,cat!B:B,cat!C:C)</f>
        <v>D</v>
      </c>
      <c r="K585" s="1">
        <f t="array" ref="K585">XLOOKUP(B585,cat!B:B,cat!D:D)</f>
        <v>207</v>
      </c>
      <c r="L585" s="7">
        <f t="shared" si="1"/>
        <v>0.07569444444</v>
      </c>
      <c r="M585" s="1" t="str">
        <f t="shared" si="2"/>
        <v/>
      </c>
      <c r="P585" s="9"/>
      <c r="Q585" s="9">
        <f t="shared" si="3"/>
        <v>0</v>
      </c>
      <c r="R585" s="1" t="str">
        <f t="shared" si="4"/>
        <v>VLG</v>
      </c>
      <c r="S585" s="1" t="str">
        <f>IF($D585="LEBL", IF(COUNTIF('Paises ECAC'!B:B, C585)&gt;0, "ECAC","NO ECAC"), "")</f>
        <v/>
      </c>
    </row>
    <row r="586" ht="14.25" customHeight="1">
      <c r="A586" s="1" t="s">
        <v>1076</v>
      </c>
      <c r="B586" s="1" t="s">
        <v>212</v>
      </c>
      <c r="C586" s="1" t="s">
        <v>21</v>
      </c>
      <c r="D586" s="1" t="s">
        <v>199</v>
      </c>
      <c r="E586" s="1" t="s">
        <v>213</v>
      </c>
      <c r="F586" s="1">
        <v>340.0</v>
      </c>
      <c r="G586" s="5">
        <v>0.5625</v>
      </c>
      <c r="H586" s="1">
        <v>10.0</v>
      </c>
      <c r="I586" s="5">
        <v>0.6388888888888888</v>
      </c>
      <c r="J586" s="1" t="str">
        <f t="array" ref="J586">XLOOKUP(B586,cat!B:B,cat!C:C)</f>
        <v>D</v>
      </c>
      <c r="K586" s="1">
        <f t="array" ref="K586">XLOOKUP(B586,cat!B:B,cat!D:D)</f>
        <v>200</v>
      </c>
      <c r="L586" s="7">
        <f t="shared" si="1"/>
        <v>0.07638888889</v>
      </c>
      <c r="M586" s="1" t="str">
        <f t="shared" si="2"/>
        <v/>
      </c>
      <c r="P586" s="9"/>
      <c r="Q586" s="9">
        <f t="shared" si="3"/>
        <v>0</v>
      </c>
      <c r="R586" s="1" t="str">
        <f t="shared" si="4"/>
        <v>VLG</v>
      </c>
      <c r="S586" s="1" t="str">
        <f>IF($D586="LEBL", IF(COUNTIF('Paises ECAC'!B:B, C586)&gt;0, "ECAC","NO ECAC"), "")</f>
        <v/>
      </c>
    </row>
    <row r="587" ht="14.25" customHeight="1">
      <c r="A587" s="1" t="s">
        <v>1077</v>
      </c>
      <c r="B587" s="1" t="s">
        <v>30</v>
      </c>
      <c r="C587" s="1" t="s">
        <v>271</v>
      </c>
      <c r="D587" s="1" t="s">
        <v>21</v>
      </c>
      <c r="E587" s="1" t="s">
        <v>98</v>
      </c>
      <c r="F587" s="1">
        <v>340.0</v>
      </c>
      <c r="G587" s="5">
        <v>0.5097222222222222</v>
      </c>
      <c r="H587" s="1">
        <v>12.0</v>
      </c>
      <c r="I587" s="5">
        <v>0.5694444444444444</v>
      </c>
      <c r="J587" s="1" t="str">
        <f t="array" ref="J587">XLOOKUP(B587,cat!B:B,cat!C:C)</f>
        <v>D</v>
      </c>
      <c r="K587" s="1">
        <f t="array" ref="K587">XLOOKUP(B587,cat!B:B,cat!D:D)</f>
        <v>173</v>
      </c>
      <c r="L587" s="7">
        <f t="shared" si="1"/>
        <v>0.05972222222</v>
      </c>
      <c r="M587" s="7">
        <f t="shared" si="2"/>
        <v>0.03868055556</v>
      </c>
      <c r="P587" s="9"/>
      <c r="Q587" s="9">
        <f t="shared" si="3"/>
        <v>770.5166667</v>
      </c>
      <c r="R587" s="1" t="str">
        <f t="shared" si="4"/>
        <v>VLG</v>
      </c>
      <c r="S587" s="1" t="str">
        <f>IF($D587="LEBL", IF(COUNTIF('Paises ECAC'!B:B, C587)&gt;0, "ECAC","NO ECAC"), "")</f>
        <v>ECAC</v>
      </c>
    </row>
    <row r="588" ht="14.25" customHeight="1">
      <c r="A588" s="1" t="s">
        <v>1078</v>
      </c>
      <c r="B588" s="1" t="s">
        <v>19</v>
      </c>
      <c r="C588" s="1" t="s">
        <v>581</v>
      </c>
      <c r="D588" s="1" t="s">
        <v>21</v>
      </c>
      <c r="E588" s="1" t="s">
        <v>1079</v>
      </c>
      <c r="F588" s="1">
        <v>370.0</v>
      </c>
      <c r="G588" s="5">
        <v>0.49166666666666664</v>
      </c>
      <c r="H588" s="1">
        <v>12.0</v>
      </c>
      <c r="I588" s="5">
        <v>0.5694444444444444</v>
      </c>
      <c r="J588" s="1" t="str">
        <f t="array" ref="J588">XLOOKUP(B588,cat!B:B,cat!C:C)</f>
        <v>D</v>
      </c>
      <c r="K588" s="1">
        <f t="array" ref="K588">XLOOKUP(B588,cat!B:B,cat!D:D)</f>
        <v>184</v>
      </c>
      <c r="L588" s="7">
        <f t="shared" si="1"/>
        <v>0.07777777778</v>
      </c>
      <c r="M588" s="7">
        <f t="shared" si="2"/>
        <v>0.05673611111</v>
      </c>
      <c r="P588" s="9"/>
      <c r="Q588" s="9">
        <f t="shared" si="3"/>
        <v>1130.183333</v>
      </c>
      <c r="R588" s="1" t="str">
        <f t="shared" si="4"/>
        <v>RYR</v>
      </c>
      <c r="S588" s="1" t="str">
        <f>IF($D588="LEBL", IF(COUNTIF('Paises ECAC'!B:B, C588)&gt;0, "ECAC","NO ECAC"), "")</f>
        <v>ECAC</v>
      </c>
    </row>
    <row r="589" ht="14.25" customHeight="1">
      <c r="A589" s="1" t="s">
        <v>1080</v>
      </c>
      <c r="B589" s="1" t="s">
        <v>136</v>
      </c>
      <c r="C589" s="1" t="s">
        <v>21</v>
      </c>
      <c r="D589" s="1" t="s">
        <v>682</v>
      </c>
      <c r="E589" s="1" t="s">
        <v>138</v>
      </c>
      <c r="F589" s="1">
        <v>300.0</v>
      </c>
      <c r="G589" s="5">
        <v>0.5729166666666666</v>
      </c>
      <c r="H589" s="1">
        <v>20.0</v>
      </c>
      <c r="I589" s="5">
        <v>0.6111111111111112</v>
      </c>
      <c r="J589" s="1" t="str">
        <f t="array" ref="J589">XLOOKUP(B589,cat!B:B,cat!C:C)</f>
        <v>D</v>
      </c>
      <c r="K589" s="1">
        <f t="array" ref="K589">XLOOKUP(B589,cat!B:B,cat!D:D)</f>
        <v>144</v>
      </c>
      <c r="L589" s="7">
        <f t="shared" si="1"/>
        <v>0.03819444444</v>
      </c>
      <c r="M589" s="1" t="str">
        <f t="shared" si="2"/>
        <v/>
      </c>
      <c r="P589" s="9"/>
      <c r="Q589" s="9">
        <f t="shared" si="3"/>
        <v>0</v>
      </c>
      <c r="R589" s="1" t="str">
        <f t="shared" si="4"/>
        <v>EJU</v>
      </c>
      <c r="S589" s="1" t="str">
        <f>IF($D589="LEBL", IF(COUNTIF('Paises ECAC'!B:B, C589)&gt;0, "ECAC","NO ECAC"), "")</f>
        <v/>
      </c>
    </row>
    <row r="590" ht="14.25" customHeight="1">
      <c r="A590" s="1" t="s">
        <v>1081</v>
      </c>
      <c r="B590" s="1" t="s">
        <v>19</v>
      </c>
      <c r="C590" s="1" t="s">
        <v>21</v>
      </c>
      <c r="D590" s="1" t="s">
        <v>140</v>
      </c>
      <c r="E590" s="1" t="s">
        <v>928</v>
      </c>
      <c r="F590" s="1">
        <v>340.0</v>
      </c>
      <c r="G590" s="5">
        <v>0.5694444444444444</v>
      </c>
      <c r="H590" s="1">
        <v>20.0</v>
      </c>
      <c r="I590" s="5">
        <v>0.625</v>
      </c>
      <c r="J590" s="1" t="str">
        <f t="array" ref="J590">XLOOKUP(B590,cat!B:B,cat!C:C)</f>
        <v>D</v>
      </c>
      <c r="K590" s="1">
        <f t="array" ref="K590">XLOOKUP(B590,cat!B:B,cat!D:D)</f>
        <v>184</v>
      </c>
      <c r="L590" s="7">
        <f t="shared" si="1"/>
        <v>0.05555555556</v>
      </c>
      <c r="M590" s="1" t="str">
        <f t="shared" si="2"/>
        <v/>
      </c>
      <c r="P590" s="9"/>
      <c r="Q590" s="9">
        <f t="shared" si="3"/>
        <v>0</v>
      </c>
      <c r="R590" s="1" t="str">
        <f t="shared" si="4"/>
        <v>RYR</v>
      </c>
      <c r="S590" s="1" t="str">
        <f>IF($D590="LEBL", IF(COUNTIF('Paises ECAC'!B:B, C590)&gt;0, "ECAC","NO ECAC"), "")</f>
        <v/>
      </c>
    </row>
    <row r="591" ht="14.25" customHeight="1">
      <c r="A591" s="1" t="s">
        <v>1082</v>
      </c>
      <c r="B591" s="1" t="s">
        <v>35</v>
      </c>
      <c r="C591" s="1" t="s">
        <v>221</v>
      </c>
      <c r="D591" s="1" t="s">
        <v>21</v>
      </c>
      <c r="E591" s="1" t="s">
        <v>219</v>
      </c>
      <c r="F591" s="1">
        <v>350.0</v>
      </c>
      <c r="G591" s="5">
        <v>0.5138888888888888</v>
      </c>
      <c r="H591" s="1">
        <v>35.0</v>
      </c>
      <c r="I591" s="5">
        <v>0.5729166666666666</v>
      </c>
      <c r="J591" s="1" t="str">
        <f t="array" ref="J591">XLOOKUP(B591,cat!B:B,cat!C:C)</f>
        <v>D</v>
      </c>
      <c r="K591" s="1">
        <f t="array" ref="K591">XLOOKUP(B591,cat!B:B,cat!D:D)</f>
        <v>207</v>
      </c>
      <c r="L591" s="7">
        <f t="shared" si="1"/>
        <v>0.05902777778</v>
      </c>
      <c r="M591" s="7">
        <f t="shared" si="2"/>
        <v>0.02201388889</v>
      </c>
      <c r="P591" s="9"/>
      <c r="Q591" s="9">
        <f t="shared" si="3"/>
        <v>438.5166667</v>
      </c>
      <c r="R591" s="1" t="str">
        <f t="shared" si="4"/>
        <v>VLG</v>
      </c>
      <c r="S591" s="1" t="str">
        <f>IF($D591="LEBL", IF(COUNTIF('Paises ECAC'!B:B, C591)&gt;0, "ECAC","NO ECAC"), "")</f>
        <v>ECAC</v>
      </c>
    </row>
    <row r="592" ht="14.25" customHeight="1">
      <c r="A592" s="1" t="s">
        <v>1083</v>
      </c>
      <c r="B592" s="1" t="s">
        <v>30</v>
      </c>
      <c r="C592" s="1" t="s">
        <v>21</v>
      </c>
      <c r="D592" s="1" t="s">
        <v>199</v>
      </c>
      <c r="E592" s="1" t="s">
        <v>924</v>
      </c>
      <c r="F592" s="1">
        <v>340.0</v>
      </c>
      <c r="G592" s="5">
        <v>0.5555555555555556</v>
      </c>
      <c r="H592" s="1">
        <v>10.0</v>
      </c>
      <c r="I592" s="5">
        <v>0.6423611111111112</v>
      </c>
      <c r="J592" s="1" t="str">
        <f t="array" ref="J592">XLOOKUP(B592,cat!B:B,cat!C:C)</f>
        <v>D</v>
      </c>
      <c r="K592" s="1">
        <f t="array" ref="K592">XLOOKUP(B592,cat!B:B,cat!D:D)</f>
        <v>173</v>
      </c>
      <c r="L592" s="7">
        <f t="shared" si="1"/>
        <v>0.08680555556</v>
      </c>
      <c r="M592" s="1" t="str">
        <f t="shared" si="2"/>
        <v/>
      </c>
      <c r="P592" s="9"/>
      <c r="Q592" s="9">
        <f t="shared" si="3"/>
        <v>0</v>
      </c>
      <c r="R592" s="1" t="str">
        <f t="shared" si="4"/>
        <v>BEL</v>
      </c>
      <c r="S592" s="1" t="str">
        <f>IF($D592="LEBL", IF(COUNTIF('Paises ECAC'!B:B, C592)&gt;0, "ECAC","NO ECAC"), "")</f>
        <v/>
      </c>
    </row>
    <row r="593" ht="14.25" customHeight="1">
      <c r="A593" s="1" t="s">
        <v>1084</v>
      </c>
      <c r="B593" s="1" t="s">
        <v>30</v>
      </c>
      <c r="C593" s="1" t="s">
        <v>21</v>
      </c>
      <c r="D593" s="1" t="s">
        <v>682</v>
      </c>
      <c r="E593" s="1" t="s">
        <v>356</v>
      </c>
      <c r="F593" s="1">
        <v>340.0</v>
      </c>
      <c r="G593" s="5">
        <v>0.5722222222222222</v>
      </c>
      <c r="H593" s="1">
        <v>8.0</v>
      </c>
      <c r="I593" s="5">
        <v>0.6111111111111112</v>
      </c>
      <c r="J593" s="1" t="str">
        <f t="array" ref="J593">XLOOKUP(B593,cat!B:B,cat!C:C)</f>
        <v>D</v>
      </c>
      <c r="K593" s="1">
        <f t="array" ref="K593">XLOOKUP(B593,cat!B:B,cat!D:D)</f>
        <v>173</v>
      </c>
      <c r="L593" s="7">
        <f t="shared" si="1"/>
        <v>0.03888888889</v>
      </c>
      <c r="M593" s="1" t="str">
        <f t="shared" si="2"/>
        <v/>
      </c>
      <c r="P593" s="9"/>
      <c r="Q593" s="9">
        <f t="shared" si="3"/>
        <v>0</v>
      </c>
      <c r="R593" s="1" t="str">
        <f t="shared" si="4"/>
        <v>VLG</v>
      </c>
      <c r="S593" s="1" t="str">
        <f>IF($D593="LEBL", IF(COUNTIF('Paises ECAC'!B:B, C593)&gt;0, "ECAC","NO ECAC"), "")</f>
        <v/>
      </c>
    </row>
    <row r="594" ht="14.25" customHeight="1">
      <c r="A594" s="1" t="s">
        <v>1085</v>
      </c>
      <c r="B594" s="1" t="s">
        <v>25</v>
      </c>
      <c r="C594" s="1" t="s">
        <v>700</v>
      </c>
      <c r="D594" s="1" t="s">
        <v>21</v>
      </c>
      <c r="E594" s="1" t="s">
        <v>222</v>
      </c>
      <c r="F594" s="1">
        <v>300.0</v>
      </c>
      <c r="G594" s="5">
        <v>0.5097222222222222</v>
      </c>
      <c r="H594" s="1">
        <v>10.0</v>
      </c>
      <c r="I594" s="5">
        <v>0.5729166666666666</v>
      </c>
      <c r="J594" s="1" t="str">
        <f t="array" ref="J594">XLOOKUP(B594,cat!B:B,cat!C:C)</f>
        <v>D</v>
      </c>
      <c r="K594" s="1">
        <f t="array" ref="K594">XLOOKUP(B594,cat!B:B,cat!D:D)</f>
        <v>180</v>
      </c>
      <c r="L594" s="7">
        <f t="shared" si="1"/>
        <v>0.06319444444</v>
      </c>
      <c r="M594" s="7">
        <f t="shared" si="2"/>
        <v>0.04354166667</v>
      </c>
      <c r="P594" s="9"/>
      <c r="Q594" s="9">
        <f t="shared" si="3"/>
        <v>867.35</v>
      </c>
      <c r="R594" s="1" t="str">
        <f t="shared" si="4"/>
        <v>VLG</v>
      </c>
      <c r="S594" s="1" t="str">
        <f>IF($D594="LEBL", IF(COUNTIF('Paises ECAC'!B:B, C594)&gt;0, "ECAC","NO ECAC"), "")</f>
        <v>ECAC</v>
      </c>
    </row>
    <row r="595" ht="14.25" customHeight="1">
      <c r="A595" s="1" t="s">
        <v>1086</v>
      </c>
      <c r="B595" s="1" t="s">
        <v>30</v>
      </c>
      <c r="C595" s="1" t="s">
        <v>21</v>
      </c>
      <c r="D595" s="1" t="s">
        <v>1087</v>
      </c>
      <c r="E595" s="1" t="s">
        <v>302</v>
      </c>
      <c r="F595" s="1">
        <v>380.0</v>
      </c>
      <c r="G595" s="5">
        <v>0.5736111111111111</v>
      </c>
      <c r="H595" s="1">
        <v>11.0</v>
      </c>
      <c r="I595" s="5">
        <v>0.6354166666666666</v>
      </c>
      <c r="J595" s="1" t="str">
        <f t="array" ref="J595">XLOOKUP(B595,cat!B:B,cat!C:C)</f>
        <v>D</v>
      </c>
      <c r="K595" s="1">
        <f t="array" ref="K595">XLOOKUP(B595,cat!B:B,cat!D:D)</f>
        <v>173</v>
      </c>
      <c r="L595" s="7">
        <f t="shared" si="1"/>
        <v>0.06180555556</v>
      </c>
      <c r="M595" s="1" t="str">
        <f t="shared" si="2"/>
        <v/>
      </c>
      <c r="P595" s="9"/>
      <c r="Q595" s="9">
        <f t="shared" si="3"/>
        <v>0</v>
      </c>
      <c r="R595" s="1" t="str">
        <f t="shared" si="4"/>
        <v>VLG</v>
      </c>
      <c r="S595" s="1" t="str">
        <f>IF($D595="LEBL", IF(COUNTIF('Paises ECAC'!B:B, C595)&gt;0, "ECAC","NO ECAC"), "")</f>
        <v/>
      </c>
    </row>
    <row r="596" ht="14.25" customHeight="1">
      <c r="A596" s="1" t="s">
        <v>1088</v>
      </c>
      <c r="B596" s="1" t="s">
        <v>1089</v>
      </c>
      <c r="C596" s="1" t="s">
        <v>21</v>
      </c>
      <c r="D596" s="1" t="s">
        <v>169</v>
      </c>
      <c r="E596" s="1" t="s">
        <v>1090</v>
      </c>
      <c r="F596" s="1">
        <v>360.0</v>
      </c>
      <c r="G596" s="5">
        <v>0.5777777777777777</v>
      </c>
      <c r="H596" s="1">
        <v>20.0</v>
      </c>
      <c r="I596" s="5">
        <v>0.6493055555555556</v>
      </c>
      <c r="J596" s="1" t="str">
        <f t="array" ref="J596">XLOOKUP(B596,cat!B:B,cat!C:C)</f>
        <v>E</v>
      </c>
      <c r="K596" s="1">
        <f t="array" ref="K596">XLOOKUP(B596,cat!B:B,cat!D:D)</f>
        <v>9</v>
      </c>
      <c r="L596" s="7">
        <f t="shared" si="1"/>
        <v>0.07152777778</v>
      </c>
      <c r="M596" s="1" t="str">
        <f t="shared" si="2"/>
        <v/>
      </c>
      <c r="P596" s="9"/>
      <c r="Q596" s="9">
        <f t="shared" si="3"/>
        <v>0</v>
      </c>
      <c r="R596" s="1" t="str">
        <f t="shared" si="4"/>
        <v>VJA</v>
      </c>
      <c r="S596" s="1" t="str">
        <f>IF($D596="LEBL", IF(COUNTIF('Paises ECAC'!B:B, C596)&gt;0, "ECAC","NO ECAC"), "")</f>
        <v/>
      </c>
    </row>
    <row r="597" ht="14.25" customHeight="1">
      <c r="A597" s="1" t="s">
        <v>1091</v>
      </c>
      <c r="B597" s="1" t="s">
        <v>19</v>
      </c>
      <c r="C597" s="1" t="s">
        <v>21</v>
      </c>
      <c r="D597" s="1" t="s">
        <v>958</v>
      </c>
      <c r="E597" s="1" t="s">
        <v>959</v>
      </c>
      <c r="F597" s="1">
        <v>370.0</v>
      </c>
      <c r="G597" s="5">
        <v>0.5708333333333333</v>
      </c>
      <c r="H597" s="1">
        <v>12.0</v>
      </c>
      <c r="I597" s="5">
        <v>0.6423611111111112</v>
      </c>
      <c r="J597" s="1" t="str">
        <f t="array" ref="J597">XLOOKUP(B597,cat!B:B,cat!C:C)</f>
        <v>D</v>
      </c>
      <c r="K597" s="1">
        <f t="array" ref="K597">XLOOKUP(B597,cat!B:B,cat!D:D)</f>
        <v>184</v>
      </c>
      <c r="L597" s="7">
        <f t="shared" si="1"/>
        <v>0.07152777778</v>
      </c>
      <c r="M597" s="1" t="str">
        <f t="shared" si="2"/>
        <v/>
      </c>
      <c r="P597" s="9"/>
      <c r="Q597" s="9">
        <f t="shared" si="3"/>
        <v>0</v>
      </c>
      <c r="R597" s="1" t="str">
        <f t="shared" si="4"/>
        <v>RAM</v>
      </c>
      <c r="S597" s="1" t="str">
        <f>IF($D597="LEBL", IF(COUNTIF('Paises ECAC'!B:B, C597)&gt;0, "ECAC","NO ECAC"), "")</f>
        <v/>
      </c>
    </row>
    <row r="598" ht="14.25" customHeight="1">
      <c r="A598" s="1" t="s">
        <v>1092</v>
      </c>
      <c r="B598" s="1" t="s">
        <v>19</v>
      </c>
      <c r="C598" s="1" t="s">
        <v>21</v>
      </c>
      <c r="D598" s="1" t="s">
        <v>199</v>
      </c>
      <c r="E598" s="1" t="s">
        <v>144</v>
      </c>
      <c r="F598" s="1">
        <v>340.0</v>
      </c>
      <c r="G598" s="5">
        <v>0.5798611111111112</v>
      </c>
      <c r="H598" s="1">
        <v>20.0</v>
      </c>
      <c r="I598" s="5">
        <v>0.6493055555555556</v>
      </c>
      <c r="J598" s="1" t="str">
        <f t="array" ref="J598">XLOOKUP(B598,cat!B:B,cat!C:C)</f>
        <v>D</v>
      </c>
      <c r="K598" s="1">
        <f t="array" ref="K598">XLOOKUP(B598,cat!B:B,cat!D:D)</f>
        <v>184</v>
      </c>
      <c r="L598" s="7">
        <f t="shared" si="1"/>
        <v>0.06944444444</v>
      </c>
      <c r="M598" s="1" t="str">
        <f t="shared" si="2"/>
        <v/>
      </c>
      <c r="P598" s="9"/>
      <c r="Q598" s="9">
        <f t="shared" si="3"/>
        <v>0</v>
      </c>
      <c r="R598" s="1" t="str">
        <f t="shared" si="4"/>
        <v>RYR</v>
      </c>
      <c r="S598" s="1" t="str">
        <f>IF($D598="LEBL", IF(COUNTIF('Paises ECAC'!B:B, C598)&gt;0, "ECAC","NO ECAC"), "")</f>
        <v/>
      </c>
    </row>
    <row r="599" ht="14.25" customHeight="1">
      <c r="A599" s="1" t="s">
        <v>1093</v>
      </c>
      <c r="B599" s="1" t="s">
        <v>477</v>
      </c>
      <c r="C599" s="1" t="s">
        <v>21</v>
      </c>
      <c r="D599" s="1" t="s">
        <v>667</v>
      </c>
      <c r="E599" s="1" t="s">
        <v>904</v>
      </c>
      <c r="F599" s="1">
        <v>400.0</v>
      </c>
      <c r="G599" s="5">
        <v>0.5763888888888888</v>
      </c>
      <c r="H599" s="1">
        <v>13.0</v>
      </c>
      <c r="I599" s="5">
        <v>0.9166666666666666</v>
      </c>
      <c r="J599" s="1" t="str">
        <f t="array" ref="J599">XLOOKUP(B599,cat!B:B,cat!C:C)</f>
        <v>B</v>
      </c>
      <c r="K599" s="1">
        <f t="array" ref="K599">XLOOKUP(B599,cat!B:B,cat!D:D)</f>
        <v>266</v>
      </c>
      <c r="L599" s="7">
        <f t="shared" si="1"/>
        <v>0.3402777778</v>
      </c>
      <c r="M599" s="1" t="str">
        <f t="shared" si="2"/>
        <v/>
      </c>
      <c r="P599" s="9"/>
      <c r="Q599" s="9">
        <f t="shared" si="3"/>
        <v>0</v>
      </c>
      <c r="R599" s="1" t="str">
        <f t="shared" si="4"/>
        <v>UAL</v>
      </c>
      <c r="S599" s="1" t="str">
        <f>IF($D599="LEBL", IF(COUNTIF('Paises ECAC'!B:B, C599)&gt;0, "ECAC","NO ECAC"), "")</f>
        <v/>
      </c>
    </row>
    <row r="600" ht="14.25" customHeight="1">
      <c r="A600" s="1" t="s">
        <v>1094</v>
      </c>
      <c r="B600" s="1" t="s">
        <v>30</v>
      </c>
      <c r="C600" s="1" t="s">
        <v>245</v>
      </c>
      <c r="D600" s="1" t="s">
        <v>21</v>
      </c>
      <c r="E600" s="1" t="s">
        <v>764</v>
      </c>
      <c r="F600" s="1">
        <v>180.0</v>
      </c>
      <c r="G600" s="5">
        <v>0.55625</v>
      </c>
      <c r="H600" s="1">
        <v>7.0</v>
      </c>
      <c r="I600" s="5">
        <v>0.5798611111111112</v>
      </c>
      <c r="J600" s="1" t="str">
        <f t="array" ref="J600">XLOOKUP(B600,cat!B:B,cat!C:C)</f>
        <v>D</v>
      </c>
      <c r="K600" s="1">
        <f t="array" ref="K600">XLOOKUP(B600,cat!B:B,cat!D:D)</f>
        <v>173</v>
      </c>
      <c r="L600" s="7">
        <f t="shared" si="1"/>
        <v>0.02361111111</v>
      </c>
      <c r="M600" s="7">
        <f t="shared" si="2"/>
        <v>0.006041666667</v>
      </c>
      <c r="P600" s="9"/>
      <c r="Q600" s="9">
        <f t="shared" si="3"/>
        <v>120.35</v>
      </c>
      <c r="R600" s="1" t="str">
        <f t="shared" si="4"/>
        <v>VLG</v>
      </c>
      <c r="S600" s="1" t="str">
        <f>IF($D600="LEBL", IF(COUNTIF('Paises ECAC'!B:B, C600)&gt;0, "ECAC","NO ECAC"), "")</f>
        <v>ECAC</v>
      </c>
    </row>
    <row r="601" ht="14.25" customHeight="1">
      <c r="A601" s="1" t="s">
        <v>1095</v>
      </c>
      <c r="B601" s="1" t="s">
        <v>30</v>
      </c>
      <c r="C601" s="1" t="s">
        <v>21</v>
      </c>
      <c r="D601" s="1" t="s">
        <v>258</v>
      </c>
      <c r="E601" s="1" t="s">
        <v>127</v>
      </c>
      <c r="F601" s="1">
        <v>330.0</v>
      </c>
      <c r="G601" s="5">
        <v>0.5729166666666666</v>
      </c>
      <c r="H601" s="1">
        <v>10.0</v>
      </c>
      <c r="I601" s="5">
        <v>0.625</v>
      </c>
      <c r="J601" s="1" t="str">
        <f t="array" ref="J601">XLOOKUP(B601,cat!B:B,cat!C:C)</f>
        <v>D</v>
      </c>
      <c r="K601" s="1">
        <f t="array" ref="K601">XLOOKUP(B601,cat!B:B,cat!D:D)</f>
        <v>173</v>
      </c>
      <c r="L601" s="7">
        <f t="shared" si="1"/>
        <v>0.05208333333</v>
      </c>
      <c r="M601" s="1" t="str">
        <f t="shared" si="2"/>
        <v/>
      </c>
      <c r="P601" s="9"/>
      <c r="Q601" s="9">
        <f t="shared" si="3"/>
        <v>0</v>
      </c>
      <c r="R601" s="1" t="str">
        <f t="shared" si="4"/>
        <v>VLG</v>
      </c>
      <c r="S601" s="1" t="str">
        <f>IF($D601="LEBL", IF(COUNTIF('Paises ECAC'!B:B, C601)&gt;0, "ECAC","NO ECAC"), "")</f>
        <v/>
      </c>
    </row>
    <row r="602" ht="14.25" customHeight="1">
      <c r="A602" s="1" t="s">
        <v>1096</v>
      </c>
      <c r="B602" s="1" t="s">
        <v>30</v>
      </c>
      <c r="C602" s="1" t="s">
        <v>808</v>
      </c>
      <c r="D602" s="1" t="s">
        <v>21</v>
      </c>
      <c r="E602" s="1" t="s">
        <v>32</v>
      </c>
      <c r="F602" s="1">
        <v>310.0</v>
      </c>
      <c r="G602" s="5">
        <v>0.5395833333333333</v>
      </c>
      <c r="H602" s="1">
        <v>15.0</v>
      </c>
      <c r="I602" s="5">
        <v>0.5798611111111112</v>
      </c>
      <c r="J602" s="1" t="str">
        <f t="array" ref="J602">XLOOKUP(B602,cat!B:B,cat!C:C)</f>
        <v>D</v>
      </c>
      <c r="K602" s="1">
        <f t="array" ref="K602">XLOOKUP(B602,cat!B:B,cat!D:D)</f>
        <v>173</v>
      </c>
      <c r="L602" s="7">
        <f t="shared" si="1"/>
        <v>0.04027777778</v>
      </c>
      <c r="M602" s="7">
        <f t="shared" si="2"/>
        <v>0.01715277778</v>
      </c>
      <c r="P602" s="9"/>
      <c r="Q602" s="9">
        <f t="shared" si="3"/>
        <v>341.6833333</v>
      </c>
      <c r="R602" s="1" t="str">
        <f t="shared" si="4"/>
        <v>VLG</v>
      </c>
      <c r="S602" s="1" t="str">
        <f>IF($D602="LEBL", IF(COUNTIF('Paises ECAC'!B:B, C602)&gt;0, "ECAC","NO ECAC"), "")</f>
        <v>ECAC</v>
      </c>
    </row>
    <row r="603" ht="14.25" customHeight="1">
      <c r="A603" s="1" t="s">
        <v>1097</v>
      </c>
      <c r="B603" s="1" t="s">
        <v>19</v>
      </c>
      <c r="C603" s="1" t="s">
        <v>21</v>
      </c>
      <c r="D603" s="1" t="s">
        <v>53</v>
      </c>
      <c r="E603" s="1" t="s">
        <v>101</v>
      </c>
      <c r="F603" s="1">
        <v>380.0</v>
      </c>
      <c r="G603" s="5">
        <v>0.5840277777777778</v>
      </c>
      <c r="H603" s="1">
        <v>21.0</v>
      </c>
      <c r="I603" s="5">
        <v>0.6631944444444444</v>
      </c>
      <c r="J603" s="1" t="str">
        <f t="array" ref="J603">XLOOKUP(B603,cat!B:B,cat!C:C)</f>
        <v>D</v>
      </c>
      <c r="K603" s="1">
        <f t="array" ref="K603">XLOOKUP(B603,cat!B:B,cat!D:D)</f>
        <v>184</v>
      </c>
      <c r="L603" s="7">
        <f t="shared" si="1"/>
        <v>0.07916666667</v>
      </c>
      <c r="M603" s="1" t="str">
        <f t="shared" si="2"/>
        <v/>
      </c>
      <c r="P603" s="9"/>
      <c r="Q603" s="9">
        <f t="shared" si="3"/>
        <v>0</v>
      </c>
      <c r="R603" s="1" t="str">
        <f t="shared" si="4"/>
        <v>RYR</v>
      </c>
      <c r="S603" s="1" t="str">
        <f>IF($D603="LEBL", IF(COUNTIF('Paises ECAC'!B:B, C603)&gt;0, "ECAC","NO ECAC"), "")</f>
        <v/>
      </c>
    </row>
    <row r="604" ht="14.25" customHeight="1">
      <c r="A604" s="1" t="s">
        <v>1098</v>
      </c>
      <c r="B604" s="1" t="s">
        <v>962</v>
      </c>
      <c r="C604" s="1" t="s">
        <v>143</v>
      </c>
      <c r="D604" s="1" t="s">
        <v>21</v>
      </c>
      <c r="E604" s="1" t="s">
        <v>963</v>
      </c>
      <c r="F604" s="1">
        <v>180.0</v>
      </c>
      <c r="G604" s="5">
        <v>0.5590277777777778</v>
      </c>
      <c r="H604" s="1">
        <v>5.0</v>
      </c>
      <c r="I604" s="5">
        <v>0.5798611111111112</v>
      </c>
      <c r="J604" s="1" t="str">
        <f t="array" ref="J604">XLOOKUP(B604,cat!B:B,cat!C:C)</f>
        <v>F</v>
      </c>
      <c r="K604" s="1">
        <f t="array" ref="K604">XLOOKUP(B604,cat!B:B,cat!D:D)</f>
        <v>9</v>
      </c>
      <c r="L604" s="7">
        <f t="shared" si="1"/>
        <v>0.02083333333</v>
      </c>
      <c r="M604" s="7">
        <f t="shared" si="2"/>
        <v>0.004652777778</v>
      </c>
      <c r="P604" s="9"/>
      <c r="Q604" s="9">
        <f t="shared" si="3"/>
        <v>20.1</v>
      </c>
      <c r="R604" s="1" t="str">
        <f t="shared" si="4"/>
        <v>ORO</v>
      </c>
      <c r="S604" s="1" t="str">
        <f>IF($D604="LEBL", IF(COUNTIF('Paises ECAC'!B:B, C604)&gt;0, "ECAC","NO ECAC"), "")</f>
        <v>ECAC</v>
      </c>
    </row>
    <row r="605" ht="14.25" customHeight="1">
      <c r="A605" s="1" t="s">
        <v>1099</v>
      </c>
      <c r="B605" s="1" t="s">
        <v>40</v>
      </c>
      <c r="C605" s="1" t="s">
        <v>21</v>
      </c>
      <c r="D605" s="1" t="s">
        <v>1100</v>
      </c>
      <c r="E605" s="1" t="s">
        <v>120</v>
      </c>
      <c r="F605" s="1">
        <v>340.0</v>
      </c>
      <c r="G605" s="5">
        <v>0.5833333333333334</v>
      </c>
      <c r="H605" s="1">
        <v>20.0</v>
      </c>
      <c r="I605" s="5">
        <v>0.6215277777777778</v>
      </c>
      <c r="J605" s="1" t="str">
        <f t="array" ref="J605">XLOOKUP(B605,cat!B:B,cat!C:C)</f>
        <v>D</v>
      </c>
      <c r="K605" s="1">
        <f t="array" ref="K605">XLOOKUP(B605,cat!B:B,cat!D:D)</f>
        <v>186</v>
      </c>
      <c r="L605" s="7">
        <f t="shared" si="1"/>
        <v>0.03819444444</v>
      </c>
      <c r="M605" s="1" t="str">
        <f t="shared" si="2"/>
        <v/>
      </c>
      <c r="P605" s="9"/>
      <c r="Q605" s="9">
        <f t="shared" si="3"/>
        <v>0</v>
      </c>
      <c r="R605" s="1" t="str">
        <f t="shared" si="4"/>
        <v>RYR</v>
      </c>
      <c r="S605" s="1" t="str">
        <f>IF($D605="LEBL", IF(COUNTIF('Paises ECAC'!B:B, C605)&gt;0, "ECAC","NO ECAC"), "")</f>
        <v/>
      </c>
    </row>
    <row r="606" ht="14.25" customHeight="1">
      <c r="A606" s="1" t="s">
        <v>1101</v>
      </c>
      <c r="B606" s="1" t="s">
        <v>19</v>
      </c>
      <c r="C606" s="1" t="s">
        <v>527</v>
      </c>
      <c r="D606" s="1" t="s">
        <v>21</v>
      </c>
      <c r="E606" s="1" t="s">
        <v>130</v>
      </c>
      <c r="F606" s="1">
        <v>370.0</v>
      </c>
      <c r="G606" s="5">
        <v>0.5034722222222222</v>
      </c>
      <c r="H606" s="1">
        <v>15.0</v>
      </c>
      <c r="I606" s="5">
        <v>0.5833333333333334</v>
      </c>
      <c r="J606" s="1" t="str">
        <f t="array" ref="J606">XLOOKUP(B606,cat!B:B,cat!C:C)</f>
        <v>D</v>
      </c>
      <c r="K606" s="1">
        <f t="array" ref="K606">XLOOKUP(B606,cat!B:B,cat!D:D)</f>
        <v>184</v>
      </c>
      <c r="L606" s="7">
        <f t="shared" si="1"/>
        <v>0.07986111111</v>
      </c>
      <c r="M606" s="7">
        <f t="shared" si="2"/>
        <v>0.05673611111</v>
      </c>
      <c r="P606" s="9"/>
      <c r="Q606" s="9">
        <f t="shared" si="3"/>
        <v>1130.183333</v>
      </c>
      <c r="R606" s="1" t="str">
        <f t="shared" si="4"/>
        <v>RYR</v>
      </c>
      <c r="S606" s="1" t="str">
        <f>IF($D606="LEBL", IF(COUNTIF('Paises ECAC'!B:B, C606)&gt;0, "ECAC","NO ECAC"), "")</f>
        <v>ECAC</v>
      </c>
    </row>
    <row r="607" ht="14.25" customHeight="1">
      <c r="A607" s="1" t="s">
        <v>1102</v>
      </c>
      <c r="B607" s="1" t="s">
        <v>25</v>
      </c>
      <c r="C607" s="1" t="s">
        <v>21</v>
      </c>
      <c r="D607" s="1" t="s">
        <v>287</v>
      </c>
      <c r="E607" s="1" t="s">
        <v>1015</v>
      </c>
      <c r="F607" s="1">
        <v>380.0</v>
      </c>
      <c r="G607" s="5">
        <v>0.5805555555555556</v>
      </c>
      <c r="H607" s="1">
        <v>11.0</v>
      </c>
      <c r="I607" s="5">
        <v>0.65625</v>
      </c>
      <c r="J607" s="1" t="str">
        <f t="array" ref="J607">XLOOKUP(B607,cat!B:B,cat!C:C)</f>
        <v>D</v>
      </c>
      <c r="K607" s="1">
        <f t="array" ref="K607">XLOOKUP(B607,cat!B:B,cat!D:D)</f>
        <v>180</v>
      </c>
      <c r="L607" s="7">
        <f t="shared" si="1"/>
        <v>0.07569444444</v>
      </c>
      <c r="M607" s="1" t="str">
        <f t="shared" si="2"/>
        <v/>
      </c>
      <c r="P607" s="9"/>
      <c r="Q607" s="9">
        <f t="shared" si="3"/>
        <v>0</v>
      </c>
      <c r="R607" s="1" t="str">
        <f t="shared" si="4"/>
        <v>DLH</v>
      </c>
      <c r="S607" s="1" t="str">
        <f>IF($D607="LEBL", IF(COUNTIF('Paises ECAC'!B:B, C607)&gt;0, "ECAC","NO ECAC"), "")</f>
        <v/>
      </c>
    </row>
    <row r="608" ht="14.25" customHeight="1">
      <c r="A608" s="1" t="s">
        <v>1103</v>
      </c>
      <c r="B608" s="1" t="s">
        <v>30</v>
      </c>
      <c r="C608" s="1" t="s">
        <v>541</v>
      </c>
      <c r="D608" s="1" t="s">
        <v>21</v>
      </c>
      <c r="E608" s="1" t="s">
        <v>1104</v>
      </c>
      <c r="F608" s="1">
        <v>350.0</v>
      </c>
      <c r="G608" s="5">
        <v>0.5069444444444444</v>
      </c>
      <c r="H608" s="1">
        <v>13.0</v>
      </c>
      <c r="I608" s="5">
        <v>0.5833333333333334</v>
      </c>
      <c r="J608" s="1" t="str">
        <f t="array" ref="J608">XLOOKUP(B608,cat!B:B,cat!C:C)</f>
        <v>D</v>
      </c>
      <c r="K608" s="1">
        <f t="array" ref="K608">XLOOKUP(B608,cat!B:B,cat!D:D)</f>
        <v>173</v>
      </c>
      <c r="L608" s="7">
        <f t="shared" si="1"/>
        <v>0.07638888889</v>
      </c>
      <c r="M608" s="7">
        <f t="shared" si="2"/>
        <v>0.05465277778</v>
      </c>
      <c r="P608" s="9"/>
      <c r="Q608" s="9">
        <f t="shared" si="3"/>
        <v>1088.683333</v>
      </c>
      <c r="R608" s="1" t="str">
        <f t="shared" si="4"/>
        <v>EZY</v>
      </c>
      <c r="S608" s="1" t="str">
        <f>IF($D608="LEBL", IF(COUNTIF('Paises ECAC'!B:B, C608)&gt;0, "ECAC","NO ECAC"), "")</f>
        <v>ECAC</v>
      </c>
    </row>
    <row r="609" ht="14.25" customHeight="1">
      <c r="A609" s="1" t="s">
        <v>1105</v>
      </c>
      <c r="B609" s="1" t="s">
        <v>57</v>
      </c>
      <c r="C609" s="1" t="s">
        <v>21</v>
      </c>
      <c r="D609" s="1" t="s">
        <v>530</v>
      </c>
      <c r="E609" s="1" t="s">
        <v>814</v>
      </c>
      <c r="F609" s="1">
        <v>400.0</v>
      </c>
      <c r="G609" s="5">
        <v>0.5784722222222223</v>
      </c>
      <c r="H609" s="1">
        <v>13.0</v>
      </c>
      <c r="I609" s="5">
        <v>0.9722222222222222</v>
      </c>
      <c r="J609" s="1" t="str">
        <f t="array" ref="J609">XLOOKUP(B609,cat!B:B,cat!C:C)</f>
        <v>B</v>
      </c>
      <c r="K609" s="1">
        <f t="array" ref="K609">XLOOKUP(B609,cat!B:B,cat!D:D)</f>
        <v>281</v>
      </c>
      <c r="L609" s="7">
        <f t="shared" si="1"/>
        <v>0.39375</v>
      </c>
      <c r="M609" s="1" t="str">
        <f t="shared" si="2"/>
        <v/>
      </c>
      <c r="P609" s="9"/>
      <c r="Q609" s="9">
        <f t="shared" si="3"/>
        <v>0</v>
      </c>
      <c r="R609" s="1" t="str">
        <f t="shared" si="4"/>
        <v>IBE</v>
      </c>
      <c r="S609" s="1" t="str">
        <f>IF($D609="LEBL", IF(COUNTIF('Paises ECAC'!B:B, C609)&gt;0, "ECAC","NO ECAC"), "")</f>
        <v/>
      </c>
    </row>
    <row r="610" ht="14.25" customHeight="1">
      <c r="A610" s="1" t="s">
        <v>1106</v>
      </c>
      <c r="B610" s="1" t="s">
        <v>30</v>
      </c>
      <c r="C610" s="1" t="s">
        <v>21</v>
      </c>
      <c r="D610" s="1" t="s">
        <v>731</v>
      </c>
      <c r="E610" s="1" t="s">
        <v>180</v>
      </c>
      <c r="F610" s="1">
        <v>380.0</v>
      </c>
      <c r="G610" s="5">
        <v>0.5868055555555556</v>
      </c>
      <c r="H610" s="1">
        <v>10.0</v>
      </c>
      <c r="I610" s="5">
        <v>0.6527777777777778</v>
      </c>
      <c r="J610" s="1" t="str">
        <f t="array" ref="J610">XLOOKUP(B610,cat!B:B,cat!C:C)</f>
        <v>D</v>
      </c>
      <c r="K610" s="1">
        <f t="array" ref="K610">XLOOKUP(B610,cat!B:B,cat!D:D)</f>
        <v>173</v>
      </c>
      <c r="L610" s="7">
        <f t="shared" si="1"/>
        <v>0.06597222222</v>
      </c>
      <c r="M610" s="1" t="str">
        <f t="shared" si="2"/>
        <v/>
      </c>
      <c r="P610" s="9"/>
      <c r="Q610" s="9">
        <f t="shared" si="3"/>
        <v>0</v>
      </c>
      <c r="R610" s="1" t="str">
        <f t="shared" si="4"/>
        <v>VLG</v>
      </c>
      <c r="S610" s="1" t="str">
        <f>IF($D610="LEBL", IF(COUNTIF('Paises ECAC'!B:B, C610)&gt;0, "ECAC","NO ECAC"), "")</f>
        <v/>
      </c>
    </row>
    <row r="611" ht="14.25" customHeight="1">
      <c r="A611" s="1" t="s">
        <v>1107</v>
      </c>
      <c r="B611" s="1" t="s">
        <v>19</v>
      </c>
      <c r="C611" s="1" t="s">
        <v>377</v>
      </c>
      <c r="D611" s="1" t="s">
        <v>21</v>
      </c>
      <c r="E611" s="1" t="s">
        <v>1108</v>
      </c>
      <c r="F611" s="1">
        <v>370.0</v>
      </c>
      <c r="G611" s="5">
        <v>0.5125</v>
      </c>
      <c r="H611" s="1">
        <v>12.0</v>
      </c>
      <c r="I611" s="5">
        <v>0.5868055555555556</v>
      </c>
      <c r="J611" s="1" t="str">
        <f t="array" ref="J611">XLOOKUP(B611,cat!B:B,cat!C:C)</f>
        <v>D</v>
      </c>
      <c r="K611" s="1">
        <f t="array" ref="K611">XLOOKUP(B611,cat!B:B,cat!D:D)</f>
        <v>184</v>
      </c>
      <c r="L611" s="7">
        <f t="shared" si="1"/>
        <v>0.07430555556</v>
      </c>
      <c r="M611" s="7">
        <f t="shared" si="2"/>
        <v>0.05326388889</v>
      </c>
      <c r="P611" s="9"/>
      <c r="Q611" s="9">
        <f t="shared" si="3"/>
        <v>1061.016667</v>
      </c>
      <c r="R611" s="1" t="str">
        <f t="shared" si="4"/>
        <v>RYR</v>
      </c>
      <c r="S611" s="1" t="str">
        <f>IF($D611="LEBL", IF(COUNTIF('Paises ECAC'!B:B, C611)&gt;0, "ECAC","NO ECAC"), "")</f>
        <v>ECAC</v>
      </c>
    </row>
    <row r="612" ht="14.25" customHeight="1">
      <c r="A612" s="1" t="s">
        <v>1109</v>
      </c>
      <c r="B612" s="1" t="s">
        <v>544</v>
      </c>
      <c r="C612" s="1" t="s">
        <v>116</v>
      </c>
      <c r="D612" s="1" t="s">
        <v>21</v>
      </c>
      <c r="E612" s="1" t="s">
        <v>1110</v>
      </c>
      <c r="F612" s="1">
        <v>370.0</v>
      </c>
      <c r="G612" s="5">
        <v>0.5194444444444445</v>
      </c>
      <c r="H612" s="1">
        <v>17.0</v>
      </c>
      <c r="I612" s="5">
        <v>0.5868055555555556</v>
      </c>
      <c r="J612" s="1" t="str">
        <f t="array" ref="J612">XLOOKUP(B612,cat!B:B,cat!C:C)</f>
        <v>D</v>
      </c>
      <c r="K612" s="1">
        <f t="array" ref="K612">XLOOKUP(B612,cat!B:B,cat!D:D)</f>
        <v>148</v>
      </c>
      <c r="L612" s="7">
        <f t="shared" si="1"/>
        <v>0.06736111111</v>
      </c>
      <c r="M612" s="7">
        <f t="shared" si="2"/>
        <v>0.04284722222</v>
      </c>
      <c r="P612" s="9"/>
      <c r="Q612" s="9">
        <f t="shared" si="3"/>
        <v>853.5166667</v>
      </c>
      <c r="R612" s="1" t="str">
        <f t="shared" si="4"/>
        <v>AFR</v>
      </c>
      <c r="S612" s="1" t="str">
        <f>IF($D612="LEBL", IF(COUNTIF('Paises ECAC'!B:B, C612)&gt;0, "ECAC","NO ECAC"), "")</f>
        <v>ECAC</v>
      </c>
    </row>
    <row r="613" ht="14.25" customHeight="1">
      <c r="A613" s="1" t="s">
        <v>1111</v>
      </c>
      <c r="B613" s="1" t="s">
        <v>30</v>
      </c>
      <c r="C613" s="1" t="s">
        <v>21</v>
      </c>
      <c r="D613" s="1" t="s">
        <v>322</v>
      </c>
      <c r="E613" s="1" t="s">
        <v>241</v>
      </c>
      <c r="F613" s="1">
        <v>330.0</v>
      </c>
      <c r="G613" s="5">
        <v>0.5833333333333334</v>
      </c>
      <c r="H613" s="1">
        <v>10.0</v>
      </c>
      <c r="I613" s="5">
        <v>0.6319444444444444</v>
      </c>
      <c r="J613" s="1" t="str">
        <f t="array" ref="J613">XLOOKUP(B613,cat!B:B,cat!C:C)</f>
        <v>D</v>
      </c>
      <c r="K613" s="1">
        <f t="array" ref="K613">XLOOKUP(B613,cat!B:B,cat!D:D)</f>
        <v>173</v>
      </c>
      <c r="L613" s="7">
        <f t="shared" si="1"/>
        <v>0.04861111111</v>
      </c>
      <c r="M613" s="1" t="str">
        <f t="shared" si="2"/>
        <v/>
      </c>
      <c r="P613" s="9"/>
      <c r="Q613" s="9">
        <f t="shared" si="3"/>
        <v>0</v>
      </c>
      <c r="R613" s="1" t="str">
        <f t="shared" si="4"/>
        <v>VLG</v>
      </c>
      <c r="S613" s="1" t="str">
        <f>IF($D613="LEBL", IF(COUNTIF('Paises ECAC'!B:B, C613)&gt;0, "ECAC","NO ECAC"), "")</f>
        <v/>
      </c>
    </row>
    <row r="614" ht="14.25" customHeight="1">
      <c r="A614" s="1" t="s">
        <v>1112</v>
      </c>
      <c r="B614" s="1" t="s">
        <v>30</v>
      </c>
      <c r="C614" s="1" t="s">
        <v>21</v>
      </c>
      <c r="D614" s="1" t="s">
        <v>70</v>
      </c>
      <c r="E614" s="1" t="s">
        <v>459</v>
      </c>
      <c r="F614" s="1">
        <v>370.0</v>
      </c>
      <c r="G614" s="5">
        <v>0.5916666666666667</v>
      </c>
      <c r="H614" s="1">
        <v>21.0</v>
      </c>
      <c r="I614" s="5">
        <v>0.6423611111111112</v>
      </c>
      <c r="J614" s="1" t="str">
        <f t="array" ref="J614">XLOOKUP(B614,cat!B:B,cat!C:C)</f>
        <v>D</v>
      </c>
      <c r="K614" s="1">
        <f t="array" ref="K614">XLOOKUP(B614,cat!B:B,cat!D:D)</f>
        <v>173</v>
      </c>
      <c r="L614" s="7">
        <f t="shared" si="1"/>
        <v>0.05069444444</v>
      </c>
      <c r="M614" s="1" t="str">
        <f t="shared" si="2"/>
        <v/>
      </c>
      <c r="P614" s="9"/>
      <c r="Q614" s="9">
        <f t="shared" si="3"/>
        <v>0</v>
      </c>
      <c r="R614" s="1" t="str">
        <f t="shared" si="4"/>
        <v>MAC</v>
      </c>
      <c r="S614" s="1" t="str">
        <f>IF($D614="LEBL", IF(COUNTIF('Paises ECAC'!B:B, C614)&gt;0, "ECAC","NO ECAC"), "")</f>
        <v/>
      </c>
    </row>
    <row r="615" ht="14.25" customHeight="1">
      <c r="A615" s="1" t="s">
        <v>1113</v>
      </c>
      <c r="B615" s="1" t="s">
        <v>19</v>
      </c>
      <c r="C615" s="1" t="s">
        <v>700</v>
      </c>
      <c r="D615" s="1" t="s">
        <v>21</v>
      </c>
      <c r="E615" s="1" t="s">
        <v>164</v>
      </c>
      <c r="F615" s="1">
        <v>380.0</v>
      </c>
      <c r="G615" s="5">
        <v>0.5256944444444445</v>
      </c>
      <c r="H615" s="1">
        <v>10.0</v>
      </c>
      <c r="I615" s="5">
        <v>0.5868055555555556</v>
      </c>
      <c r="J615" s="1" t="str">
        <f t="array" ref="J615">XLOOKUP(B615,cat!B:B,cat!C:C)</f>
        <v>D</v>
      </c>
      <c r="K615" s="1">
        <f t="array" ref="K615">XLOOKUP(B615,cat!B:B,cat!D:D)</f>
        <v>184</v>
      </c>
      <c r="L615" s="7">
        <f t="shared" si="1"/>
        <v>0.06111111111</v>
      </c>
      <c r="M615" s="7">
        <f t="shared" si="2"/>
        <v>0.04145833333</v>
      </c>
      <c r="P615" s="9"/>
      <c r="Q615" s="9">
        <f t="shared" si="3"/>
        <v>825.85</v>
      </c>
      <c r="R615" s="1" t="str">
        <f t="shared" si="4"/>
        <v>RYR</v>
      </c>
      <c r="S615" s="1" t="str">
        <f>IF($D615="LEBL", IF(COUNTIF('Paises ECAC'!B:B, C615)&gt;0, "ECAC","NO ECAC"), "")</f>
        <v>ECAC</v>
      </c>
    </row>
    <row r="616" ht="14.25" customHeight="1">
      <c r="A616" s="1" t="s">
        <v>1114</v>
      </c>
      <c r="B616" s="1" t="s">
        <v>30</v>
      </c>
      <c r="C616" s="1" t="s">
        <v>178</v>
      </c>
      <c r="D616" s="1" t="s">
        <v>21</v>
      </c>
      <c r="E616" s="1" t="s">
        <v>206</v>
      </c>
      <c r="F616" s="1">
        <v>350.0</v>
      </c>
      <c r="G616" s="5">
        <v>0.5131944444444444</v>
      </c>
      <c r="H616" s="1">
        <v>9.0</v>
      </c>
      <c r="I616" s="5">
        <v>0.5902777777777778</v>
      </c>
      <c r="J616" s="1" t="str">
        <f t="array" ref="J616">XLOOKUP(B616,cat!B:B,cat!C:C)</f>
        <v>D</v>
      </c>
      <c r="K616" s="1">
        <f t="array" ref="K616">XLOOKUP(B616,cat!B:B,cat!D:D)</f>
        <v>173</v>
      </c>
      <c r="L616" s="7">
        <f t="shared" si="1"/>
        <v>0.07708333333</v>
      </c>
      <c r="M616" s="7">
        <f t="shared" si="2"/>
        <v>0.058125</v>
      </c>
      <c r="P616" s="9"/>
      <c r="Q616" s="9">
        <f t="shared" si="3"/>
        <v>1157.85</v>
      </c>
      <c r="R616" s="1" t="str">
        <f t="shared" si="4"/>
        <v>VLG</v>
      </c>
      <c r="S616" s="1" t="str">
        <f>IF($D616="LEBL", IF(COUNTIF('Paises ECAC'!B:B, C616)&gt;0, "ECAC","NO ECAC"), "")</f>
        <v>ECAC</v>
      </c>
    </row>
    <row r="617" ht="14.25" customHeight="1">
      <c r="A617" s="1" t="s">
        <v>1115</v>
      </c>
      <c r="B617" s="1" t="s">
        <v>30</v>
      </c>
      <c r="C617" s="1" t="s">
        <v>227</v>
      </c>
      <c r="D617" s="1" t="s">
        <v>21</v>
      </c>
      <c r="E617" s="1" t="s">
        <v>1116</v>
      </c>
      <c r="F617" s="1">
        <v>370.0</v>
      </c>
      <c r="G617" s="5">
        <v>0.5152777777777777</v>
      </c>
      <c r="H617" s="1">
        <v>12.0</v>
      </c>
      <c r="I617" s="5">
        <v>0.5902777777777778</v>
      </c>
      <c r="J617" s="1" t="str">
        <f t="array" ref="J617">XLOOKUP(B617,cat!B:B,cat!C:C)</f>
        <v>D</v>
      </c>
      <c r="K617" s="1">
        <f t="array" ref="K617">XLOOKUP(B617,cat!B:B,cat!D:D)</f>
        <v>173</v>
      </c>
      <c r="L617" s="7">
        <f t="shared" si="1"/>
        <v>0.075</v>
      </c>
      <c r="M617" s="7">
        <f t="shared" si="2"/>
        <v>0.05395833333</v>
      </c>
      <c r="P617" s="9"/>
      <c r="Q617" s="9">
        <f t="shared" si="3"/>
        <v>1074.85</v>
      </c>
      <c r="R617" s="1" t="str">
        <f t="shared" si="4"/>
        <v>DLH</v>
      </c>
      <c r="S617" s="1" t="str">
        <f>IF($D617="LEBL", IF(COUNTIF('Paises ECAC'!B:B, C617)&gt;0, "ECAC","NO ECAC"), "")</f>
        <v>ECAC</v>
      </c>
    </row>
    <row r="618" ht="14.25" customHeight="1">
      <c r="A618" s="1" t="s">
        <v>1117</v>
      </c>
      <c r="B618" s="1" t="s">
        <v>35</v>
      </c>
      <c r="C618" s="1" t="s">
        <v>97</v>
      </c>
      <c r="D618" s="1" t="s">
        <v>21</v>
      </c>
      <c r="E618" s="1" t="s">
        <v>280</v>
      </c>
      <c r="F618" s="1">
        <v>290.0</v>
      </c>
      <c r="G618" s="5">
        <v>0.5395833333333333</v>
      </c>
      <c r="H618" s="1">
        <v>17.0</v>
      </c>
      <c r="I618" s="5">
        <v>0.5902777777777778</v>
      </c>
      <c r="J618" s="1" t="str">
        <f t="array" ref="J618">XLOOKUP(B618,cat!B:B,cat!C:C)</f>
        <v>D</v>
      </c>
      <c r="K618" s="1">
        <f t="array" ref="K618">XLOOKUP(B618,cat!B:B,cat!D:D)</f>
        <v>207</v>
      </c>
      <c r="L618" s="7">
        <f t="shared" si="1"/>
        <v>0.05069444444</v>
      </c>
      <c r="M618" s="7">
        <f t="shared" si="2"/>
        <v>0.02618055556</v>
      </c>
      <c r="P618" s="9"/>
      <c r="Q618" s="9">
        <f t="shared" si="3"/>
        <v>521.5166667</v>
      </c>
      <c r="R618" s="1" t="str">
        <f t="shared" si="4"/>
        <v>VLG</v>
      </c>
      <c r="S618" s="1" t="str">
        <f>IF($D618="LEBL", IF(COUNTIF('Paises ECAC'!B:B, C618)&gt;0, "ECAC","NO ECAC"), "")</f>
        <v>ECAC</v>
      </c>
    </row>
    <row r="619" ht="14.25" customHeight="1">
      <c r="A619" s="1" t="s">
        <v>891</v>
      </c>
      <c r="B619" s="1" t="s">
        <v>410</v>
      </c>
      <c r="C619" s="1" t="s">
        <v>21</v>
      </c>
      <c r="D619" s="1" t="s">
        <v>411</v>
      </c>
      <c r="E619" s="1" t="s">
        <v>892</v>
      </c>
      <c r="F619" s="1">
        <v>370.0</v>
      </c>
      <c r="G619" s="5">
        <v>0.5875</v>
      </c>
      <c r="H619" s="1">
        <v>12.0</v>
      </c>
      <c r="I619" s="5">
        <v>0.8472222222222222</v>
      </c>
      <c r="J619" s="1" t="str">
        <f t="array" ref="J619">XLOOKUP(B619,cat!B:B,cat!C:C)</f>
        <v>B</v>
      </c>
      <c r="K619" s="1">
        <f t="array" ref="K619">XLOOKUP(B619,cat!B:B,cat!D:D)</f>
        <v>302</v>
      </c>
      <c r="L619" s="7">
        <f t="shared" si="1"/>
        <v>0.2597222222</v>
      </c>
      <c r="M619" s="1" t="str">
        <f t="shared" si="2"/>
        <v/>
      </c>
      <c r="P619" s="9"/>
      <c r="Q619" s="9">
        <f t="shared" si="3"/>
        <v>0</v>
      </c>
      <c r="R619" s="1" t="str">
        <f t="shared" si="4"/>
        <v>UAE</v>
      </c>
      <c r="S619" s="1" t="str">
        <f>IF($D619="LEBL", IF(COUNTIF('Paises ECAC'!B:B, C619)&gt;0, "ECAC","NO ECAC"), "")</f>
        <v/>
      </c>
    </row>
    <row r="620" ht="14.25" customHeight="1">
      <c r="A620" s="1" t="s">
        <v>1118</v>
      </c>
      <c r="B620" s="1" t="s">
        <v>19</v>
      </c>
      <c r="C620" s="1" t="s">
        <v>100</v>
      </c>
      <c r="D620" s="1" t="s">
        <v>21</v>
      </c>
      <c r="E620" s="1" t="s">
        <v>1119</v>
      </c>
      <c r="F620" s="1">
        <v>350.0</v>
      </c>
      <c r="G620" s="5">
        <v>0.5194444444444445</v>
      </c>
      <c r="H620" s="1">
        <v>13.0</v>
      </c>
      <c r="I620" s="5">
        <v>0.5902777777777778</v>
      </c>
      <c r="J620" s="1" t="str">
        <f t="array" ref="J620">XLOOKUP(B620,cat!B:B,cat!C:C)</f>
        <v>D</v>
      </c>
      <c r="K620" s="1">
        <f t="array" ref="K620">XLOOKUP(B620,cat!B:B,cat!D:D)</f>
        <v>184</v>
      </c>
      <c r="L620" s="7">
        <f t="shared" si="1"/>
        <v>0.07083333333</v>
      </c>
      <c r="M620" s="7">
        <f t="shared" si="2"/>
        <v>0.04909722222</v>
      </c>
      <c r="P620" s="9"/>
      <c r="Q620" s="9">
        <f t="shared" si="3"/>
        <v>978.0166667</v>
      </c>
      <c r="R620" s="1" t="str">
        <f t="shared" si="4"/>
        <v>RYR</v>
      </c>
      <c r="S620" s="1" t="str">
        <f>IF($D620="LEBL", IF(COUNTIF('Paises ECAC'!B:B, C620)&gt;0, "ECAC","NO ECAC"), "")</f>
        <v>ECAC</v>
      </c>
    </row>
    <row r="621" ht="14.25" customHeight="1">
      <c r="A621" s="1" t="s">
        <v>1120</v>
      </c>
      <c r="B621" s="1" t="s">
        <v>35</v>
      </c>
      <c r="C621" s="1" t="s">
        <v>279</v>
      </c>
      <c r="D621" s="1" t="s">
        <v>21</v>
      </c>
      <c r="E621" s="1" t="s">
        <v>200</v>
      </c>
      <c r="F621" s="1">
        <v>330.0</v>
      </c>
      <c r="G621" s="5">
        <v>0.5451388888888888</v>
      </c>
      <c r="H621" s="1">
        <v>10.0</v>
      </c>
      <c r="I621" s="5">
        <v>0.5902777777777778</v>
      </c>
      <c r="J621" s="1" t="str">
        <f t="array" ref="J621">XLOOKUP(B621,cat!B:B,cat!C:C)</f>
        <v>D</v>
      </c>
      <c r="K621" s="1">
        <f t="array" ref="K621">XLOOKUP(B621,cat!B:B,cat!D:D)</f>
        <v>207</v>
      </c>
      <c r="L621" s="7">
        <f t="shared" si="1"/>
        <v>0.04513888889</v>
      </c>
      <c r="M621" s="7">
        <f t="shared" si="2"/>
        <v>0.02548611111</v>
      </c>
      <c r="P621" s="9"/>
      <c r="Q621" s="9">
        <f t="shared" si="3"/>
        <v>507.6833333</v>
      </c>
      <c r="R621" s="1" t="str">
        <f t="shared" si="4"/>
        <v>VLG</v>
      </c>
      <c r="S621" s="1" t="str">
        <f>IF($D621="LEBL", IF(COUNTIF('Paises ECAC'!B:B, C621)&gt;0, "ECAC","NO ECAC"), "")</f>
        <v>ECAC</v>
      </c>
    </row>
    <row r="622" ht="14.25" customHeight="1">
      <c r="A622" s="1" t="s">
        <v>1121</v>
      </c>
      <c r="B622" s="1" t="s">
        <v>30</v>
      </c>
      <c r="C622" s="1" t="s">
        <v>237</v>
      </c>
      <c r="D622" s="1" t="s">
        <v>21</v>
      </c>
      <c r="E622" s="1" t="s">
        <v>202</v>
      </c>
      <c r="F622" s="1">
        <v>330.0</v>
      </c>
      <c r="G622" s="5">
        <v>0.5319444444444444</v>
      </c>
      <c r="H622" s="1">
        <v>10.0</v>
      </c>
      <c r="I622" s="5">
        <v>0.5902777777777778</v>
      </c>
      <c r="J622" s="1" t="str">
        <f t="array" ref="J622">XLOOKUP(B622,cat!B:B,cat!C:C)</f>
        <v>D</v>
      </c>
      <c r="K622" s="1">
        <f t="array" ref="K622">XLOOKUP(B622,cat!B:B,cat!D:D)</f>
        <v>173</v>
      </c>
      <c r="L622" s="7">
        <f t="shared" si="1"/>
        <v>0.05833333333</v>
      </c>
      <c r="M622" s="7">
        <f t="shared" si="2"/>
        <v>0.03868055556</v>
      </c>
      <c r="P622" s="9"/>
      <c r="Q622" s="9">
        <f t="shared" si="3"/>
        <v>770.5166667</v>
      </c>
      <c r="R622" s="1" t="str">
        <f t="shared" si="4"/>
        <v>VLG</v>
      </c>
      <c r="S622" s="1" t="str">
        <f>IF($D622="LEBL", IF(COUNTIF('Paises ECAC'!B:B, C622)&gt;0, "ECAC","NO ECAC"), "")</f>
        <v>ECAC</v>
      </c>
    </row>
    <row r="623" ht="14.25" customHeight="1">
      <c r="A623" s="1" t="s">
        <v>1122</v>
      </c>
      <c r="B623" s="1" t="s">
        <v>19</v>
      </c>
      <c r="C623" s="1" t="s">
        <v>21</v>
      </c>
      <c r="D623" s="1" t="s">
        <v>156</v>
      </c>
      <c r="E623" s="1" t="s">
        <v>313</v>
      </c>
      <c r="F623" s="1">
        <v>170.0</v>
      </c>
      <c r="G623" s="5">
        <v>0.5881944444444445</v>
      </c>
      <c r="H623" s="1">
        <v>10.0</v>
      </c>
      <c r="I623" s="5">
        <v>0.6076388888888888</v>
      </c>
      <c r="J623" s="1" t="str">
        <f t="array" ref="J623">XLOOKUP(B623,cat!B:B,cat!C:C)</f>
        <v>D</v>
      </c>
      <c r="K623" s="1">
        <f t="array" ref="K623">XLOOKUP(B623,cat!B:B,cat!D:D)</f>
        <v>184</v>
      </c>
      <c r="L623" s="7">
        <f t="shared" si="1"/>
        <v>0.01944444444</v>
      </c>
      <c r="M623" s="1" t="str">
        <f t="shared" si="2"/>
        <v/>
      </c>
      <c r="P623" s="9"/>
      <c r="Q623" s="9">
        <f t="shared" si="3"/>
        <v>0</v>
      </c>
      <c r="R623" s="1" t="str">
        <f t="shared" si="4"/>
        <v>AEA</v>
      </c>
      <c r="S623" s="1" t="str">
        <f>IF($D623="LEBL", IF(COUNTIF('Paises ECAC'!B:B, C623)&gt;0, "ECAC","NO ECAC"), "")</f>
        <v/>
      </c>
    </row>
    <row r="624" ht="14.25" customHeight="1">
      <c r="A624" s="1" t="s">
        <v>1123</v>
      </c>
      <c r="B624" s="1" t="s">
        <v>30</v>
      </c>
      <c r="C624" s="1" t="s">
        <v>731</v>
      </c>
      <c r="D624" s="1" t="s">
        <v>21</v>
      </c>
      <c r="E624" s="1" t="s">
        <v>598</v>
      </c>
      <c r="F624" s="1">
        <v>350.0</v>
      </c>
      <c r="G624" s="5">
        <v>0.5229166666666667</v>
      </c>
      <c r="H624" s="1">
        <v>8.0</v>
      </c>
      <c r="I624" s="5">
        <v>0.59375</v>
      </c>
      <c r="J624" s="1" t="str">
        <f t="array" ref="J624">XLOOKUP(B624,cat!B:B,cat!C:C)</f>
        <v>D</v>
      </c>
      <c r="K624" s="1">
        <f t="array" ref="K624">XLOOKUP(B624,cat!B:B,cat!D:D)</f>
        <v>173</v>
      </c>
      <c r="L624" s="7">
        <f t="shared" si="1"/>
        <v>0.07083333333</v>
      </c>
      <c r="M624" s="7">
        <f t="shared" si="2"/>
        <v>0.05256944444</v>
      </c>
      <c r="P624" s="9"/>
      <c r="Q624" s="9">
        <f t="shared" si="3"/>
        <v>1047.183333</v>
      </c>
      <c r="R624" s="1" t="str">
        <f t="shared" si="4"/>
        <v>VLG</v>
      </c>
      <c r="S624" s="1" t="str">
        <f>IF($D624="LEBL", IF(COUNTIF('Paises ECAC'!B:B, C624)&gt;0, "ECAC","NO ECAC"), "")</f>
        <v>ECAC</v>
      </c>
    </row>
    <row r="625" ht="14.25" customHeight="1">
      <c r="A625" s="1" t="s">
        <v>1124</v>
      </c>
      <c r="B625" s="1" t="s">
        <v>212</v>
      </c>
      <c r="C625" s="1" t="s">
        <v>140</v>
      </c>
      <c r="D625" s="1" t="s">
        <v>21</v>
      </c>
      <c r="E625" s="1" t="s">
        <v>1125</v>
      </c>
      <c r="F625" s="1">
        <v>350.0</v>
      </c>
      <c r="G625" s="5">
        <v>0.5381944444444444</v>
      </c>
      <c r="H625" s="1">
        <v>11.0</v>
      </c>
      <c r="I625" s="5">
        <v>0.59375</v>
      </c>
      <c r="J625" s="1" t="str">
        <f t="array" ref="J625">XLOOKUP(B625,cat!B:B,cat!C:C)</f>
        <v>D</v>
      </c>
      <c r="K625" s="1">
        <f t="array" ref="K625">XLOOKUP(B625,cat!B:B,cat!D:D)</f>
        <v>200</v>
      </c>
      <c r="L625" s="7">
        <f t="shared" si="1"/>
        <v>0.05555555556</v>
      </c>
      <c r="M625" s="7">
        <f t="shared" si="2"/>
        <v>0.03520833333</v>
      </c>
      <c r="P625" s="9"/>
      <c r="Q625" s="9">
        <f t="shared" si="3"/>
        <v>701.35</v>
      </c>
      <c r="R625" s="1" t="str">
        <f t="shared" si="4"/>
        <v>ITY</v>
      </c>
      <c r="S625" s="1" t="str">
        <f>IF($D625="LEBL", IF(COUNTIF('Paises ECAC'!B:B, C625)&gt;0, "ECAC","NO ECAC"), "")</f>
        <v>ECAC</v>
      </c>
    </row>
    <row r="626" ht="14.25" customHeight="1">
      <c r="A626" s="1" t="s">
        <v>1126</v>
      </c>
      <c r="B626" s="1" t="s">
        <v>19</v>
      </c>
      <c r="C626" s="1" t="s">
        <v>21</v>
      </c>
      <c r="D626" s="1" t="s">
        <v>335</v>
      </c>
      <c r="E626" s="1" t="s">
        <v>994</v>
      </c>
      <c r="F626" s="1">
        <v>340.0</v>
      </c>
      <c r="G626" s="5">
        <v>0.5902777777777778</v>
      </c>
      <c r="H626" s="1">
        <v>20.0</v>
      </c>
      <c r="I626" s="5">
        <v>0.6701388888888888</v>
      </c>
      <c r="J626" s="1" t="str">
        <f t="array" ref="J626">XLOOKUP(B626,cat!B:B,cat!C:C)</f>
        <v>D</v>
      </c>
      <c r="K626" s="1">
        <f t="array" ref="K626">XLOOKUP(B626,cat!B:B,cat!D:D)</f>
        <v>184</v>
      </c>
      <c r="L626" s="7">
        <f t="shared" si="1"/>
        <v>0.07986111111</v>
      </c>
      <c r="M626" s="1" t="str">
        <f t="shared" si="2"/>
        <v/>
      </c>
      <c r="P626" s="9"/>
      <c r="Q626" s="9">
        <f t="shared" si="3"/>
        <v>0</v>
      </c>
      <c r="R626" s="1" t="str">
        <f t="shared" si="4"/>
        <v>RYR</v>
      </c>
      <c r="S626" s="1" t="str">
        <f>IF($D626="LEBL", IF(COUNTIF('Paises ECAC'!B:B, C626)&gt;0, "ECAC","NO ECAC"), "")</f>
        <v/>
      </c>
    </row>
    <row r="627" ht="14.25" customHeight="1">
      <c r="A627" s="1" t="s">
        <v>1127</v>
      </c>
      <c r="B627" s="1" t="s">
        <v>30</v>
      </c>
      <c r="C627" s="1" t="s">
        <v>21</v>
      </c>
      <c r="D627" s="1" t="s">
        <v>192</v>
      </c>
      <c r="E627" s="1" t="s">
        <v>1024</v>
      </c>
      <c r="F627" s="1">
        <v>370.0</v>
      </c>
      <c r="G627" s="5">
        <v>0.5909722222222222</v>
      </c>
      <c r="H627" s="1">
        <v>11.0</v>
      </c>
      <c r="I627" s="5">
        <v>0.6388888888888888</v>
      </c>
      <c r="J627" s="1" t="str">
        <f t="array" ref="J627">XLOOKUP(B627,cat!B:B,cat!C:C)</f>
        <v>D</v>
      </c>
      <c r="K627" s="1">
        <f t="array" ref="K627">XLOOKUP(B627,cat!B:B,cat!D:D)</f>
        <v>173</v>
      </c>
      <c r="L627" s="7">
        <f t="shared" si="1"/>
        <v>0.04791666667</v>
      </c>
      <c r="M627" s="1" t="str">
        <f t="shared" si="2"/>
        <v/>
      </c>
      <c r="P627" s="9"/>
      <c r="Q627" s="9">
        <f t="shared" si="3"/>
        <v>0</v>
      </c>
      <c r="R627" s="1" t="str">
        <f t="shared" si="4"/>
        <v>VLG</v>
      </c>
      <c r="S627" s="1" t="str">
        <f>IF($D627="LEBL", IF(COUNTIF('Paises ECAC'!B:B, C627)&gt;0, "ECAC","NO ECAC"), "")</f>
        <v/>
      </c>
    </row>
    <row r="628" ht="14.25" customHeight="1">
      <c r="A628" s="1" t="s">
        <v>1128</v>
      </c>
      <c r="B628" s="1" t="s">
        <v>19</v>
      </c>
      <c r="C628" s="1" t="s">
        <v>541</v>
      </c>
      <c r="D628" s="1" t="s">
        <v>21</v>
      </c>
      <c r="E628" s="1" t="s">
        <v>111</v>
      </c>
      <c r="F628" s="1">
        <v>350.0</v>
      </c>
      <c r="G628" s="5">
        <v>0.5173611111111112</v>
      </c>
      <c r="H628" s="1">
        <v>18.0</v>
      </c>
      <c r="I628" s="5">
        <v>0.59375</v>
      </c>
      <c r="J628" s="1" t="str">
        <f t="array" ref="J628">XLOOKUP(B628,cat!B:B,cat!C:C)</f>
        <v>D</v>
      </c>
      <c r="K628" s="1">
        <f t="array" ref="K628">XLOOKUP(B628,cat!B:B,cat!D:D)</f>
        <v>184</v>
      </c>
      <c r="L628" s="7">
        <f t="shared" si="1"/>
        <v>0.07638888889</v>
      </c>
      <c r="M628" s="7">
        <f t="shared" si="2"/>
        <v>0.05118055556</v>
      </c>
      <c r="P628" s="9"/>
      <c r="Q628" s="9">
        <f t="shared" si="3"/>
        <v>1019.516667</v>
      </c>
      <c r="R628" s="1" t="str">
        <f t="shared" si="4"/>
        <v>RYR</v>
      </c>
      <c r="S628" s="1" t="str">
        <f>IF($D628="LEBL", IF(COUNTIF('Paises ECAC'!B:B, C628)&gt;0, "ECAC","NO ECAC"), "")</f>
        <v>ECAC</v>
      </c>
    </row>
    <row r="629" ht="14.25" customHeight="1">
      <c r="A629" s="1" t="s">
        <v>1129</v>
      </c>
      <c r="B629" s="1" t="s">
        <v>35</v>
      </c>
      <c r="C629" s="1" t="s">
        <v>21</v>
      </c>
      <c r="D629" s="1" t="s">
        <v>290</v>
      </c>
      <c r="E629" s="1" t="s">
        <v>1027</v>
      </c>
      <c r="F629" s="1">
        <v>370.0</v>
      </c>
      <c r="G629" s="5">
        <v>0.5902777777777778</v>
      </c>
      <c r="H629" s="1">
        <v>20.0</v>
      </c>
      <c r="I629" s="5">
        <v>0.7118055555555556</v>
      </c>
      <c r="J629" s="1" t="str">
        <f t="array" ref="J629">XLOOKUP(B629,cat!B:B,cat!C:C)</f>
        <v>D</v>
      </c>
      <c r="K629" s="1">
        <f t="array" ref="K629">XLOOKUP(B629,cat!B:B,cat!D:D)</f>
        <v>207</v>
      </c>
      <c r="L629" s="7">
        <f t="shared" si="1"/>
        <v>0.1215277778</v>
      </c>
      <c r="M629" s="1" t="str">
        <f t="shared" si="2"/>
        <v/>
      </c>
      <c r="P629" s="9"/>
      <c r="Q629" s="9">
        <f t="shared" si="3"/>
        <v>0</v>
      </c>
      <c r="R629" s="1" t="str">
        <f t="shared" si="4"/>
        <v>WMT</v>
      </c>
      <c r="S629" s="1" t="str">
        <f>IF($D629="LEBL", IF(COUNTIF('Paises ECAC'!B:B, C629)&gt;0, "ECAC","NO ECAC"), "")</f>
        <v/>
      </c>
    </row>
    <row r="630" ht="14.25" customHeight="1">
      <c r="A630" s="1" t="s">
        <v>1130</v>
      </c>
      <c r="B630" s="1" t="s">
        <v>443</v>
      </c>
      <c r="C630" s="1" t="s">
        <v>169</v>
      </c>
      <c r="D630" s="1" t="s">
        <v>21</v>
      </c>
      <c r="E630" s="1" t="s">
        <v>1131</v>
      </c>
      <c r="F630" s="1">
        <v>350.0</v>
      </c>
      <c r="G630" s="5">
        <v>0.5194444444444445</v>
      </c>
      <c r="H630" s="1">
        <v>14.0</v>
      </c>
      <c r="I630" s="5">
        <v>0.59375</v>
      </c>
      <c r="J630" s="1" t="str">
        <f t="array" ref="J630">XLOOKUP(B630,cat!B:B,cat!C:C)</f>
        <v>D</v>
      </c>
      <c r="K630" s="1">
        <f t="array" ref="K630">XLOOKUP(B630,cat!B:B,cat!D:D)</f>
        <v>183</v>
      </c>
      <c r="L630" s="7">
        <f t="shared" si="1"/>
        <v>0.07430555556</v>
      </c>
      <c r="M630" s="7">
        <f t="shared" si="2"/>
        <v>0.051875</v>
      </c>
      <c r="P630" s="9"/>
      <c r="Q630" s="9">
        <f t="shared" si="3"/>
        <v>1033.35</v>
      </c>
      <c r="R630" s="1" t="str">
        <f t="shared" si="4"/>
        <v>KLM</v>
      </c>
      <c r="S630" s="1" t="str">
        <f>IF($D630="LEBL", IF(COUNTIF('Paises ECAC'!B:B, C630)&gt;0, "ECAC","NO ECAC"), "")</f>
        <v>ECAC</v>
      </c>
    </row>
    <row r="631" ht="14.25" customHeight="1">
      <c r="A631" s="1" t="s">
        <v>1132</v>
      </c>
      <c r="B631" s="1" t="s">
        <v>30</v>
      </c>
      <c r="C631" s="1" t="s">
        <v>21</v>
      </c>
      <c r="D631" s="1" t="s">
        <v>105</v>
      </c>
      <c r="E631" s="1" t="s">
        <v>154</v>
      </c>
      <c r="F631" s="1">
        <v>340.0</v>
      </c>
      <c r="G631" s="5">
        <v>0.5902777777777778</v>
      </c>
      <c r="H631" s="1">
        <v>10.0</v>
      </c>
      <c r="I631" s="5">
        <v>0.6423611111111112</v>
      </c>
      <c r="J631" s="1" t="str">
        <f t="array" ref="J631">XLOOKUP(B631,cat!B:B,cat!C:C)</f>
        <v>D</v>
      </c>
      <c r="K631" s="1">
        <f t="array" ref="K631">XLOOKUP(B631,cat!B:B,cat!D:D)</f>
        <v>173</v>
      </c>
      <c r="L631" s="7">
        <f t="shared" si="1"/>
        <v>0.05208333333</v>
      </c>
      <c r="M631" s="1" t="str">
        <f t="shared" si="2"/>
        <v/>
      </c>
      <c r="P631" s="9"/>
      <c r="Q631" s="9">
        <f t="shared" si="3"/>
        <v>0</v>
      </c>
      <c r="R631" s="1" t="str">
        <f t="shared" si="4"/>
        <v>VLG</v>
      </c>
      <c r="S631" s="1" t="str">
        <f>IF($D631="LEBL", IF(COUNTIF('Paises ECAC'!B:B, C631)&gt;0, "ECAC","NO ECAC"), "")</f>
        <v/>
      </c>
    </row>
    <row r="632" ht="14.25" customHeight="1">
      <c r="A632" s="1" t="s">
        <v>1133</v>
      </c>
      <c r="B632" s="1" t="s">
        <v>35</v>
      </c>
      <c r="C632" s="1" t="s">
        <v>21</v>
      </c>
      <c r="D632" s="1" t="s">
        <v>143</v>
      </c>
      <c r="E632" s="1" t="s">
        <v>269</v>
      </c>
      <c r="F632" s="1">
        <v>190.0</v>
      </c>
      <c r="G632" s="5">
        <v>0.5958333333333333</v>
      </c>
      <c r="H632" s="1">
        <v>11.0</v>
      </c>
      <c r="I632" s="5">
        <v>0.6145833333333334</v>
      </c>
      <c r="J632" s="1" t="str">
        <f t="array" ref="J632">XLOOKUP(B632,cat!B:B,cat!C:C)</f>
        <v>D</v>
      </c>
      <c r="K632" s="1">
        <f t="array" ref="K632">XLOOKUP(B632,cat!B:B,cat!D:D)</f>
        <v>207</v>
      </c>
      <c r="L632" s="7">
        <f t="shared" si="1"/>
        <v>0.01875</v>
      </c>
      <c r="M632" s="1" t="str">
        <f t="shared" si="2"/>
        <v/>
      </c>
      <c r="P632" s="9"/>
      <c r="Q632" s="9">
        <f t="shared" si="3"/>
        <v>0</v>
      </c>
      <c r="R632" s="1" t="str">
        <f t="shared" si="4"/>
        <v>VLG</v>
      </c>
      <c r="S632" s="1" t="str">
        <f>IF($D632="LEBL", IF(COUNTIF('Paises ECAC'!B:B, C632)&gt;0, "ECAC","NO ECAC"), "")</f>
        <v/>
      </c>
    </row>
    <row r="633" ht="14.25" customHeight="1">
      <c r="A633" s="1" t="s">
        <v>1134</v>
      </c>
      <c r="B633" s="1" t="s">
        <v>19</v>
      </c>
      <c r="C633" s="1" t="s">
        <v>143</v>
      </c>
      <c r="D633" s="1" t="s">
        <v>21</v>
      </c>
      <c r="E633" s="1" t="s">
        <v>149</v>
      </c>
      <c r="F633" s="1">
        <v>180.0</v>
      </c>
      <c r="G633" s="5">
        <v>0.5694444444444444</v>
      </c>
      <c r="H633" s="1">
        <v>10.0</v>
      </c>
      <c r="I633" s="5">
        <v>0.5972222222222222</v>
      </c>
      <c r="J633" s="1" t="str">
        <f t="array" ref="J633">XLOOKUP(B633,cat!B:B,cat!C:C)</f>
        <v>D</v>
      </c>
      <c r="K633" s="1">
        <f t="array" ref="K633">XLOOKUP(B633,cat!B:B,cat!D:D)</f>
        <v>184</v>
      </c>
      <c r="L633" s="7">
        <f t="shared" si="1"/>
        <v>0.02777777778</v>
      </c>
      <c r="M633" s="7">
        <f t="shared" si="2"/>
        <v>0.008125</v>
      </c>
      <c r="P633" s="9"/>
      <c r="Q633" s="9">
        <f t="shared" si="3"/>
        <v>161.85</v>
      </c>
      <c r="R633" s="1" t="str">
        <f t="shared" si="4"/>
        <v>RYR</v>
      </c>
      <c r="S633" s="1" t="str">
        <f>IF($D633="LEBL", IF(COUNTIF('Paises ECAC'!B:B, C633)&gt;0, "ECAC","NO ECAC"), "")</f>
        <v>ECAC</v>
      </c>
    </row>
    <row r="634" ht="14.25" customHeight="1">
      <c r="A634" s="1" t="s">
        <v>1135</v>
      </c>
      <c r="B634" s="1" t="s">
        <v>30</v>
      </c>
      <c r="C634" s="1" t="s">
        <v>210</v>
      </c>
      <c r="D634" s="1" t="s">
        <v>21</v>
      </c>
      <c r="E634" s="1" t="s">
        <v>1136</v>
      </c>
      <c r="F634" s="1">
        <v>290.0</v>
      </c>
      <c r="G634" s="5">
        <v>0.5444444444444444</v>
      </c>
      <c r="H634" s="1">
        <v>9.0</v>
      </c>
      <c r="I634" s="5">
        <v>0.5972222222222222</v>
      </c>
      <c r="J634" s="1" t="str">
        <f t="array" ref="J634">XLOOKUP(B634,cat!B:B,cat!C:C)</f>
        <v>D</v>
      </c>
      <c r="K634" s="1">
        <f t="array" ref="K634">XLOOKUP(B634,cat!B:B,cat!D:D)</f>
        <v>173</v>
      </c>
      <c r="L634" s="7">
        <f t="shared" si="1"/>
        <v>0.05277777778</v>
      </c>
      <c r="M634" s="7">
        <f t="shared" si="2"/>
        <v>0.03381944444</v>
      </c>
      <c r="P634" s="9"/>
      <c r="Q634" s="9">
        <f t="shared" si="3"/>
        <v>673.6833333</v>
      </c>
      <c r="R634" s="1" t="str">
        <f t="shared" si="4"/>
        <v>EJU</v>
      </c>
      <c r="S634" s="1" t="str">
        <f>IF($D634="LEBL", IF(COUNTIF('Paises ECAC'!B:B, C634)&gt;0, "ECAC","NO ECAC"), "")</f>
        <v>ECAC</v>
      </c>
    </row>
    <row r="635" ht="14.25" customHeight="1">
      <c r="A635" s="1" t="s">
        <v>1137</v>
      </c>
      <c r="B635" s="1" t="s">
        <v>30</v>
      </c>
      <c r="C635" s="1" t="s">
        <v>675</v>
      </c>
      <c r="D635" s="1" t="s">
        <v>21</v>
      </c>
      <c r="E635" s="1" t="s">
        <v>362</v>
      </c>
      <c r="F635" s="1">
        <v>370.0</v>
      </c>
      <c r="G635" s="5">
        <v>0.5173611111111112</v>
      </c>
      <c r="H635" s="1">
        <v>10.0</v>
      </c>
      <c r="I635" s="5">
        <v>0.5972222222222222</v>
      </c>
      <c r="J635" s="1" t="str">
        <f t="array" ref="J635">XLOOKUP(B635,cat!B:B,cat!C:C)</f>
        <v>D</v>
      </c>
      <c r="K635" s="1">
        <f t="array" ref="K635">XLOOKUP(B635,cat!B:B,cat!D:D)</f>
        <v>173</v>
      </c>
      <c r="L635" s="7">
        <f t="shared" si="1"/>
        <v>0.07986111111</v>
      </c>
      <c r="M635" s="7">
        <f t="shared" si="2"/>
        <v>0.06020833333</v>
      </c>
      <c r="P635" s="9"/>
      <c r="Q635" s="9">
        <f t="shared" si="3"/>
        <v>1199.35</v>
      </c>
      <c r="R635" s="1" t="str">
        <f t="shared" si="4"/>
        <v>VLG</v>
      </c>
      <c r="S635" s="1" t="str">
        <f>IF($D635="LEBL", IF(COUNTIF('Paises ECAC'!B:B, C635)&gt;0, "ECAC","NO ECAC"), "")</f>
        <v>ECAC</v>
      </c>
    </row>
    <row r="636" ht="14.25" customHeight="1">
      <c r="A636" s="1" t="s">
        <v>1138</v>
      </c>
      <c r="B636" s="1" t="s">
        <v>35</v>
      </c>
      <c r="C636" s="1" t="s">
        <v>21</v>
      </c>
      <c r="D636" s="1" t="s">
        <v>97</v>
      </c>
      <c r="E636" s="1" t="s">
        <v>256</v>
      </c>
      <c r="F636" s="1">
        <v>300.0</v>
      </c>
      <c r="G636" s="5">
        <v>0.5951388888888889</v>
      </c>
      <c r="H636" s="1">
        <v>12.0</v>
      </c>
      <c r="I636" s="5">
        <v>0.6493055555555556</v>
      </c>
      <c r="J636" s="1" t="str">
        <f t="array" ref="J636">XLOOKUP(B636,cat!B:B,cat!C:C)</f>
        <v>D</v>
      </c>
      <c r="K636" s="1">
        <f t="array" ref="K636">XLOOKUP(B636,cat!B:B,cat!D:D)</f>
        <v>207</v>
      </c>
      <c r="L636" s="7">
        <f t="shared" si="1"/>
        <v>0.05416666667</v>
      </c>
      <c r="M636" s="1" t="str">
        <f t="shared" si="2"/>
        <v/>
      </c>
      <c r="P636" s="9"/>
      <c r="Q636" s="9">
        <f t="shared" si="3"/>
        <v>0</v>
      </c>
      <c r="R636" s="1" t="str">
        <f t="shared" si="4"/>
        <v>VLG</v>
      </c>
      <c r="S636" s="1" t="str">
        <f>IF($D636="LEBL", IF(COUNTIF('Paises ECAC'!B:B, C636)&gt;0, "ECAC","NO ECAC"), "")</f>
        <v/>
      </c>
    </row>
    <row r="637" ht="14.25" customHeight="1">
      <c r="A637" s="1" t="s">
        <v>1139</v>
      </c>
      <c r="B637" s="1" t="s">
        <v>40</v>
      </c>
      <c r="C637" s="1" t="s">
        <v>21</v>
      </c>
      <c r="D637" s="1" t="s">
        <v>880</v>
      </c>
      <c r="E637" s="1" t="s">
        <v>881</v>
      </c>
      <c r="F637" s="1">
        <v>370.0</v>
      </c>
      <c r="G637" s="5">
        <v>0.5993055555555555</v>
      </c>
      <c r="H637" s="1">
        <v>20.0</v>
      </c>
      <c r="I637" s="5">
        <v>0.7152777777777778</v>
      </c>
      <c r="J637" s="1" t="str">
        <f t="array" ref="J637">XLOOKUP(B637,cat!B:B,cat!C:C)</f>
        <v>D</v>
      </c>
      <c r="K637" s="1">
        <f t="array" ref="K637">XLOOKUP(B637,cat!B:B,cat!D:D)</f>
        <v>186</v>
      </c>
      <c r="L637" s="7">
        <f t="shared" si="1"/>
        <v>0.1159722222</v>
      </c>
      <c r="M637" s="1" t="str">
        <f t="shared" si="2"/>
        <v/>
      </c>
      <c r="P637" s="9"/>
      <c r="Q637" s="9">
        <f t="shared" si="3"/>
        <v>0</v>
      </c>
      <c r="R637" s="1" t="str">
        <f t="shared" si="4"/>
        <v>SXS</v>
      </c>
      <c r="S637" s="1" t="str">
        <f>IF($D637="LEBL", IF(COUNTIF('Paises ECAC'!B:B, C637)&gt;0, "ECAC","NO ECAC"), "")</f>
        <v/>
      </c>
    </row>
    <row r="638" ht="14.25" customHeight="1">
      <c r="A638" s="1" t="s">
        <v>1140</v>
      </c>
      <c r="B638" s="1" t="s">
        <v>19</v>
      </c>
      <c r="C638" s="1" t="s">
        <v>329</v>
      </c>
      <c r="D638" s="1" t="s">
        <v>21</v>
      </c>
      <c r="E638" s="1" t="s">
        <v>1141</v>
      </c>
      <c r="F638" s="1">
        <v>320.0</v>
      </c>
      <c r="G638" s="5">
        <v>0.5381944444444444</v>
      </c>
      <c r="H638" s="1">
        <v>15.0</v>
      </c>
      <c r="I638" s="5">
        <v>0.5972222222222222</v>
      </c>
      <c r="J638" s="1" t="str">
        <f t="array" ref="J638">XLOOKUP(B638,cat!B:B,cat!C:C)</f>
        <v>D</v>
      </c>
      <c r="K638" s="1">
        <f t="array" ref="K638">XLOOKUP(B638,cat!B:B,cat!D:D)</f>
        <v>184</v>
      </c>
      <c r="L638" s="7">
        <f t="shared" si="1"/>
        <v>0.05902777778</v>
      </c>
      <c r="M638" s="7">
        <f t="shared" si="2"/>
        <v>0.03590277778</v>
      </c>
      <c r="P638" s="9"/>
      <c r="Q638" s="9">
        <f t="shared" si="3"/>
        <v>715.1833333</v>
      </c>
      <c r="R638" s="1" t="str">
        <f t="shared" si="4"/>
        <v>RYR</v>
      </c>
      <c r="S638" s="1" t="str">
        <f>IF($D638="LEBL", IF(COUNTIF('Paises ECAC'!B:B, C638)&gt;0, "ECAC","NO ECAC"), "")</f>
        <v>ECAC</v>
      </c>
    </row>
    <row r="639" ht="14.25" customHeight="1">
      <c r="A639" s="1" t="s">
        <v>1142</v>
      </c>
      <c r="B639" s="1" t="s">
        <v>19</v>
      </c>
      <c r="C639" s="1" t="s">
        <v>21</v>
      </c>
      <c r="D639" s="1" t="s">
        <v>1143</v>
      </c>
      <c r="E639" s="1" t="s">
        <v>381</v>
      </c>
      <c r="F639" s="1">
        <v>390.0</v>
      </c>
      <c r="G639" s="5">
        <v>0.6006944444444444</v>
      </c>
      <c r="H639" s="1">
        <v>20.0</v>
      </c>
      <c r="I639" s="5">
        <v>0.7083333333333334</v>
      </c>
      <c r="J639" s="1" t="str">
        <f t="array" ref="J639">XLOOKUP(B639,cat!B:B,cat!C:C)</f>
        <v>D</v>
      </c>
      <c r="K639" s="1">
        <f t="array" ref="K639">XLOOKUP(B639,cat!B:B,cat!D:D)</f>
        <v>184</v>
      </c>
      <c r="L639" s="7">
        <f t="shared" si="1"/>
        <v>0.1076388889</v>
      </c>
      <c r="M639" s="1" t="str">
        <f t="shared" si="2"/>
        <v/>
      </c>
      <c r="P639" s="9"/>
      <c r="Q639" s="9">
        <f t="shared" si="3"/>
        <v>0</v>
      </c>
      <c r="R639" s="1" t="str">
        <f t="shared" si="4"/>
        <v>NSZ</v>
      </c>
      <c r="S639" s="1" t="str">
        <f>IF($D639="LEBL", IF(COUNTIF('Paises ECAC'!B:B, C639)&gt;0, "ECAC","NO ECAC"), "")</f>
        <v/>
      </c>
    </row>
    <row r="640" ht="14.25" customHeight="1">
      <c r="A640" s="1" t="s">
        <v>1144</v>
      </c>
      <c r="B640" s="1" t="s">
        <v>212</v>
      </c>
      <c r="C640" s="1" t="s">
        <v>143</v>
      </c>
      <c r="D640" s="1" t="s">
        <v>21</v>
      </c>
      <c r="E640" s="1" t="s">
        <v>288</v>
      </c>
      <c r="F640" s="1">
        <v>180.0</v>
      </c>
      <c r="G640" s="5">
        <v>0.56875</v>
      </c>
      <c r="H640" s="1">
        <v>9.0</v>
      </c>
      <c r="I640" s="5">
        <v>0.6006944444444444</v>
      </c>
      <c r="J640" s="1" t="str">
        <f t="array" ref="J640">XLOOKUP(B640,cat!B:B,cat!C:C)</f>
        <v>D</v>
      </c>
      <c r="K640" s="1">
        <f t="array" ref="K640">XLOOKUP(B640,cat!B:B,cat!D:D)</f>
        <v>200</v>
      </c>
      <c r="L640" s="7">
        <f t="shared" si="1"/>
        <v>0.03194444444</v>
      </c>
      <c r="M640" s="7">
        <f t="shared" si="2"/>
        <v>0.01298611111</v>
      </c>
      <c r="P640" s="9"/>
      <c r="Q640" s="9">
        <f t="shared" si="3"/>
        <v>258.6833333</v>
      </c>
      <c r="R640" s="1" t="str">
        <f t="shared" si="4"/>
        <v>VLG</v>
      </c>
      <c r="S640" s="1" t="str">
        <f>IF($D640="LEBL", IF(COUNTIF('Paises ECAC'!B:B, C640)&gt;0, "ECAC","NO ECAC"), "")</f>
        <v>ECAC</v>
      </c>
    </row>
    <row r="641" ht="14.25" customHeight="1">
      <c r="A641" s="1" t="s">
        <v>1145</v>
      </c>
      <c r="B641" s="1" t="s">
        <v>25</v>
      </c>
      <c r="C641" s="1" t="s">
        <v>21</v>
      </c>
      <c r="D641" s="1" t="s">
        <v>107</v>
      </c>
      <c r="E641" s="1" t="s">
        <v>1000</v>
      </c>
      <c r="F641" s="1">
        <v>390.0</v>
      </c>
      <c r="G641" s="5">
        <v>0.6013888888888889</v>
      </c>
      <c r="H641" s="1">
        <v>21.0</v>
      </c>
      <c r="I641" s="5">
        <v>0.6701388888888888</v>
      </c>
      <c r="J641" s="1" t="str">
        <f t="array" ref="J641">XLOOKUP(B641,cat!B:B,cat!C:C)</f>
        <v>D</v>
      </c>
      <c r="K641" s="1">
        <f t="array" ref="K641">XLOOKUP(B641,cat!B:B,cat!D:D)</f>
        <v>180</v>
      </c>
      <c r="L641" s="7">
        <f t="shared" si="1"/>
        <v>0.06875</v>
      </c>
      <c r="M641" s="1" t="str">
        <f t="shared" si="2"/>
        <v/>
      </c>
      <c r="P641" s="9"/>
      <c r="Q641" s="9">
        <f t="shared" si="3"/>
        <v>0</v>
      </c>
      <c r="R641" s="1" t="str">
        <f t="shared" si="4"/>
        <v>EJU</v>
      </c>
      <c r="S641" s="1" t="str">
        <f>IF($D641="LEBL", IF(COUNTIF('Paises ECAC'!B:B, C641)&gt;0, "ECAC","NO ECAC"), "")</f>
        <v/>
      </c>
    </row>
    <row r="642" ht="14.25" customHeight="1">
      <c r="A642" s="1" t="s">
        <v>1146</v>
      </c>
      <c r="B642" s="1" t="s">
        <v>30</v>
      </c>
      <c r="C642" s="1" t="s">
        <v>509</v>
      </c>
      <c r="D642" s="1" t="s">
        <v>21</v>
      </c>
      <c r="E642" s="1" t="s">
        <v>1147</v>
      </c>
      <c r="F642" s="1">
        <v>350.0</v>
      </c>
      <c r="G642" s="5">
        <v>0.525</v>
      </c>
      <c r="H642" s="1">
        <v>11.0</v>
      </c>
      <c r="I642" s="5">
        <v>0.6006944444444444</v>
      </c>
      <c r="J642" s="1" t="str">
        <f t="array" ref="J642">XLOOKUP(B642,cat!B:B,cat!C:C)</f>
        <v>D</v>
      </c>
      <c r="K642" s="1">
        <f t="array" ref="K642">XLOOKUP(B642,cat!B:B,cat!D:D)</f>
        <v>173</v>
      </c>
      <c r="L642" s="7">
        <f t="shared" si="1"/>
        <v>0.07569444444</v>
      </c>
      <c r="M642" s="7">
        <f t="shared" si="2"/>
        <v>0.05534722222</v>
      </c>
      <c r="P642" s="9"/>
      <c r="Q642" s="9">
        <f t="shared" si="3"/>
        <v>1102.516667</v>
      </c>
      <c r="R642" s="1" t="str">
        <f t="shared" si="4"/>
        <v>EWG</v>
      </c>
      <c r="S642" s="1" t="str">
        <f>IF($D642="LEBL", IF(COUNTIF('Paises ECAC'!B:B, C642)&gt;0, "ECAC","NO ECAC"), "")</f>
        <v>ECAC</v>
      </c>
    </row>
    <row r="643" ht="14.25" customHeight="1">
      <c r="A643" s="1" t="s">
        <v>1148</v>
      </c>
      <c r="B643" s="1" t="s">
        <v>35</v>
      </c>
      <c r="C643" s="1" t="s">
        <v>646</v>
      </c>
      <c r="D643" s="1" t="s">
        <v>21</v>
      </c>
      <c r="E643" s="1" t="s">
        <v>246</v>
      </c>
      <c r="F643" s="1">
        <v>350.0</v>
      </c>
      <c r="G643" s="5">
        <v>0.5166666666666667</v>
      </c>
      <c r="H643" s="1">
        <v>9.0</v>
      </c>
      <c r="I643" s="5">
        <v>0.6006944444444444</v>
      </c>
      <c r="J643" s="1" t="str">
        <f t="array" ref="J643">XLOOKUP(B643,cat!B:B,cat!C:C)</f>
        <v>D</v>
      </c>
      <c r="K643" s="1">
        <f t="array" ref="K643">XLOOKUP(B643,cat!B:B,cat!D:D)</f>
        <v>207</v>
      </c>
      <c r="L643" s="7">
        <f t="shared" si="1"/>
        <v>0.08402777778</v>
      </c>
      <c r="M643" s="7">
        <f t="shared" si="2"/>
        <v>0.06506944444</v>
      </c>
      <c r="P643" s="9"/>
      <c r="Q643" s="9">
        <f t="shared" si="3"/>
        <v>1296.183333</v>
      </c>
      <c r="R643" s="1" t="str">
        <f t="shared" si="4"/>
        <v>VLG</v>
      </c>
      <c r="S643" s="1" t="str">
        <f>IF($D643="LEBL", IF(COUNTIF('Paises ECAC'!B:B, C643)&gt;0, "ECAC","NO ECAC"), "")</f>
        <v>ECAC</v>
      </c>
    </row>
    <row r="644" ht="14.25" customHeight="1">
      <c r="A644" s="1" t="s">
        <v>1149</v>
      </c>
      <c r="B644" s="1" t="s">
        <v>594</v>
      </c>
      <c r="C644" s="1" t="s">
        <v>21</v>
      </c>
      <c r="D644" s="1" t="s">
        <v>1150</v>
      </c>
      <c r="E644" s="1" t="s">
        <v>971</v>
      </c>
      <c r="F644" s="1">
        <v>430.0</v>
      </c>
      <c r="G644" s="5">
        <v>0.5902777777777778</v>
      </c>
      <c r="H644" s="1">
        <v>20.0</v>
      </c>
      <c r="I644" s="5">
        <v>0.9270833333333334</v>
      </c>
      <c r="J644" s="1" t="str">
        <f t="array" ref="J644">XLOOKUP(B644,cat!B:B,cat!C:C)</f>
        <v>E</v>
      </c>
      <c r="K644" s="1">
        <f t="array" ref="K644">XLOOKUP(B644,cat!B:B,cat!D:D)</f>
        <v>15</v>
      </c>
      <c r="L644" s="7">
        <f t="shared" si="1"/>
        <v>0.3368055556</v>
      </c>
      <c r="M644" s="1" t="str">
        <f t="shared" si="2"/>
        <v/>
      </c>
      <c r="P644" s="9"/>
      <c r="Q644" s="9">
        <f t="shared" si="3"/>
        <v>0</v>
      </c>
      <c r="R644" s="1" t="str">
        <f t="shared" si="4"/>
        <v>PVA</v>
      </c>
      <c r="S644" s="1" t="str">
        <f>IF($D644="LEBL", IF(COUNTIF('Paises ECAC'!B:B, C644)&gt;0, "ECAC","NO ECAC"), "")</f>
        <v/>
      </c>
    </row>
    <row r="645" ht="14.25" customHeight="1">
      <c r="A645" s="1" t="s">
        <v>1151</v>
      </c>
      <c r="B645" s="1" t="s">
        <v>30</v>
      </c>
      <c r="C645" s="1" t="s">
        <v>245</v>
      </c>
      <c r="D645" s="1" t="s">
        <v>21</v>
      </c>
      <c r="E645" s="1" t="s">
        <v>265</v>
      </c>
      <c r="F645" s="1">
        <v>180.0</v>
      </c>
      <c r="G645" s="5">
        <v>0.5666666666666667</v>
      </c>
      <c r="H645" s="1">
        <v>10.0</v>
      </c>
      <c r="I645" s="5">
        <v>0.6041666666666666</v>
      </c>
      <c r="J645" s="1" t="str">
        <f t="array" ref="J645">XLOOKUP(B645,cat!B:B,cat!C:C)</f>
        <v>D</v>
      </c>
      <c r="K645" s="1">
        <f t="array" ref="K645">XLOOKUP(B645,cat!B:B,cat!D:D)</f>
        <v>173</v>
      </c>
      <c r="L645" s="7">
        <f t="shared" si="1"/>
        <v>0.0375</v>
      </c>
      <c r="M645" s="7">
        <f t="shared" si="2"/>
        <v>0.01784722222</v>
      </c>
      <c r="P645" s="9"/>
      <c r="Q645" s="9">
        <f t="shared" si="3"/>
        <v>355.5166667</v>
      </c>
      <c r="R645" s="1" t="str">
        <f t="shared" si="4"/>
        <v>VLG</v>
      </c>
      <c r="S645" s="1" t="str">
        <f>IF($D645="LEBL", IF(COUNTIF('Paises ECAC'!B:B, C645)&gt;0, "ECAC","NO ECAC"), "")</f>
        <v>ECAC</v>
      </c>
    </row>
    <row r="646" ht="14.25" customHeight="1">
      <c r="A646" s="1" t="s">
        <v>1152</v>
      </c>
      <c r="B646" s="1" t="s">
        <v>136</v>
      </c>
      <c r="C646" s="1" t="s">
        <v>21</v>
      </c>
      <c r="D646" s="1" t="s">
        <v>143</v>
      </c>
      <c r="E646" s="1" t="s">
        <v>370</v>
      </c>
      <c r="F646" s="1">
        <v>190.0</v>
      </c>
      <c r="G646" s="5">
        <v>0.6020833333333333</v>
      </c>
      <c r="H646" s="1">
        <v>10.0</v>
      </c>
      <c r="I646" s="5">
        <v>0.625</v>
      </c>
      <c r="J646" s="1" t="str">
        <f t="array" ref="J646">XLOOKUP(B646,cat!B:B,cat!C:C)</f>
        <v>D</v>
      </c>
      <c r="K646" s="1">
        <f t="array" ref="K646">XLOOKUP(B646,cat!B:B,cat!D:D)</f>
        <v>144</v>
      </c>
      <c r="L646" s="7">
        <f t="shared" si="1"/>
        <v>0.02291666667</v>
      </c>
      <c r="M646" s="1" t="str">
        <f t="shared" si="2"/>
        <v/>
      </c>
      <c r="P646" s="9"/>
      <c r="Q646" s="9">
        <f t="shared" si="3"/>
        <v>0</v>
      </c>
      <c r="R646" s="1" t="str">
        <f t="shared" si="4"/>
        <v>VLG</v>
      </c>
      <c r="S646" s="1" t="str">
        <f>IF($D646="LEBL", IF(COUNTIF('Paises ECAC'!B:B, C646)&gt;0, "ECAC","NO ECAC"), "")</f>
        <v/>
      </c>
    </row>
    <row r="647" ht="14.25" customHeight="1">
      <c r="A647" s="1" t="s">
        <v>1153</v>
      </c>
      <c r="B647" s="1" t="s">
        <v>212</v>
      </c>
      <c r="C647" s="1" t="s">
        <v>21</v>
      </c>
      <c r="D647" s="1" t="s">
        <v>100</v>
      </c>
      <c r="E647" s="1" t="s">
        <v>1034</v>
      </c>
      <c r="F647" s="1">
        <v>360.0</v>
      </c>
      <c r="G647" s="5">
        <v>0.5993055555555555</v>
      </c>
      <c r="H647" s="1">
        <v>20.0</v>
      </c>
      <c r="I647" s="5">
        <v>0.6701388888888888</v>
      </c>
      <c r="J647" s="1" t="str">
        <f t="array" ref="J647">XLOOKUP(B647,cat!B:B,cat!C:C)</f>
        <v>D</v>
      </c>
      <c r="K647" s="1">
        <f t="array" ref="K647">XLOOKUP(B647,cat!B:B,cat!D:D)</f>
        <v>200</v>
      </c>
      <c r="L647" s="7">
        <f t="shared" si="1"/>
        <v>0.07083333333</v>
      </c>
      <c r="M647" s="1" t="str">
        <f t="shared" si="2"/>
        <v/>
      </c>
      <c r="P647" s="9"/>
      <c r="Q647" s="9">
        <f t="shared" si="3"/>
        <v>0</v>
      </c>
      <c r="R647" s="1" t="str">
        <f t="shared" si="4"/>
        <v>WMT</v>
      </c>
      <c r="S647" s="1" t="str">
        <f>IF($D647="LEBL", IF(COUNTIF('Paises ECAC'!B:B, C647)&gt;0, "ECAC","NO ECAC"), "")</f>
        <v/>
      </c>
    </row>
    <row r="648" ht="14.25" customHeight="1">
      <c r="A648" s="1" t="s">
        <v>1154</v>
      </c>
      <c r="B648" s="1" t="s">
        <v>30</v>
      </c>
      <c r="C648" s="1" t="s">
        <v>822</v>
      </c>
      <c r="D648" s="1" t="s">
        <v>21</v>
      </c>
      <c r="E648" s="1" t="s">
        <v>641</v>
      </c>
      <c r="F648" s="1">
        <v>340.0</v>
      </c>
      <c r="G648" s="5">
        <v>0.5395833333333333</v>
      </c>
      <c r="H648" s="1">
        <v>7.0</v>
      </c>
      <c r="I648" s="5">
        <v>0.6041666666666666</v>
      </c>
      <c r="J648" s="1" t="str">
        <f t="array" ref="J648">XLOOKUP(B648,cat!B:B,cat!C:C)</f>
        <v>D</v>
      </c>
      <c r="K648" s="1">
        <f t="array" ref="K648">XLOOKUP(B648,cat!B:B,cat!D:D)</f>
        <v>173</v>
      </c>
      <c r="L648" s="7">
        <f t="shared" si="1"/>
        <v>0.06458333333</v>
      </c>
      <c r="M648" s="7">
        <f t="shared" si="2"/>
        <v>0.04701388889</v>
      </c>
      <c r="P648" s="9"/>
      <c r="Q648" s="9">
        <f t="shared" si="3"/>
        <v>936.5166667</v>
      </c>
      <c r="R648" s="1" t="str">
        <f t="shared" si="4"/>
        <v>VLG</v>
      </c>
      <c r="S648" s="1" t="str">
        <f>IF($D648="LEBL", IF(COUNTIF('Paises ECAC'!B:B, C648)&gt;0, "ECAC","NO ECAC"), "")</f>
        <v>ECAC</v>
      </c>
    </row>
    <row r="649" ht="14.25" customHeight="1">
      <c r="A649" s="1" t="s">
        <v>1155</v>
      </c>
      <c r="B649" s="1" t="s">
        <v>30</v>
      </c>
      <c r="C649" s="1" t="s">
        <v>21</v>
      </c>
      <c r="D649" s="1" t="s">
        <v>245</v>
      </c>
      <c r="E649" s="1" t="s">
        <v>92</v>
      </c>
      <c r="F649" s="1">
        <v>190.0</v>
      </c>
      <c r="G649" s="5">
        <v>0.59375</v>
      </c>
      <c r="H649" s="1">
        <v>10.0</v>
      </c>
      <c r="I649" s="5">
        <v>0.6319444444444444</v>
      </c>
      <c r="J649" s="1" t="str">
        <f t="array" ref="J649">XLOOKUP(B649,cat!B:B,cat!C:C)</f>
        <v>D</v>
      </c>
      <c r="K649" s="1">
        <f t="array" ref="K649">XLOOKUP(B649,cat!B:B,cat!D:D)</f>
        <v>173</v>
      </c>
      <c r="L649" s="7">
        <f t="shared" si="1"/>
        <v>0.03819444444</v>
      </c>
      <c r="M649" s="1" t="str">
        <f t="shared" si="2"/>
        <v/>
      </c>
      <c r="P649" s="9"/>
      <c r="Q649" s="9">
        <f t="shared" si="3"/>
        <v>0</v>
      </c>
      <c r="R649" s="1" t="str">
        <f t="shared" si="4"/>
        <v>VLG</v>
      </c>
      <c r="S649" s="1" t="str">
        <f>IF($D649="LEBL", IF(COUNTIF('Paises ECAC'!B:B, C649)&gt;0, "ECAC","NO ECAC"), "")</f>
        <v/>
      </c>
    </row>
    <row r="650" ht="14.25" customHeight="1">
      <c r="A650" s="1" t="s">
        <v>1156</v>
      </c>
      <c r="B650" s="1" t="s">
        <v>35</v>
      </c>
      <c r="C650" s="1" t="s">
        <v>21</v>
      </c>
      <c r="D650" s="1" t="s">
        <v>158</v>
      </c>
      <c r="E650" s="1" t="s">
        <v>992</v>
      </c>
      <c r="F650" s="1">
        <v>340.0</v>
      </c>
      <c r="G650" s="5">
        <v>0.6006944444444444</v>
      </c>
      <c r="H650" s="1">
        <v>10.0</v>
      </c>
      <c r="I650" s="5">
        <v>0.6701388888888888</v>
      </c>
      <c r="J650" s="1" t="str">
        <f t="array" ref="J650">XLOOKUP(B650,cat!B:B,cat!C:C)</f>
        <v>D</v>
      </c>
      <c r="K650" s="1">
        <f t="array" ref="K650">XLOOKUP(B650,cat!B:B,cat!D:D)</f>
        <v>207</v>
      </c>
      <c r="L650" s="7">
        <f t="shared" si="1"/>
        <v>0.06944444444</v>
      </c>
      <c r="M650" s="1" t="str">
        <f t="shared" si="2"/>
        <v/>
      </c>
      <c r="P650" s="9"/>
      <c r="Q650" s="9">
        <f t="shared" si="3"/>
        <v>0</v>
      </c>
      <c r="R650" s="1" t="str">
        <f t="shared" si="4"/>
        <v>SWR</v>
      </c>
      <c r="S650" s="1" t="str">
        <f>IF($D650="LEBL", IF(COUNTIF('Paises ECAC'!B:B, C650)&gt;0, "ECAC","NO ECAC"), "")</f>
        <v/>
      </c>
    </row>
    <row r="651" ht="14.25" customHeight="1">
      <c r="A651" s="1" t="s">
        <v>1157</v>
      </c>
      <c r="B651" s="1" t="s">
        <v>30</v>
      </c>
      <c r="C651" s="1" t="s">
        <v>377</v>
      </c>
      <c r="D651" s="1" t="s">
        <v>21</v>
      </c>
      <c r="E651" s="1" t="s">
        <v>252</v>
      </c>
      <c r="F651" s="1">
        <v>350.0</v>
      </c>
      <c r="G651" s="5">
        <v>0.5368055555555555</v>
      </c>
      <c r="H651" s="1">
        <v>10.0</v>
      </c>
      <c r="I651" s="5">
        <v>0.6076388888888888</v>
      </c>
      <c r="J651" s="1" t="str">
        <f t="array" ref="J651">XLOOKUP(B651,cat!B:B,cat!C:C)</f>
        <v>D</v>
      </c>
      <c r="K651" s="1">
        <f t="array" ref="K651">XLOOKUP(B651,cat!B:B,cat!D:D)</f>
        <v>173</v>
      </c>
      <c r="L651" s="7">
        <f t="shared" si="1"/>
        <v>0.07083333333</v>
      </c>
      <c r="M651" s="7">
        <f t="shared" si="2"/>
        <v>0.05118055556</v>
      </c>
      <c r="P651" s="9"/>
      <c r="Q651" s="9">
        <f t="shared" si="3"/>
        <v>1019.516667</v>
      </c>
      <c r="R651" s="1" t="str">
        <f t="shared" si="4"/>
        <v>VLG</v>
      </c>
      <c r="S651" s="1" t="str">
        <f>IF($D651="LEBL", IF(COUNTIF('Paises ECAC'!B:B, C651)&gt;0, "ECAC","NO ECAC"), "")</f>
        <v>ECAC</v>
      </c>
    </row>
    <row r="652" ht="14.25" customHeight="1">
      <c r="A652" s="1" t="s">
        <v>1158</v>
      </c>
      <c r="B652" s="1" t="s">
        <v>132</v>
      </c>
      <c r="C652" s="1" t="s">
        <v>21</v>
      </c>
      <c r="D652" s="1" t="s">
        <v>915</v>
      </c>
      <c r="E652" s="1" t="s">
        <v>916</v>
      </c>
      <c r="F652" s="1">
        <v>380.0</v>
      </c>
      <c r="G652" s="5">
        <v>0.5930555555555556</v>
      </c>
      <c r="H652" s="1">
        <v>14.0</v>
      </c>
      <c r="I652" s="5">
        <v>0.09027777777777778</v>
      </c>
      <c r="J652" s="1" t="str">
        <f t="array" ref="J652">XLOOKUP(B652,cat!B:B,cat!C:C)</f>
        <v>B</v>
      </c>
      <c r="K652" s="1">
        <f t="array" ref="K652">XLOOKUP(B652,cat!B:B,cat!D:D)</f>
        <v>296</v>
      </c>
      <c r="L652" s="7">
        <f t="shared" si="1"/>
        <v>0.4972222222</v>
      </c>
      <c r="M652" s="1" t="str">
        <f t="shared" si="2"/>
        <v/>
      </c>
      <c r="P652" s="9"/>
      <c r="Q652" s="9">
        <f t="shared" si="3"/>
        <v>0</v>
      </c>
      <c r="R652" s="1" t="str">
        <f t="shared" si="4"/>
        <v>UAL</v>
      </c>
      <c r="S652" s="1" t="str">
        <f>IF($D652="LEBL", IF(COUNTIF('Paises ECAC'!B:B, C652)&gt;0, "ECAC","NO ECAC"), "")</f>
        <v/>
      </c>
    </row>
    <row r="653" ht="14.25" customHeight="1">
      <c r="A653" s="1" t="s">
        <v>1159</v>
      </c>
      <c r="B653" s="1" t="s">
        <v>30</v>
      </c>
      <c r="C653" s="1" t="s">
        <v>21</v>
      </c>
      <c r="D653" s="1" t="s">
        <v>107</v>
      </c>
      <c r="E653" s="1" t="s">
        <v>1005</v>
      </c>
      <c r="F653" s="1">
        <v>370.0</v>
      </c>
      <c r="G653" s="5">
        <v>0.5909722222222222</v>
      </c>
      <c r="H653" s="1">
        <v>10.0</v>
      </c>
      <c r="I653" s="5">
        <v>0.6736111111111112</v>
      </c>
      <c r="J653" s="1" t="str">
        <f t="array" ref="J653">XLOOKUP(B653,cat!B:B,cat!C:C)</f>
        <v>D</v>
      </c>
      <c r="K653" s="1">
        <f t="array" ref="K653">XLOOKUP(B653,cat!B:B,cat!D:D)</f>
        <v>173</v>
      </c>
      <c r="L653" s="7">
        <f t="shared" si="1"/>
        <v>0.08263888889</v>
      </c>
      <c r="M653" s="1" t="str">
        <f t="shared" si="2"/>
        <v/>
      </c>
      <c r="P653" s="9"/>
      <c r="Q653" s="9">
        <f t="shared" si="3"/>
        <v>0</v>
      </c>
      <c r="R653" s="1" t="str">
        <f t="shared" si="4"/>
        <v>VLG</v>
      </c>
      <c r="S653" s="1" t="str">
        <f>IF($D653="LEBL", IF(COUNTIF('Paises ECAC'!B:B, C653)&gt;0, "ECAC","NO ECAC"), "")</f>
        <v/>
      </c>
    </row>
    <row r="654" ht="14.25" customHeight="1">
      <c r="A654" s="1" t="s">
        <v>1160</v>
      </c>
      <c r="B654" s="1" t="s">
        <v>30</v>
      </c>
      <c r="C654" s="1" t="s">
        <v>21</v>
      </c>
      <c r="D654" s="1" t="s">
        <v>1021</v>
      </c>
      <c r="E654" s="1" t="s">
        <v>1022</v>
      </c>
      <c r="F654" s="1">
        <v>390.0</v>
      </c>
      <c r="G654" s="5">
        <v>0.6076388888888888</v>
      </c>
      <c r="H654" s="1">
        <v>20.0</v>
      </c>
      <c r="I654" s="5">
        <v>0.7083333333333334</v>
      </c>
      <c r="J654" s="1" t="str">
        <f t="array" ref="J654">XLOOKUP(B654,cat!B:B,cat!C:C)</f>
        <v>D</v>
      </c>
      <c r="K654" s="1">
        <f t="array" ref="K654">XLOOKUP(B654,cat!B:B,cat!D:D)</f>
        <v>173</v>
      </c>
      <c r="L654" s="7">
        <f t="shared" si="1"/>
        <v>0.1006944444</v>
      </c>
      <c r="M654" s="1" t="str">
        <f t="shared" si="2"/>
        <v/>
      </c>
      <c r="P654" s="9"/>
      <c r="Q654" s="9">
        <f t="shared" si="3"/>
        <v>0</v>
      </c>
      <c r="R654" s="1" t="str">
        <f t="shared" si="4"/>
        <v>WZZ</v>
      </c>
      <c r="S654" s="1" t="str">
        <f>IF($D654="LEBL", IF(COUNTIF('Paises ECAC'!B:B, C654)&gt;0, "ECAC","NO ECAC"), "")</f>
        <v/>
      </c>
    </row>
    <row r="655" ht="14.25" customHeight="1">
      <c r="A655" s="1" t="s">
        <v>1161</v>
      </c>
      <c r="B655" s="1" t="s">
        <v>772</v>
      </c>
      <c r="C655" s="1" t="s">
        <v>156</v>
      </c>
      <c r="D655" s="1" t="s">
        <v>21</v>
      </c>
      <c r="E655" s="1" t="s">
        <v>1162</v>
      </c>
      <c r="F655" s="1">
        <v>180.0</v>
      </c>
      <c r="G655" s="5">
        <v>0.5972222222222222</v>
      </c>
      <c r="H655" s="1">
        <v>20.0</v>
      </c>
      <c r="I655" s="5">
        <v>0.6111111111111112</v>
      </c>
      <c r="J655" s="1" t="str">
        <f t="array" ref="J655">XLOOKUP(B655,cat!B:B,cat!C:C)</f>
        <v>F</v>
      </c>
      <c r="K655" s="1">
        <f t="array" ref="K655">XLOOKUP(B655,cat!B:B,cat!D:D)</f>
        <v>8</v>
      </c>
      <c r="L655" s="7">
        <f t="shared" si="1"/>
        <v>0.01388888889</v>
      </c>
      <c r="M655" s="7">
        <f t="shared" si="2"/>
        <v>0</v>
      </c>
      <c r="P655" s="9"/>
      <c r="Q655" s="9">
        <f t="shared" si="3"/>
        <v>0</v>
      </c>
      <c r="R655" s="1" t="str">
        <f t="shared" si="4"/>
        <v>ALE</v>
      </c>
      <c r="S655" s="1" t="str">
        <f>IF($D655="LEBL", IF(COUNTIF('Paises ECAC'!B:B, C655)&gt;0, "ECAC","NO ECAC"), "")</f>
        <v>ECAC</v>
      </c>
    </row>
    <row r="656" ht="14.25" customHeight="1">
      <c r="A656" s="1" t="s">
        <v>1163</v>
      </c>
      <c r="B656" s="1" t="s">
        <v>30</v>
      </c>
      <c r="C656" s="1" t="s">
        <v>21</v>
      </c>
      <c r="D656" s="1" t="s">
        <v>279</v>
      </c>
      <c r="E656" s="1" t="s">
        <v>1046</v>
      </c>
      <c r="F656" s="1">
        <v>340.0</v>
      </c>
      <c r="G656" s="5">
        <v>0.6076388888888888</v>
      </c>
      <c r="H656" s="1">
        <v>20.0</v>
      </c>
      <c r="I656" s="5">
        <v>0.6597222222222222</v>
      </c>
      <c r="J656" s="1" t="str">
        <f t="array" ref="J656">XLOOKUP(B656,cat!B:B,cat!C:C)</f>
        <v>D</v>
      </c>
      <c r="K656" s="1">
        <f t="array" ref="K656">XLOOKUP(B656,cat!B:B,cat!D:D)</f>
        <v>173</v>
      </c>
      <c r="L656" s="7">
        <f t="shared" si="1"/>
        <v>0.05208333333</v>
      </c>
      <c r="M656" s="1" t="str">
        <f t="shared" si="2"/>
        <v/>
      </c>
      <c r="P656" s="9"/>
      <c r="Q656" s="9">
        <f t="shared" si="3"/>
        <v>0</v>
      </c>
      <c r="R656" s="1" t="str">
        <f t="shared" si="4"/>
        <v>VOE</v>
      </c>
      <c r="S656" s="1" t="str">
        <f>IF($D656="LEBL", IF(COUNTIF('Paises ECAC'!B:B, C656)&gt;0, "ECAC","NO ECAC"), "")</f>
        <v/>
      </c>
    </row>
    <row r="657" ht="14.25" customHeight="1">
      <c r="A657" s="1" t="s">
        <v>1164</v>
      </c>
      <c r="B657" s="1" t="s">
        <v>136</v>
      </c>
      <c r="C657" s="1" t="s">
        <v>21</v>
      </c>
      <c r="D657" s="1" t="s">
        <v>267</v>
      </c>
      <c r="E657" s="1" t="s">
        <v>1031</v>
      </c>
      <c r="F657" s="1">
        <v>340.0</v>
      </c>
      <c r="G657" s="5">
        <v>0.6104166666666667</v>
      </c>
      <c r="H657" s="1">
        <v>20.0</v>
      </c>
      <c r="I657" s="5">
        <v>0.6736111111111112</v>
      </c>
      <c r="J657" s="1" t="str">
        <f t="array" ref="J657">XLOOKUP(B657,cat!B:B,cat!C:C)</f>
        <v>D</v>
      </c>
      <c r="K657" s="1">
        <f t="array" ref="K657">XLOOKUP(B657,cat!B:B,cat!D:D)</f>
        <v>144</v>
      </c>
      <c r="L657" s="7">
        <f t="shared" si="1"/>
        <v>0.06319444444</v>
      </c>
      <c r="M657" s="1" t="str">
        <f t="shared" si="2"/>
        <v/>
      </c>
      <c r="P657" s="9"/>
      <c r="Q657" s="9">
        <f t="shared" si="3"/>
        <v>0</v>
      </c>
      <c r="R657" s="1" t="str">
        <f t="shared" si="4"/>
        <v>EWG</v>
      </c>
      <c r="S657" s="1" t="str">
        <f>IF($D657="LEBL", IF(COUNTIF('Paises ECAC'!B:B, C657)&gt;0, "ECAC","NO ECAC"), "")</f>
        <v/>
      </c>
    </row>
    <row r="658" ht="14.25" customHeight="1">
      <c r="A658" s="1" t="s">
        <v>1165</v>
      </c>
      <c r="B658" s="1" t="s">
        <v>212</v>
      </c>
      <c r="C658" s="1" t="s">
        <v>21</v>
      </c>
      <c r="D658" s="1" t="s">
        <v>1012</v>
      </c>
      <c r="E658" s="1" t="s">
        <v>1013</v>
      </c>
      <c r="F658" s="1">
        <v>370.0</v>
      </c>
      <c r="G658" s="5">
        <v>0.6104166666666667</v>
      </c>
      <c r="H658" s="1">
        <v>13.0</v>
      </c>
      <c r="I658" s="5">
        <v>0.7604166666666666</v>
      </c>
      <c r="J658" s="1" t="str">
        <f t="array" ref="J658">XLOOKUP(B658,cat!B:B,cat!C:C)</f>
        <v>D</v>
      </c>
      <c r="K658" s="1">
        <f t="array" ref="K658">XLOOKUP(B658,cat!B:B,cat!D:D)</f>
        <v>200</v>
      </c>
      <c r="L658" s="7">
        <f t="shared" si="1"/>
        <v>0.15</v>
      </c>
      <c r="M658" s="1" t="str">
        <f t="shared" si="2"/>
        <v/>
      </c>
      <c r="P658" s="9"/>
      <c r="Q658" s="9">
        <f t="shared" si="3"/>
        <v>0</v>
      </c>
      <c r="R658" s="1" t="str">
        <f t="shared" si="4"/>
        <v>MSR</v>
      </c>
      <c r="S658" s="1" t="str">
        <f>IF($D658="LEBL", IF(COUNTIF('Paises ECAC'!B:B, C658)&gt;0, "ECAC","NO ECAC"), "")</f>
        <v/>
      </c>
    </row>
    <row r="659" ht="14.25" customHeight="1">
      <c r="A659" s="1" t="s">
        <v>1166</v>
      </c>
      <c r="B659" s="1" t="s">
        <v>544</v>
      </c>
      <c r="C659" s="1" t="s">
        <v>21</v>
      </c>
      <c r="D659" s="1" t="s">
        <v>116</v>
      </c>
      <c r="E659" s="1" t="s">
        <v>1062</v>
      </c>
      <c r="F659" s="1">
        <v>340.0</v>
      </c>
      <c r="G659" s="5">
        <v>0.6097222222222223</v>
      </c>
      <c r="H659" s="1">
        <v>10.0</v>
      </c>
      <c r="I659" s="5">
        <v>0.6736111111111112</v>
      </c>
      <c r="J659" s="1" t="str">
        <f t="array" ref="J659">XLOOKUP(B659,cat!B:B,cat!C:C)</f>
        <v>D</v>
      </c>
      <c r="K659" s="1">
        <f t="array" ref="K659">XLOOKUP(B659,cat!B:B,cat!D:D)</f>
        <v>148</v>
      </c>
      <c r="L659" s="7">
        <f t="shared" si="1"/>
        <v>0.06388888889</v>
      </c>
      <c r="M659" s="1" t="str">
        <f t="shared" si="2"/>
        <v/>
      </c>
      <c r="P659" s="9"/>
      <c r="Q659" s="9">
        <f t="shared" si="3"/>
        <v>0</v>
      </c>
      <c r="R659" s="1" t="str">
        <f t="shared" si="4"/>
        <v>AFR</v>
      </c>
      <c r="S659" s="1" t="str">
        <f>IF($D659="LEBL", IF(COUNTIF('Paises ECAC'!B:B, C659)&gt;0, "ECAC","NO ECAC"), "")</f>
        <v/>
      </c>
    </row>
    <row r="660" ht="14.25" customHeight="1">
      <c r="A660" s="1" t="s">
        <v>1167</v>
      </c>
      <c r="B660" s="1" t="s">
        <v>30</v>
      </c>
      <c r="C660" s="1" t="s">
        <v>21</v>
      </c>
      <c r="D660" s="1" t="s">
        <v>808</v>
      </c>
      <c r="E660" s="1" t="s">
        <v>1051</v>
      </c>
      <c r="F660" s="1">
        <v>390.0</v>
      </c>
      <c r="G660" s="5">
        <v>0.6083333333333333</v>
      </c>
      <c r="H660" s="1">
        <v>20.0</v>
      </c>
      <c r="I660" s="5">
        <v>0.6527777777777778</v>
      </c>
      <c r="J660" s="1" t="str">
        <f t="array" ref="J660">XLOOKUP(B660,cat!B:B,cat!C:C)</f>
        <v>D</v>
      </c>
      <c r="K660" s="1">
        <f t="array" ref="K660">XLOOKUP(B660,cat!B:B,cat!D:D)</f>
        <v>173</v>
      </c>
      <c r="L660" s="7">
        <f t="shared" si="1"/>
        <v>0.04444444444</v>
      </c>
      <c r="M660" s="1" t="str">
        <f t="shared" si="2"/>
        <v/>
      </c>
      <c r="P660" s="9"/>
      <c r="Q660" s="9">
        <f t="shared" si="3"/>
        <v>0</v>
      </c>
      <c r="R660" s="1" t="str">
        <f t="shared" si="4"/>
        <v>VOE</v>
      </c>
      <c r="S660" s="1" t="str">
        <f>IF($D660="LEBL", IF(COUNTIF('Paises ECAC'!B:B, C660)&gt;0, "ECAC","NO ECAC"), "")</f>
        <v/>
      </c>
    </row>
    <row r="661" ht="14.25" customHeight="1">
      <c r="A661" s="1" t="s">
        <v>1168</v>
      </c>
      <c r="B661" s="1" t="s">
        <v>35</v>
      </c>
      <c r="C661" s="1" t="s">
        <v>107</v>
      </c>
      <c r="D661" s="1" t="s">
        <v>21</v>
      </c>
      <c r="E661" s="1" t="s">
        <v>254</v>
      </c>
      <c r="F661" s="1">
        <v>340.0</v>
      </c>
      <c r="G661" s="5">
        <v>0.5520833333333334</v>
      </c>
      <c r="H661" s="1">
        <v>15.0</v>
      </c>
      <c r="I661" s="5">
        <v>0.6145833333333334</v>
      </c>
      <c r="J661" s="1" t="str">
        <f t="array" ref="J661">XLOOKUP(B661,cat!B:B,cat!C:C)</f>
        <v>D</v>
      </c>
      <c r="K661" s="1">
        <f t="array" ref="K661">XLOOKUP(B661,cat!B:B,cat!D:D)</f>
        <v>207</v>
      </c>
      <c r="L661" s="7">
        <f t="shared" si="1"/>
        <v>0.0625</v>
      </c>
      <c r="M661" s="7">
        <f t="shared" si="2"/>
        <v>0.039375</v>
      </c>
      <c r="P661" s="9"/>
      <c r="Q661" s="9">
        <f t="shared" si="3"/>
        <v>784.35</v>
      </c>
      <c r="R661" s="1" t="str">
        <f t="shared" si="4"/>
        <v>VLG</v>
      </c>
      <c r="S661" s="1" t="str">
        <f>IF($D661="LEBL", IF(COUNTIF('Paises ECAC'!B:B, C661)&gt;0, "ECAC","NO ECAC"), "")</f>
        <v>ECAC</v>
      </c>
    </row>
    <row r="662" ht="14.25" customHeight="1">
      <c r="A662" s="1" t="s">
        <v>1169</v>
      </c>
      <c r="B662" s="1" t="s">
        <v>35</v>
      </c>
      <c r="C662" s="1" t="s">
        <v>21</v>
      </c>
      <c r="D662" s="1" t="s">
        <v>227</v>
      </c>
      <c r="E662" s="1" t="s">
        <v>1041</v>
      </c>
      <c r="F662" s="1">
        <v>360.0</v>
      </c>
      <c r="G662" s="5">
        <v>0.6159722222222223</v>
      </c>
      <c r="H662" s="1">
        <v>11.0</v>
      </c>
      <c r="I662" s="5">
        <v>0.6909722222222222</v>
      </c>
      <c r="J662" s="1" t="str">
        <f t="array" ref="J662">XLOOKUP(B662,cat!B:B,cat!C:C)</f>
        <v>D</v>
      </c>
      <c r="K662" s="1">
        <f t="array" ref="K662">XLOOKUP(B662,cat!B:B,cat!D:D)</f>
        <v>207</v>
      </c>
      <c r="L662" s="7">
        <f t="shared" si="1"/>
        <v>0.075</v>
      </c>
      <c r="M662" s="1" t="str">
        <f t="shared" si="2"/>
        <v/>
      </c>
      <c r="P662" s="9"/>
      <c r="Q662" s="9">
        <f t="shared" si="3"/>
        <v>0</v>
      </c>
      <c r="R662" s="1" t="str">
        <f t="shared" si="4"/>
        <v>DLH</v>
      </c>
      <c r="S662" s="1" t="str">
        <f>IF($D662="LEBL", IF(COUNTIF('Paises ECAC'!B:B, C662)&gt;0, "ECAC","NO ECAC"), "")</f>
        <v/>
      </c>
    </row>
    <row r="663" ht="14.25" customHeight="1">
      <c r="A663" s="1" t="s">
        <v>1170</v>
      </c>
      <c r="B663" s="1" t="s">
        <v>136</v>
      </c>
      <c r="C663" s="1" t="s">
        <v>21</v>
      </c>
      <c r="D663" s="1" t="s">
        <v>274</v>
      </c>
      <c r="E663" s="1" t="s">
        <v>1058</v>
      </c>
      <c r="F663" s="1">
        <v>340.0</v>
      </c>
      <c r="G663" s="5">
        <v>0.6145833333333334</v>
      </c>
      <c r="H663" s="1">
        <v>12.0</v>
      </c>
      <c r="I663" s="5">
        <v>0.6875</v>
      </c>
      <c r="J663" s="1" t="str">
        <f t="array" ref="J663">XLOOKUP(B663,cat!B:B,cat!C:C)</f>
        <v>D</v>
      </c>
      <c r="K663" s="1">
        <f t="array" ref="K663">XLOOKUP(B663,cat!B:B,cat!D:D)</f>
        <v>144</v>
      </c>
      <c r="L663" s="7">
        <f t="shared" si="1"/>
        <v>0.07291666667</v>
      </c>
      <c r="M663" s="1" t="str">
        <f t="shared" si="2"/>
        <v/>
      </c>
      <c r="P663" s="9"/>
      <c r="Q663" s="9">
        <f t="shared" si="3"/>
        <v>0</v>
      </c>
      <c r="R663" s="1" t="str">
        <f t="shared" si="4"/>
        <v>BAW</v>
      </c>
      <c r="S663" s="1" t="str">
        <f>IF($D663="LEBL", IF(COUNTIF('Paises ECAC'!B:B, C663)&gt;0, "ECAC","NO ECAC"), "")</f>
        <v/>
      </c>
    </row>
    <row r="664" ht="14.25" customHeight="1">
      <c r="A664" s="1" t="s">
        <v>1171</v>
      </c>
      <c r="B664" s="1" t="s">
        <v>57</v>
      </c>
      <c r="C664" s="1" t="s">
        <v>954</v>
      </c>
      <c r="D664" s="1" t="s">
        <v>21</v>
      </c>
      <c r="E664" s="1" t="s">
        <v>1172</v>
      </c>
      <c r="F664" s="1">
        <v>410.0</v>
      </c>
      <c r="G664" s="5">
        <v>0.18194444444444444</v>
      </c>
      <c r="H664" s="1">
        <v>22.0</v>
      </c>
      <c r="I664" s="5">
        <v>0.6145833333333334</v>
      </c>
      <c r="J664" s="1" t="str">
        <f t="array" ref="J664">XLOOKUP(B664,cat!B:B,cat!C:C)</f>
        <v>B</v>
      </c>
      <c r="K664" s="1">
        <f t="array" ref="K664">XLOOKUP(B664,cat!B:B,cat!D:D)</f>
        <v>281</v>
      </c>
      <c r="L664" s="7">
        <f t="shared" si="1"/>
        <v>0.4326388889</v>
      </c>
      <c r="M664" s="7">
        <f t="shared" si="2"/>
        <v>0.4046527778</v>
      </c>
      <c r="P664" s="9"/>
      <c r="Q664" s="9">
        <f t="shared" si="3"/>
        <v>8740.5</v>
      </c>
      <c r="R664" s="1" t="str">
        <f t="shared" si="4"/>
        <v>IBE</v>
      </c>
      <c r="S664" s="1" t="str">
        <f>IF($D664="LEBL", IF(COUNTIF('Paises ECAC'!B:B, C664)&gt;0, "ECAC","NO ECAC"), "")</f>
        <v>NO ECAC</v>
      </c>
    </row>
    <row r="665" ht="14.25" customHeight="1">
      <c r="A665" s="1" t="s">
        <v>1173</v>
      </c>
      <c r="B665" s="1" t="s">
        <v>576</v>
      </c>
      <c r="C665" s="1" t="s">
        <v>21</v>
      </c>
      <c r="D665" s="1" t="s">
        <v>1008</v>
      </c>
      <c r="E665" s="1" t="s">
        <v>1009</v>
      </c>
      <c r="F665" s="1">
        <v>410.0</v>
      </c>
      <c r="G665" s="5">
        <v>0.6104166666666667</v>
      </c>
      <c r="H665" s="1">
        <v>14.0</v>
      </c>
      <c r="I665" s="5">
        <v>0.8368055555555556</v>
      </c>
      <c r="J665" s="1" t="str">
        <f t="array" ref="J665">XLOOKUP(B665,cat!B:B,cat!C:C)</f>
        <v>B</v>
      </c>
      <c r="K665" s="1">
        <f t="array" ref="K665">XLOOKUP(B665,cat!B:B,cat!D:D)</f>
        <v>284</v>
      </c>
      <c r="L665" s="7">
        <f t="shared" si="1"/>
        <v>0.2263888889</v>
      </c>
      <c r="M665" s="1" t="str">
        <f t="shared" si="2"/>
        <v/>
      </c>
      <c r="P665" s="9"/>
      <c r="Q665" s="9">
        <f t="shared" si="3"/>
        <v>0</v>
      </c>
      <c r="R665" s="1" t="str">
        <f t="shared" si="4"/>
        <v>SVA</v>
      </c>
      <c r="S665" s="1" t="str">
        <f>IF($D665="LEBL", IF(COUNTIF('Paises ECAC'!B:B, C665)&gt;0, "ECAC","NO ECAC"), "")</f>
        <v/>
      </c>
    </row>
    <row r="666" ht="14.25" customHeight="1">
      <c r="A666" s="1" t="s">
        <v>1174</v>
      </c>
      <c r="B666" s="1" t="s">
        <v>35</v>
      </c>
      <c r="C666" s="1" t="s">
        <v>21</v>
      </c>
      <c r="D666" s="1" t="s">
        <v>156</v>
      </c>
      <c r="E666" s="1" t="s">
        <v>193</v>
      </c>
      <c r="F666" s="1">
        <v>190.0</v>
      </c>
      <c r="G666" s="5">
        <v>0.6180555555555556</v>
      </c>
      <c r="H666" s="1">
        <v>10.0</v>
      </c>
      <c r="I666" s="5">
        <v>0.6388888888888888</v>
      </c>
      <c r="J666" s="1" t="str">
        <f t="array" ref="J666">XLOOKUP(B666,cat!B:B,cat!C:C)</f>
        <v>D</v>
      </c>
      <c r="K666" s="1">
        <f t="array" ref="K666">XLOOKUP(B666,cat!B:B,cat!D:D)</f>
        <v>207</v>
      </c>
      <c r="L666" s="7">
        <f t="shared" si="1"/>
        <v>0.02083333333</v>
      </c>
      <c r="M666" s="1" t="str">
        <f t="shared" si="2"/>
        <v/>
      </c>
      <c r="P666" s="9"/>
      <c r="Q666" s="9">
        <f t="shared" si="3"/>
        <v>0</v>
      </c>
      <c r="R666" s="1" t="str">
        <f t="shared" si="4"/>
        <v>VLG</v>
      </c>
      <c r="S666" s="1" t="str">
        <f>IF($D666="LEBL", IF(COUNTIF('Paises ECAC'!B:B, C666)&gt;0, "ECAC","NO ECAC"), "")</f>
        <v/>
      </c>
    </row>
    <row r="667" ht="14.25" customHeight="1">
      <c r="A667" s="1" t="s">
        <v>980</v>
      </c>
      <c r="B667" s="1" t="s">
        <v>981</v>
      </c>
      <c r="C667" s="1" t="s">
        <v>21</v>
      </c>
      <c r="D667" s="1" t="s">
        <v>158</v>
      </c>
      <c r="E667" s="1" t="s">
        <v>983</v>
      </c>
      <c r="F667" s="1">
        <v>300.0</v>
      </c>
      <c r="G667" s="5">
        <v>0.6208333333333333</v>
      </c>
      <c r="H667" s="1">
        <v>20.0</v>
      </c>
      <c r="I667" s="5">
        <v>0.6805555555555556</v>
      </c>
      <c r="J667" s="1" t="str">
        <f t="array" ref="J667">XLOOKUP(B667,cat!B:B,cat!C:C)</f>
        <v>F</v>
      </c>
      <c r="K667" s="1">
        <f t="array" ref="K667">XLOOKUP(B667,cat!B:B,cat!D:D)</f>
        <v>6</v>
      </c>
      <c r="L667" s="7">
        <f t="shared" si="1"/>
        <v>0.05972222222</v>
      </c>
      <c r="M667" s="1" t="str">
        <f t="shared" si="2"/>
        <v/>
      </c>
      <c r="P667" s="9"/>
      <c r="Q667" s="9">
        <f t="shared" si="3"/>
        <v>0</v>
      </c>
      <c r="R667" s="1" t="str">
        <f t="shared" si="4"/>
        <v>VTB</v>
      </c>
      <c r="S667" s="1" t="str">
        <f>IF($D667="LEBL", IF(COUNTIF('Paises ECAC'!B:B, C667)&gt;0, "ECAC","NO ECAC"), "")</f>
        <v/>
      </c>
    </row>
    <row r="668" ht="14.25" customHeight="1">
      <c r="A668" s="1" t="s">
        <v>1175</v>
      </c>
      <c r="B668" s="1" t="s">
        <v>30</v>
      </c>
      <c r="C668" s="1" t="s">
        <v>21</v>
      </c>
      <c r="D668" s="1" t="s">
        <v>192</v>
      </c>
      <c r="E668" s="1" t="s">
        <v>98</v>
      </c>
      <c r="F668" s="1">
        <v>370.0</v>
      </c>
      <c r="G668" s="5">
        <v>0.6083333333333333</v>
      </c>
      <c r="H668" s="1">
        <v>11.0</v>
      </c>
      <c r="I668" s="5">
        <v>0.6701388888888888</v>
      </c>
      <c r="J668" s="1" t="str">
        <f t="array" ref="J668">XLOOKUP(B668,cat!B:B,cat!C:C)</f>
        <v>D</v>
      </c>
      <c r="K668" s="1">
        <f t="array" ref="K668">XLOOKUP(B668,cat!B:B,cat!D:D)</f>
        <v>173</v>
      </c>
      <c r="L668" s="7">
        <f t="shared" si="1"/>
        <v>0.06180555556</v>
      </c>
      <c r="M668" s="1" t="str">
        <f t="shared" si="2"/>
        <v/>
      </c>
      <c r="P668" s="9"/>
      <c r="Q668" s="9">
        <f t="shared" si="3"/>
        <v>0</v>
      </c>
      <c r="R668" s="1" t="str">
        <f t="shared" si="4"/>
        <v>VLG</v>
      </c>
      <c r="S668" s="1" t="str">
        <f>IF($D668="LEBL", IF(COUNTIF('Paises ECAC'!B:B, C668)&gt;0, "ECAC","NO ECAC"), "")</f>
        <v/>
      </c>
    </row>
    <row r="669" ht="14.25" customHeight="1">
      <c r="A669" s="1" t="s">
        <v>1176</v>
      </c>
      <c r="B669" s="1" t="s">
        <v>30</v>
      </c>
      <c r="C669" s="1" t="s">
        <v>21</v>
      </c>
      <c r="D669" s="1" t="s">
        <v>1043</v>
      </c>
      <c r="E669" s="1" t="s">
        <v>1044</v>
      </c>
      <c r="F669" s="1">
        <v>340.0</v>
      </c>
      <c r="G669" s="5">
        <v>0.6152777777777778</v>
      </c>
      <c r="H669" s="1">
        <v>20.0</v>
      </c>
      <c r="I669" s="5">
        <v>0.6909722222222222</v>
      </c>
      <c r="J669" s="1" t="str">
        <f t="array" ref="J669">XLOOKUP(B669,cat!B:B,cat!C:C)</f>
        <v>D</v>
      </c>
      <c r="K669" s="1">
        <f t="array" ref="K669">XLOOKUP(B669,cat!B:B,cat!D:D)</f>
        <v>173</v>
      </c>
      <c r="L669" s="7">
        <f t="shared" si="1"/>
        <v>0.07569444444</v>
      </c>
      <c r="M669" s="1" t="str">
        <f t="shared" si="2"/>
        <v/>
      </c>
      <c r="P669" s="9"/>
      <c r="Q669" s="9">
        <f t="shared" si="3"/>
        <v>0</v>
      </c>
      <c r="R669" s="1" t="str">
        <f t="shared" si="4"/>
        <v>TDR</v>
      </c>
      <c r="S669" s="1" t="str">
        <f>IF($D669="LEBL", IF(COUNTIF('Paises ECAC'!B:B, C669)&gt;0, "ECAC","NO ECAC"), "")</f>
        <v/>
      </c>
    </row>
    <row r="670" ht="14.25" customHeight="1">
      <c r="A670" s="1" t="s">
        <v>1177</v>
      </c>
      <c r="B670" s="1" t="s">
        <v>182</v>
      </c>
      <c r="C670" s="1" t="s">
        <v>234</v>
      </c>
      <c r="D670" s="1" t="s">
        <v>21</v>
      </c>
      <c r="E670" s="1" t="s">
        <v>1178</v>
      </c>
      <c r="F670" s="1">
        <v>280.0</v>
      </c>
      <c r="G670" s="5">
        <v>0.5833333333333334</v>
      </c>
      <c r="H670" s="1">
        <v>20.0</v>
      </c>
      <c r="I670" s="5">
        <v>0.6215277777777778</v>
      </c>
      <c r="J670" s="1" t="str">
        <f t="array" ref="J670">XLOOKUP(B670,cat!B:B,cat!C:C)</f>
        <v>B</v>
      </c>
      <c r="K670" s="1">
        <f t="array" ref="K670">XLOOKUP(B670,cat!B:B,cat!D:D)</f>
        <v>284</v>
      </c>
      <c r="L670" s="7">
        <f t="shared" si="1"/>
        <v>0.03819444444</v>
      </c>
      <c r="M670" s="7">
        <f t="shared" si="2"/>
        <v>0.01159722222</v>
      </c>
      <c r="P670" s="9"/>
      <c r="Q670" s="9">
        <f t="shared" si="3"/>
        <v>250.5</v>
      </c>
      <c r="R670" s="1" t="str">
        <f t="shared" si="4"/>
        <v>AEA</v>
      </c>
      <c r="S670" s="1" t="str">
        <f>IF($D670="LEBL", IF(COUNTIF('Paises ECAC'!B:B, C670)&gt;0, "ECAC","NO ECAC"), "")</f>
        <v>ECAC</v>
      </c>
    </row>
    <row r="671" ht="14.25" customHeight="1">
      <c r="A671" s="1" t="s">
        <v>1179</v>
      </c>
      <c r="B671" s="1" t="s">
        <v>30</v>
      </c>
      <c r="C671" s="1" t="s">
        <v>21</v>
      </c>
      <c r="D671" s="1" t="s">
        <v>169</v>
      </c>
      <c r="E671" s="1" t="s">
        <v>870</v>
      </c>
      <c r="F671" s="1">
        <v>340.0</v>
      </c>
      <c r="G671" s="5">
        <v>0.6118055555555556</v>
      </c>
      <c r="H671" s="1">
        <v>11.0</v>
      </c>
      <c r="I671" s="5">
        <v>0.6979166666666666</v>
      </c>
      <c r="J671" s="1" t="str">
        <f t="array" ref="J671">XLOOKUP(B671,cat!B:B,cat!C:C)</f>
        <v>D</v>
      </c>
      <c r="K671" s="1">
        <f t="array" ref="K671">XLOOKUP(B671,cat!B:B,cat!D:D)</f>
        <v>173</v>
      </c>
      <c r="L671" s="7">
        <f t="shared" si="1"/>
        <v>0.08611111111</v>
      </c>
      <c r="M671" s="1" t="str">
        <f t="shared" si="2"/>
        <v/>
      </c>
      <c r="P671" s="9"/>
      <c r="Q671" s="9">
        <f t="shared" si="3"/>
        <v>0</v>
      </c>
      <c r="R671" s="1" t="str">
        <f t="shared" si="4"/>
        <v>VLG</v>
      </c>
      <c r="S671" s="1" t="str">
        <f>IF($D671="LEBL", IF(COUNTIF('Paises ECAC'!B:B, C671)&gt;0, "ECAC","NO ECAC"), "")</f>
        <v/>
      </c>
    </row>
    <row r="672" ht="14.25" customHeight="1">
      <c r="A672" s="1" t="s">
        <v>1180</v>
      </c>
      <c r="B672" s="1" t="s">
        <v>19</v>
      </c>
      <c r="C672" s="1" t="s">
        <v>140</v>
      </c>
      <c r="D672" s="1" t="s">
        <v>21</v>
      </c>
      <c r="E672" s="1" t="s">
        <v>1181</v>
      </c>
      <c r="F672" s="1">
        <v>330.0</v>
      </c>
      <c r="G672" s="5">
        <v>0.5715277777777777</v>
      </c>
      <c r="H672" s="1">
        <v>13.0</v>
      </c>
      <c r="I672" s="5">
        <v>0.6215277777777778</v>
      </c>
      <c r="J672" s="1" t="str">
        <f t="array" ref="J672">XLOOKUP(B672,cat!B:B,cat!C:C)</f>
        <v>D</v>
      </c>
      <c r="K672" s="1">
        <f t="array" ref="K672">XLOOKUP(B672,cat!B:B,cat!D:D)</f>
        <v>184</v>
      </c>
      <c r="L672" s="7">
        <f t="shared" si="1"/>
        <v>0.05</v>
      </c>
      <c r="M672" s="7">
        <f t="shared" si="2"/>
        <v>0.02826388889</v>
      </c>
      <c r="P672" s="9"/>
      <c r="Q672" s="9">
        <f t="shared" si="3"/>
        <v>563.0166667</v>
      </c>
      <c r="R672" s="1" t="str">
        <f t="shared" si="4"/>
        <v>RYR</v>
      </c>
      <c r="S672" s="1" t="str">
        <f>IF($D672="LEBL", IF(COUNTIF('Paises ECAC'!B:B, C672)&gt;0, "ECAC","NO ECAC"), "")</f>
        <v>ECAC</v>
      </c>
    </row>
    <row r="673" ht="14.25" customHeight="1">
      <c r="A673" s="1" t="s">
        <v>1182</v>
      </c>
      <c r="B673" s="1" t="s">
        <v>25</v>
      </c>
      <c r="C673" s="1" t="s">
        <v>21</v>
      </c>
      <c r="D673" s="1" t="s">
        <v>1018</v>
      </c>
      <c r="E673" s="1" t="s">
        <v>1019</v>
      </c>
      <c r="F673" s="1">
        <v>370.0</v>
      </c>
      <c r="G673" s="5">
        <v>0.61875</v>
      </c>
      <c r="H673" s="1">
        <v>12.0</v>
      </c>
      <c r="I673" s="5">
        <v>0.7881944444444444</v>
      </c>
      <c r="J673" s="1" t="str">
        <f t="array" ref="J673">XLOOKUP(B673,cat!B:B,cat!C:C)</f>
        <v>D</v>
      </c>
      <c r="K673" s="1">
        <f t="array" ref="K673">XLOOKUP(B673,cat!B:B,cat!D:D)</f>
        <v>180</v>
      </c>
      <c r="L673" s="7">
        <f t="shared" si="1"/>
        <v>0.1694444444</v>
      </c>
      <c r="M673" s="1" t="str">
        <f t="shared" si="2"/>
        <v/>
      </c>
      <c r="P673" s="9"/>
      <c r="Q673" s="9">
        <f t="shared" si="3"/>
        <v>0</v>
      </c>
      <c r="R673" s="1" t="str">
        <f t="shared" si="4"/>
        <v>RJA</v>
      </c>
      <c r="S673" s="1" t="str">
        <f>IF($D673="LEBL", IF(COUNTIF('Paises ECAC'!B:B, C673)&gt;0, "ECAC","NO ECAC"), "")</f>
        <v/>
      </c>
    </row>
    <row r="674" ht="14.25" customHeight="1">
      <c r="A674" s="1" t="s">
        <v>1183</v>
      </c>
      <c r="B674" s="1" t="s">
        <v>35</v>
      </c>
      <c r="C674" s="1" t="s">
        <v>74</v>
      </c>
      <c r="D674" s="1" t="s">
        <v>21</v>
      </c>
      <c r="E674" s="1" t="s">
        <v>272</v>
      </c>
      <c r="F674" s="1">
        <v>350.0</v>
      </c>
      <c r="G674" s="5">
        <v>0.5680555555555555</v>
      </c>
      <c r="H674" s="1">
        <v>13.0</v>
      </c>
      <c r="I674" s="5">
        <v>0.6215277777777778</v>
      </c>
      <c r="J674" s="1" t="str">
        <f t="array" ref="J674">XLOOKUP(B674,cat!B:B,cat!C:C)</f>
        <v>D</v>
      </c>
      <c r="K674" s="1">
        <f t="array" ref="K674">XLOOKUP(B674,cat!B:B,cat!D:D)</f>
        <v>207</v>
      </c>
      <c r="L674" s="7">
        <f t="shared" si="1"/>
        <v>0.05347222222</v>
      </c>
      <c r="M674" s="7">
        <f t="shared" si="2"/>
        <v>0.03173611111</v>
      </c>
      <c r="P674" s="9"/>
      <c r="Q674" s="9">
        <f t="shared" si="3"/>
        <v>632.1833333</v>
      </c>
      <c r="R674" s="1" t="str">
        <f t="shared" si="4"/>
        <v>VLG</v>
      </c>
      <c r="S674" s="1" t="str">
        <f>IF($D674="LEBL", IF(COUNTIF('Paises ECAC'!B:B, C674)&gt;0, "ECAC","NO ECAC"), "")</f>
        <v>ECAC</v>
      </c>
    </row>
    <row r="675" ht="14.25" customHeight="1">
      <c r="A675" s="1" t="s">
        <v>1184</v>
      </c>
      <c r="B675" s="1" t="s">
        <v>182</v>
      </c>
      <c r="C675" s="1" t="s">
        <v>21</v>
      </c>
      <c r="D675" s="1" t="s">
        <v>183</v>
      </c>
      <c r="E675" s="1" t="s">
        <v>949</v>
      </c>
      <c r="F675" s="1">
        <v>390.0</v>
      </c>
      <c r="G675" s="5">
        <v>0.6201388888888889</v>
      </c>
      <c r="H675" s="1">
        <v>15.0</v>
      </c>
      <c r="I675" s="5">
        <v>0.8611111111111112</v>
      </c>
      <c r="J675" s="1" t="str">
        <f t="array" ref="J675">XLOOKUP(B675,cat!B:B,cat!C:C)</f>
        <v>B</v>
      </c>
      <c r="K675" s="1">
        <f t="array" ref="K675">XLOOKUP(B675,cat!B:B,cat!D:D)</f>
        <v>284</v>
      </c>
      <c r="L675" s="7">
        <f t="shared" si="1"/>
        <v>0.2409722222</v>
      </c>
      <c r="M675" s="1" t="str">
        <f t="shared" si="2"/>
        <v/>
      </c>
      <c r="P675" s="9"/>
      <c r="Q675" s="9">
        <f t="shared" si="3"/>
        <v>0</v>
      </c>
      <c r="R675" s="1" t="str">
        <f t="shared" si="4"/>
        <v>QTR</v>
      </c>
      <c r="S675" s="1" t="str">
        <f>IF($D675="LEBL", IF(COUNTIF('Paises ECAC'!B:B, C675)&gt;0, "ECAC","NO ECAC"), "")</f>
        <v/>
      </c>
    </row>
    <row r="676" ht="14.25" customHeight="1">
      <c r="A676" s="1" t="s">
        <v>1185</v>
      </c>
      <c r="B676" s="1" t="s">
        <v>30</v>
      </c>
      <c r="C676" s="1" t="s">
        <v>199</v>
      </c>
      <c r="D676" s="1" t="s">
        <v>21</v>
      </c>
      <c r="E676" s="1" t="s">
        <v>114</v>
      </c>
      <c r="F676" s="1">
        <v>370.0</v>
      </c>
      <c r="G676" s="5">
        <v>0.5527777777777778</v>
      </c>
      <c r="H676" s="1">
        <v>11.0</v>
      </c>
      <c r="I676" s="5">
        <v>0.625</v>
      </c>
      <c r="J676" s="1" t="str">
        <f t="array" ref="J676">XLOOKUP(B676,cat!B:B,cat!C:C)</f>
        <v>D</v>
      </c>
      <c r="K676" s="1">
        <f t="array" ref="K676">XLOOKUP(B676,cat!B:B,cat!D:D)</f>
        <v>173</v>
      </c>
      <c r="L676" s="7">
        <f t="shared" si="1"/>
        <v>0.07222222222</v>
      </c>
      <c r="M676" s="7">
        <f t="shared" si="2"/>
        <v>0.051875</v>
      </c>
      <c r="P676" s="9"/>
      <c r="Q676" s="9">
        <f t="shared" si="3"/>
        <v>1033.35</v>
      </c>
      <c r="R676" s="1" t="str">
        <f t="shared" si="4"/>
        <v>VLG</v>
      </c>
      <c r="S676" s="1" t="str">
        <f>IF($D676="LEBL", IF(COUNTIF('Paises ECAC'!B:B, C676)&gt;0, "ECAC","NO ECAC"), "")</f>
        <v>ECAC</v>
      </c>
    </row>
    <row r="677" ht="14.25" customHeight="1">
      <c r="A677" s="1" t="s">
        <v>1186</v>
      </c>
      <c r="B677" s="1" t="s">
        <v>30</v>
      </c>
      <c r="C677" s="1" t="s">
        <v>107</v>
      </c>
      <c r="D677" s="1" t="s">
        <v>21</v>
      </c>
      <c r="E677" s="1" t="s">
        <v>1187</v>
      </c>
      <c r="F677" s="1">
        <v>340.0</v>
      </c>
      <c r="G677" s="5">
        <v>0.5541666666666667</v>
      </c>
      <c r="H677" s="1">
        <v>13.0</v>
      </c>
      <c r="I677" s="5">
        <v>0.625</v>
      </c>
      <c r="J677" s="1" t="str">
        <f t="array" ref="J677">XLOOKUP(B677,cat!B:B,cat!C:C)</f>
        <v>D</v>
      </c>
      <c r="K677" s="1">
        <f t="array" ref="K677">XLOOKUP(B677,cat!B:B,cat!D:D)</f>
        <v>173</v>
      </c>
      <c r="L677" s="7">
        <f t="shared" si="1"/>
        <v>0.07083333333</v>
      </c>
      <c r="M677" s="7">
        <f t="shared" si="2"/>
        <v>0.04909722222</v>
      </c>
      <c r="P677" s="9"/>
      <c r="Q677" s="9">
        <f t="shared" si="3"/>
        <v>978.0166667</v>
      </c>
      <c r="R677" s="1" t="str">
        <f t="shared" si="4"/>
        <v>TAP</v>
      </c>
      <c r="S677" s="1" t="str">
        <f>IF($D677="LEBL", IF(COUNTIF('Paises ECAC'!B:B, C677)&gt;0, "ECAC","NO ECAC"), "")</f>
        <v>ECAC</v>
      </c>
    </row>
    <row r="678" ht="14.25" customHeight="1">
      <c r="A678" s="1" t="s">
        <v>1188</v>
      </c>
      <c r="B678" s="1" t="s">
        <v>1068</v>
      </c>
      <c r="C678" s="1" t="s">
        <v>21</v>
      </c>
      <c r="D678" s="1" t="s">
        <v>1189</v>
      </c>
      <c r="E678" s="1" t="s">
        <v>1190</v>
      </c>
      <c r="F678" s="1">
        <v>330.0</v>
      </c>
      <c r="G678" s="5">
        <v>0.6319444444444444</v>
      </c>
      <c r="H678" s="1">
        <v>20.0</v>
      </c>
      <c r="I678" s="5">
        <v>0.6909722222222222</v>
      </c>
      <c r="J678" s="1" t="str">
        <f t="array" ref="J678">XLOOKUP(B678,cat!B:B,cat!C:C)</f>
        <v>F</v>
      </c>
      <c r="K678" s="1">
        <f t="array" ref="K678">XLOOKUP(B678,cat!B:B,cat!D:D)</f>
        <v>6</v>
      </c>
      <c r="L678" s="7">
        <f t="shared" si="1"/>
        <v>0.05902777778</v>
      </c>
      <c r="M678" s="1" t="str">
        <f t="shared" si="2"/>
        <v/>
      </c>
      <c r="P678" s="9"/>
      <c r="Q678" s="9">
        <f t="shared" si="3"/>
        <v>0</v>
      </c>
      <c r="R678" s="1" t="str">
        <f t="shared" si="4"/>
        <v>PAV</v>
      </c>
      <c r="S678" s="1" t="str">
        <f>IF($D678="LEBL", IF(COUNTIF('Paises ECAC'!B:B, C678)&gt;0, "ECAC","NO ECAC"), "")</f>
        <v/>
      </c>
    </row>
    <row r="679" ht="14.25" customHeight="1">
      <c r="A679" s="1" t="s">
        <v>1191</v>
      </c>
      <c r="B679" s="1" t="s">
        <v>19</v>
      </c>
      <c r="C679" s="1" t="s">
        <v>21</v>
      </c>
      <c r="D679" s="1" t="s">
        <v>245</v>
      </c>
      <c r="E679" s="1" t="s">
        <v>146</v>
      </c>
      <c r="F679" s="1">
        <v>190.0</v>
      </c>
      <c r="G679" s="5">
        <v>0.6180555555555556</v>
      </c>
      <c r="H679" s="1">
        <v>20.0</v>
      </c>
      <c r="I679" s="5">
        <v>0.6527777777777778</v>
      </c>
      <c r="J679" s="1" t="str">
        <f t="array" ref="J679">XLOOKUP(B679,cat!B:B,cat!C:C)</f>
        <v>D</v>
      </c>
      <c r="K679" s="1">
        <f t="array" ref="K679">XLOOKUP(B679,cat!B:B,cat!D:D)</f>
        <v>184</v>
      </c>
      <c r="L679" s="7">
        <f t="shared" si="1"/>
        <v>0.03472222222</v>
      </c>
      <c r="M679" s="1" t="str">
        <f t="shared" si="2"/>
        <v/>
      </c>
      <c r="P679" s="9"/>
      <c r="Q679" s="9">
        <f t="shared" si="3"/>
        <v>0</v>
      </c>
      <c r="R679" s="1" t="str">
        <f t="shared" si="4"/>
        <v>RYR</v>
      </c>
      <c r="S679" s="1" t="str">
        <f>IF($D679="LEBL", IF(COUNTIF('Paises ECAC'!B:B, C679)&gt;0, "ECAC","NO ECAC"), "")</f>
        <v/>
      </c>
    </row>
    <row r="680" ht="14.25" customHeight="1">
      <c r="A680" s="1" t="s">
        <v>1192</v>
      </c>
      <c r="B680" s="1" t="s">
        <v>30</v>
      </c>
      <c r="C680" s="1" t="s">
        <v>444</v>
      </c>
      <c r="D680" s="1" t="s">
        <v>21</v>
      </c>
      <c r="E680" s="1" t="s">
        <v>1193</v>
      </c>
      <c r="F680" s="1">
        <v>360.0</v>
      </c>
      <c r="G680" s="5">
        <v>0.4701388888888889</v>
      </c>
      <c r="H680" s="1">
        <v>15.0</v>
      </c>
      <c r="I680" s="5">
        <v>0.6284722222222222</v>
      </c>
      <c r="J680" s="1" t="str">
        <f t="array" ref="J680">XLOOKUP(B680,cat!B:B,cat!C:C)</f>
        <v>D</v>
      </c>
      <c r="K680" s="1">
        <f t="array" ref="K680">XLOOKUP(B680,cat!B:B,cat!D:D)</f>
        <v>173</v>
      </c>
      <c r="L680" s="7">
        <f t="shared" si="1"/>
        <v>0.1583333333</v>
      </c>
      <c r="M680" s="7">
        <f t="shared" si="2"/>
        <v>0.1352083333</v>
      </c>
      <c r="P680" s="9"/>
      <c r="Q680" s="9">
        <f t="shared" si="3"/>
        <v>2693.35</v>
      </c>
      <c r="R680" s="1" t="str">
        <f t="shared" si="4"/>
        <v>BBG</v>
      </c>
      <c r="S680" s="1" t="str">
        <f>IF($D680="LEBL", IF(COUNTIF('Paises ECAC'!B:B, C680)&gt;0, "ECAC","NO ECAC"), "")</f>
        <v>NO ECAC</v>
      </c>
    </row>
    <row r="681" ht="14.25" customHeight="1">
      <c r="A681" s="1" t="s">
        <v>1194</v>
      </c>
      <c r="B681" s="1" t="s">
        <v>35</v>
      </c>
      <c r="C681" s="1" t="s">
        <v>100</v>
      </c>
      <c r="D681" s="1" t="s">
        <v>21</v>
      </c>
      <c r="E681" s="1" t="s">
        <v>299</v>
      </c>
      <c r="F681" s="1">
        <v>350.0</v>
      </c>
      <c r="G681" s="5">
        <v>0.5736111111111111</v>
      </c>
      <c r="H681" s="1">
        <v>11.0</v>
      </c>
      <c r="I681" s="5">
        <v>0.6284722222222222</v>
      </c>
      <c r="J681" s="1" t="str">
        <f t="array" ref="J681">XLOOKUP(B681,cat!B:B,cat!C:C)</f>
        <v>D</v>
      </c>
      <c r="K681" s="1">
        <f t="array" ref="K681">XLOOKUP(B681,cat!B:B,cat!D:D)</f>
        <v>207</v>
      </c>
      <c r="L681" s="7">
        <f t="shared" si="1"/>
        <v>0.05486111111</v>
      </c>
      <c r="M681" s="7">
        <f t="shared" si="2"/>
        <v>0.03451388889</v>
      </c>
      <c r="P681" s="9"/>
      <c r="Q681" s="9">
        <f t="shared" si="3"/>
        <v>687.5166667</v>
      </c>
      <c r="R681" s="1" t="str">
        <f t="shared" si="4"/>
        <v>VLG</v>
      </c>
      <c r="S681" s="1" t="str">
        <f>IF($D681="LEBL", IF(COUNTIF('Paises ECAC'!B:B, C681)&gt;0, "ECAC","NO ECAC"), "")</f>
        <v>ECAC</v>
      </c>
    </row>
    <row r="682" ht="14.25" customHeight="1">
      <c r="A682" s="1" t="s">
        <v>1195</v>
      </c>
      <c r="B682" s="1" t="s">
        <v>19</v>
      </c>
      <c r="C682" s="1" t="s">
        <v>21</v>
      </c>
      <c r="D682" s="1" t="s">
        <v>156</v>
      </c>
      <c r="E682" s="1" t="s">
        <v>1079</v>
      </c>
      <c r="F682" s="1">
        <v>190.0</v>
      </c>
      <c r="G682" s="5">
        <v>0.6263888888888889</v>
      </c>
      <c r="H682" s="1">
        <v>20.0</v>
      </c>
      <c r="I682" s="5">
        <v>0.6458333333333334</v>
      </c>
      <c r="J682" s="1" t="str">
        <f t="array" ref="J682">XLOOKUP(B682,cat!B:B,cat!C:C)</f>
        <v>D</v>
      </c>
      <c r="K682" s="1">
        <f t="array" ref="K682">XLOOKUP(B682,cat!B:B,cat!D:D)</f>
        <v>184</v>
      </c>
      <c r="L682" s="7">
        <f t="shared" si="1"/>
        <v>0.01944444444</v>
      </c>
      <c r="M682" s="1" t="str">
        <f t="shared" si="2"/>
        <v/>
      </c>
      <c r="P682" s="9"/>
      <c r="Q682" s="9">
        <f t="shared" si="3"/>
        <v>0</v>
      </c>
      <c r="R682" s="1" t="str">
        <f t="shared" si="4"/>
        <v>RYR</v>
      </c>
      <c r="S682" s="1" t="str">
        <f>IF($D682="LEBL", IF(COUNTIF('Paises ECAC'!B:B, C682)&gt;0, "ECAC","NO ECAC"), "")</f>
        <v/>
      </c>
    </row>
    <row r="683" ht="14.25" customHeight="1">
      <c r="A683" s="1" t="s">
        <v>1196</v>
      </c>
      <c r="B683" s="1" t="s">
        <v>576</v>
      </c>
      <c r="C683" s="1" t="s">
        <v>343</v>
      </c>
      <c r="D683" s="1" t="s">
        <v>21</v>
      </c>
      <c r="E683" s="1" t="s">
        <v>1197</v>
      </c>
      <c r="F683" s="1">
        <v>380.0</v>
      </c>
      <c r="G683" s="5">
        <v>0.5034722222222222</v>
      </c>
      <c r="H683" s="1">
        <v>20.0</v>
      </c>
      <c r="I683" s="5">
        <v>0.6284722222222222</v>
      </c>
      <c r="J683" s="1" t="str">
        <f t="array" ref="J683">XLOOKUP(B683,cat!B:B,cat!C:C)</f>
        <v>B</v>
      </c>
      <c r="K683" s="1">
        <f t="array" ref="K683">XLOOKUP(B683,cat!B:B,cat!D:D)</f>
        <v>284</v>
      </c>
      <c r="L683" s="7">
        <f t="shared" si="1"/>
        <v>0.125</v>
      </c>
      <c r="M683" s="7">
        <f t="shared" si="2"/>
        <v>0.09840277778</v>
      </c>
      <c r="P683" s="9"/>
      <c r="Q683" s="9">
        <f t="shared" si="3"/>
        <v>2125.5</v>
      </c>
      <c r="R683" s="1" t="str">
        <f t="shared" si="4"/>
        <v>THY</v>
      </c>
      <c r="S683" s="1" t="str">
        <f>IF($D683="LEBL", IF(COUNTIF('Paises ECAC'!B:B, C683)&gt;0, "ECAC","NO ECAC"), "")</f>
        <v>ECAC</v>
      </c>
    </row>
    <row r="684" ht="14.25" customHeight="1">
      <c r="A684" s="1" t="s">
        <v>1198</v>
      </c>
      <c r="B684" s="1" t="s">
        <v>30</v>
      </c>
      <c r="C684" s="1" t="s">
        <v>21</v>
      </c>
      <c r="D684" s="1" t="s">
        <v>218</v>
      </c>
      <c r="E684" s="1" t="s">
        <v>393</v>
      </c>
      <c r="F684" s="1">
        <v>290.0</v>
      </c>
      <c r="G684" s="5">
        <v>0.6159722222222223</v>
      </c>
      <c r="H684" s="1">
        <v>12.0</v>
      </c>
      <c r="I684" s="5">
        <v>0.6597222222222222</v>
      </c>
      <c r="J684" s="1" t="str">
        <f t="array" ref="J684">XLOOKUP(B684,cat!B:B,cat!C:C)</f>
        <v>D</v>
      </c>
      <c r="K684" s="1">
        <f t="array" ref="K684">XLOOKUP(B684,cat!B:B,cat!D:D)</f>
        <v>173</v>
      </c>
      <c r="L684" s="7">
        <f t="shared" si="1"/>
        <v>0.04375</v>
      </c>
      <c r="M684" s="1" t="str">
        <f t="shared" si="2"/>
        <v/>
      </c>
      <c r="P684" s="9"/>
      <c r="Q684" s="9">
        <f t="shared" si="3"/>
        <v>0</v>
      </c>
      <c r="R684" s="1" t="str">
        <f t="shared" si="4"/>
        <v>VLG</v>
      </c>
      <c r="S684" s="1" t="str">
        <f>IF($D684="LEBL", IF(COUNTIF('Paises ECAC'!B:B, C684)&gt;0, "ECAC","NO ECAC"), "")</f>
        <v/>
      </c>
    </row>
    <row r="685" ht="14.25" customHeight="1">
      <c r="A685" s="1" t="s">
        <v>1199</v>
      </c>
      <c r="B685" s="1" t="s">
        <v>30</v>
      </c>
      <c r="C685" s="1" t="s">
        <v>21</v>
      </c>
      <c r="D685" s="1" t="s">
        <v>221</v>
      </c>
      <c r="E685" s="1" t="s">
        <v>330</v>
      </c>
      <c r="F685" s="1">
        <v>360.0</v>
      </c>
      <c r="G685" s="5">
        <v>0.6298611111111111</v>
      </c>
      <c r="H685" s="1">
        <v>12.0</v>
      </c>
      <c r="I685" s="5">
        <v>0.7048611111111112</v>
      </c>
      <c r="J685" s="1" t="str">
        <f t="array" ref="J685">XLOOKUP(B685,cat!B:B,cat!C:C)</f>
        <v>D</v>
      </c>
      <c r="K685" s="1">
        <f t="array" ref="K685">XLOOKUP(B685,cat!B:B,cat!D:D)</f>
        <v>173</v>
      </c>
      <c r="L685" s="7">
        <f t="shared" si="1"/>
        <v>0.075</v>
      </c>
      <c r="M685" s="1" t="str">
        <f t="shared" si="2"/>
        <v/>
      </c>
      <c r="P685" s="9"/>
      <c r="Q685" s="9">
        <f t="shared" si="3"/>
        <v>0</v>
      </c>
      <c r="R685" s="1" t="str">
        <f t="shared" si="4"/>
        <v>VLG</v>
      </c>
      <c r="S685" s="1" t="str">
        <f>IF($D685="LEBL", IF(COUNTIF('Paises ECAC'!B:B, C685)&gt;0, "ECAC","NO ECAC"), "")</f>
        <v/>
      </c>
    </row>
    <row r="686" ht="14.25" customHeight="1">
      <c r="A686" s="1" t="s">
        <v>1200</v>
      </c>
      <c r="B686" s="1" t="s">
        <v>25</v>
      </c>
      <c r="C686" s="1" t="s">
        <v>21</v>
      </c>
      <c r="D686" s="1" t="s">
        <v>369</v>
      </c>
      <c r="E686" s="1" t="s">
        <v>64</v>
      </c>
      <c r="F686" s="1">
        <v>301.0</v>
      </c>
      <c r="G686" s="5">
        <v>0.6222222222222222</v>
      </c>
      <c r="H686" s="1">
        <v>11.0</v>
      </c>
      <c r="I686" s="5">
        <v>0.6909722222222222</v>
      </c>
      <c r="J686" s="1" t="str">
        <f t="array" ref="J686">XLOOKUP(B686,cat!B:B,cat!C:C)</f>
        <v>D</v>
      </c>
      <c r="K686" s="1">
        <f t="array" ref="K686">XLOOKUP(B686,cat!B:B,cat!D:D)</f>
        <v>180</v>
      </c>
      <c r="L686" s="7">
        <f t="shared" si="1"/>
        <v>0.06875</v>
      </c>
      <c r="M686" s="1" t="str">
        <f t="shared" si="2"/>
        <v/>
      </c>
      <c r="P686" s="9"/>
      <c r="Q686" s="9">
        <f t="shared" si="3"/>
        <v>0</v>
      </c>
      <c r="R686" s="1" t="str">
        <f t="shared" si="4"/>
        <v>VLG</v>
      </c>
      <c r="S686" s="1" t="str">
        <f>IF($D686="LEBL", IF(COUNTIF('Paises ECAC'!B:B, C686)&gt;0, "ECAC","NO ECAC"), "")</f>
        <v/>
      </c>
    </row>
    <row r="687" ht="14.25" customHeight="1">
      <c r="A687" s="1" t="s">
        <v>1201</v>
      </c>
      <c r="B687" s="1" t="s">
        <v>30</v>
      </c>
      <c r="C687" s="1" t="s">
        <v>304</v>
      </c>
      <c r="D687" s="1" t="s">
        <v>21</v>
      </c>
      <c r="E687" s="1" t="s">
        <v>1202</v>
      </c>
      <c r="F687" s="1">
        <v>360.0</v>
      </c>
      <c r="G687" s="5">
        <v>0.5520833333333334</v>
      </c>
      <c r="H687" s="1">
        <v>10.0</v>
      </c>
      <c r="I687" s="5">
        <v>0.6319444444444444</v>
      </c>
      <c r="J687" s="1" t="str">
        <f t="array" ref="J687">XLOOKUP(B687,cat!B:B,cat!C:C)</f>
        <v>D</v>
      </c>
      <c r="K687" s="1">
        <f t="array" ref="K687">XLOOKUP(B687,cat!B:B,cat!D:D)</f>
        <v>173</v>
      </c>
      <c r="L687" s="7">
        <f t="shared" si="1"/>
        <v>0.07986111111</v>
      </c>
      <c r="M687" s="7">
        <f t="shared" si="2"/>
        <v>0.06020833333</v>
      </c>
      <c r="P687" s="9"/>
      <c r="Q687" s="9">
        <f t="shared" si="3"/>
        <v>1199.35</v>
      </c>
      <c r="R687" s="1" t="str">
        <f t="shared" si="4"/>
        <v>EWG</v>
      </c>
      <c r="S687" s="1" t="str">
        <f>IF($D687="LEBL", IF(COUNTIF('Paises ECAC'!B:B, C687)&gt;0, "ECAC","NO ECAC"), "")</f>
        <v>ECAC</v>
      </c>
    </row>
    <row r="688" ht="14.25" customHeight="1">
      <c r="A688" s="1" t="s">
        <v>1203</v>
      </c>
      <c r="B688" s="1" t="s">
        <v>30</v>
      </c>
      <c r="C688" s="1" t="s">
        <v>21</v>
      </c>
      <c r="D688" s="1" t="s">
        <v>452</v>
      </c>
      <c r="E688" s="1" t="s">
        <v>51</v>
      </c>
      <c r="F688" s="1">
        <v>380.0</v>
      </c>
      <c r="G688" s="5">
        <v>0.6298611111111111</v>
      </c>
      <c r="H688" s="1">
        <v>12.0</v>
      </c>
      <c r="I688" s="5">
        <v>0.7152777777777778</v>
      </c>
      <c r="J688" s="1" t="str">
        <f t="array" ref="J688">XLOOKUP(B688,cat!B:B,cat!C:C)</f>
        <v>D</v>
      </c>
      <c r="K688" s="1">
        <f t="array" ref="K688">XLOOKUP(B688,cat!B:B,cat!D:D)</f>
        <v>173</v>
      </c>
      <c r="L688" s="7">
        <f t="shared" si="1"/>
        <v>0.08541666667</v>
      </c>
      <c r="M688" s="1" t="str">
        <f t="shared" si="2"/>
        <v/>
      </c>
      <c r="P688" s="9"/>
      <c r="Q688" s="9">
        <f t="shared" si="3"/>
        <v>0</v>
      </c>
      <c r="R688" s="1" t="str">
        <f t="shared" si="4"/>
        <v>VLG</v>
      </c>
      <c r="S688" s="1" t="str">
        <f>IF($D688="LEBL", IF(COUNTIF('Paises ECAC'!B:B, C688)&gt;0, "ECAC","NO ECAC"), "")</f>
        <v/>
      </c>
    </row>
    <row r="689" ht="14.25" customHeight="1">
      <c r="A689" s="1" t="s">
        <v>1204</v>
      </c>
      <c r="B689" s="1" t="s">
        <v>1205</v>
      </c>
      <c r="C689" s="1" t="s">
        <v>682</v>
      </c>
      <c r="D689" s="1" t="s">
        <v>21</v>
      </c>
      <c r="E689" s="1" t="s">
        <v>1206</v>
      </c>
      <c r="F689" s="1">
        <v>300.0</v>
      </c>
      <c r="G689" s="5">
        <v>0.6055555555555555</v>
      </c>
      <c r="H689" s="1">
        <v>6.0</v>
      </c>
      <c r="I689" s="5">
        <v>0.6319444444444444</v>
      </c>
      <c r="J689" s="1" t="str">
        <f t="array" ref="J689">XLOOKUP(B689,cat!B:B,cat!C:C)</f>
        <v>E</v>
      </c>
      <c r="K689" s="1">
        <f t="array" ref="K689">XLOOKUP(B689,cat!B:B,cat!D:D)</f>
        <v>10</v>
      </c>
      <c r="L689" s="7">
        <f t="shared" si="1"/>
        <v>0.02638888889</v>
      </c>
      <c r="M689" s="7">
        <f t="shared" si="2"/>
        <v>0.009513888889</v>
      </c>
      <c r="P689" s="9"/>
      <c r="Q689" s="9">
        <f t="shared" si="3"/>
        <v>102.75</v>
      </c>
      <c r="R689" s="1" t="str">
        <f t="shared" si="4"/>
        <v>GES</v>
      </c>
      <c r="S689" s="1" t="str">
        <f>IF($D689="LEBL", IF(COUNTIF('Paises ECAC'!B:B, C689)&gt;0, "ECAC","NO ECAC"), "")</f>
        <v>ECAC</v>
      </c>
    </row>
    <row r="690" ht="14.25" customHeight="1">
      <c r="A690" s="1" t="s">
        <v>1207</v>
      </c>
      <c r="B690" s="1" t="s">
        <v>25</v>
      </c>
      <c r="C690" s="1" t="s">
        <v>21</v>
      </c>
      <c r="D690" s="1" t="s">
        <v>74</v>
      </c>
      <c r="E690" s="1" t="s">
        <v>225</v>
      </c>
      <c r="F690" s="1">
        <v>340.0</v>
      </c>
      <c r="G690" s="5">
        <v>0.6145833333333334</v>
      </c>
      <c r="H690" s="1">
        <v>10.0</v>
      </c>
      <c r="I690" s="5">
        <v>0.6840277777777778</v>
      </c>
      <c r="J690" s="1" t="str">
        <f t="array" ref="J690">XLOOKUP(B690,cat!B:B,cat!C:C)</f>
        <v>D</v>
      </c>
      <c r="K690" s="1">
        <f t="array" ref="K690">XLOOKUP(B690,cat!B:B,cat!D:D)</f>
        <v>180</v>
      </c>
      <c r="L690" s="7">
        <f t="shared" si="1"/>
        <v>0.06944444444</v>
      </c>
      <c r="M690" s="1" t="str">
        <f t="shared" si="2"/>
        <v/>
      </c>
      <c r="P690" s="9"/>
      <c r="Q690" s="9">
        <f t="shared" si="3"/>
        <v>0</v>
      </c>
      <c r="R690" s="1" t="str">
        <f t="shared" si="4"/>
        <v>VLG</v>
      </c>
      <c r="S690" s="1" t="str">
        <f>IF($D690="LEBL", IF(COUNTIF('Paises ECAC'!B:B, C690)&gt;0, "ECAC","NO ECAC"), "")</f>
        <v/>
      </c>
    </row>
    <row r="691" ht="14.25" customHeight="1">
      <c r="A691" s="1" t="s">
        <v>1067</v>
      </c>
      <c r="B691" s="1" t="s">
        <v>1068</v>
      </c>
      <c r="C691" s="1" t="s">
        <v>21</v>
      </c>
      <c r="D691" s="1" t="s">
        <v>808</v>
      </c>
      <c r="E691" s="1" t="s">
        <v>1070</v>
      </c>
      <c r="F691" s="1">
        <v>340.0</v>
      </c>
      <c r="G691" s="5">
        <v>0.6319444444444444</v>
      </c>
      <c r="H691" s="1">
        <v>20.0</v>
      </c>
      <c r="I691" s="5">
        <v>0.6875</v>
      </c>
      <c r="J691" s="1" t="str">
        <f t="array" ref="J691">XLOOKUP(B691,cat!B:B,cat!C:C)</f>
        <v>F</v>
      </c>
      <c r="K691" s="1">
        <f t="array" ref="K691">XLOOKUP(B691,cat!B:B,cat!D:D)</f>
        <v>6</v>
      </c>
      <c r="L691" s="7">
        <f t="shared" si="1"/>
        <v>0.05555555556</v>
      </c>
      <c r="M691" s="1" t="str">
        <f t="shared" si="2"/>
        <v/>
      </c>
      <c r="P691" s="9"/>
      <c r="Q691" s="9">
        <f t="shared" si="3"/>
        <v>0</v>
      </c>
      <c r="R691" s="1" t="str">
        <f t="shared" si="4"/>
        <v>BNI</v>
      </c>
      <c r="S691" s="1" t="str">
        <f>IF($D691="LEBL", IF(COUNTIF('Paises ECAC'!B:B, C691)&gt;0, "ECAC","NO ECAC"), "")</f>
        <v/>
      </c>
    </row>
    <row r="692" ht="14.25" customHeight="1">
      <c r="A692" s="1" t="s">
        <v>1208</v>
      </c>
      <c r="B692" s="1" t="s">
        <v>30</v>
      </c>
      <c r="C692" s="1" t="s">
        <v>156</v>
      </c>
      <c r="D692" s="1" t="s">
        <v>21</v>
      </c>
      <c r="E692" s="1" t="s">
        <v>1209</v>
      </c>
      <c r="F692" s="1">
        <v>180.0</v>
      </c>
      <c r="G692" s="5">
        <v>0.5986111111111111</v>
      </c>
      <c r="H692" s="1">
        <v>17.0</v>
      </c>
      <c r="I692" s="5">
        <v>0.6354166666666666</v>
      </c>
      <c r="J692" s="1" t="str">
        <f t="array" ref="J692">XLOOKUP(B692,cat!B:B,cat!C:C)</f>
        <v>D</v>
      </c>
      <c r="K692" s="1">
        <f t="array" ref="K692">XLOOKUP(B692,cat!B:B,cat!D:D)</f>
        <v>173</v>
      </c>
      <c r="L692" s="7">
        <f t="shared" si="1"/>
        <v>0.03680555556</v>
      </c>
      <c r="M692" s="7">
        <f t="shared" si="2"/>
        <v>0.01229166667</v>
      </c>
      <c r="P692" s="9"/>
      <c r="Q692" s="9">
        <f t="shared" si="3"/>
        <v>244.85</v>
      </c>
      <c r="R692" s="1" t="str">
        <f t="shared" si="4"/>
        <v>VLG</v>
      </c>
      <c r="S692" s="1" t="str">
        <f>IF($D692="LEBL", IF(COUNTIF('Paises ECAC'!B:B, C692)&gt;0, "ECAC","NO ECAC"), "")</f>
        <v>ECAC</v>
      </c>
    </row>
    <row r="693" ht="14.25" customHeight="1">
      <c r="A693" s="1" t="s">
        <v>1210</v>
      </c>
      <c r="B693" s="1" t="s">
        <v>30</v>
      </c>
      <c r="C693" s="1" t="s">
        <v>21</v>
      </c>
      <c r="D693" s="1" t="s">
        <v>63</v>
      </c>
      <c r="E693" s="1" t="s">
        <v>440</v>
      </c>
      <c r="F693" s="1">
        <v>260.0</v>
      </c>
      <c r="G693" s="5">
        <v>0.6256944444444444</v>
      </c>
      <c r="H693" s="1">
        <v>11.0</v>
      </c>
      <c r="I693" s="5">
        <v>0.6631944444444444</v>
      </c>
      <c r="J693" s="1" t="str">
        <f t="array" ref="J693">XLOOKUP(B693,cat!B:B,cat!C:C)</f>
        <v>D</v>
      </c>
      <c r="K693" s="1">
        <f t="array" ref="K693">XLOOKUP(B693,cat!B:B,cat!D:D)</f>
        <v>173</v>
      </c>
      <c r="L693" s="7">
        <f t="shared" si="1"/>
        <v>0.0375</v>
      </c>
      <c r="M693" s="1" t="str">
        <f t="shared" si="2"/>
        <v/>
      </c>
      <c r="P693" s="9"/>
      <c r="Q693" s="9">
        <f t="shared" si="3"/>
        <v>0</v>
      </c>
      <c r="R693" s="1" t="str">
        <f t="shared" si="4"/>
        <v>VLG</v>
      </c>
      <c r="S693" s="1" t="str">
        <f>IF($D693="LEBL", IF(COUNTIF('Paises ECAC'!B:B, C693)&gt;0, "ECAC","NO ECAC"), "")</f>
        <v/>
      </c>
    </row>
    <row r="694" ht="14.25" customHeight="1">
      <c r="A694" s="1" t="s">
        <v>1211</v>
      </c>
      <c r="B694" s="1" t="s">
        <v>35</v>
      </c>
      <c r="C694" s="1" t="s">
        <v>21</v>
      </c>
      <c r="D694" s="1" t="s">
        <v>156</v>
      </c>
      <c r="E694" s="1" t="s">
        <v>219</v>
      </c>
      <c r="F694" s="1">
        <v>150.0</v>
      </c>
      <c r="G694" s="5">
        <v>0.6361111111111111</v>
      </c>
      <c r="H694" s="1">
        <v>13.0</v>
      </c>
      <c r="I694" s="5">
        <v>0.6527777777777778</v>
      </c>
      <c r="J694" s="1" t="str">
        <f t="array" ref="J694">XLOOKUP(B694,cat!B:B,cat!C:C)</f>
        <v>D</v>
      </c>
      <c r="K694" s="1">
        <f t="array" ref="K694">XLOOKUP(B694,cat!B:B,cat!D:D)</f>
        <v>207</v>
      </c>
      <c r="L694" s="7">
        <f t="shared" si="1"/>
        <v>0.01666666667</v>
      </c>
      <c r="M694" s="1" t="str">
        <f t="shared" si="2"/>
        <v/>
      </c>
      <c r="P694" s="9"/>
      <c r="Q694" s="9">
        <f t="shared" si="3"/>
        <v>0</v>
      </c>
      <c r="R694" s="1" t="str">
        <f t="shared" si="4"/>
        <v>VLG</v>
      </c>
      <c r="S694" s="1" t="str">
        <f>IF($D694="LEBL", IF(COUNTIF('Paises ECAC'!B:B, C694)&gt;0, "ECAC","NO ECAC"), "")</f>
        <v/>
      </c>
    </row>
    <row r="695" ht="14.25" customHeight="1">
      <c r="A695" s="1" t="s">
        <v>1212</v>
      </c>
      <c r="B695" s="1" t="s">
        <v>544</v>
      </c>
      <c r="C695" s="1" t="s">
        <v>21</v>
      </c>
      <c r="D695" s="1" t="s">
        <v>116</v>
      </c>
      <c r="E695" s="1" t="s">
        <v>1110</v>
      </c>
      <c r="F695" s="1">
        <v>340.0</v>
      </c>
      <c r="G695" s="5">
        <v>0.6347222222222222</v>
      </c>
      <c r="H695" s="1">
        <v>11.0</v>
      </c>
      <c r="I695" s="5">
        <v>0.6979166666666666</v>
      </c>
      <c r="J695" s="1" t="str">
        <f t="array" ref="J695">XLOOKUP(B695,cat!B:B,cat!C:C)</f>
        <v>D</v>
      </c>
      <c r="K695" s="1">
        <f t="array" ref="K695">XLOOKUP(B695,cat!B:B,cat!D:D)</f>
        <v>148</v>
      </c>
      <c r="L695" s="7">
        <f t="shared" si="1"/>
        <v>0.06319444444</v>
      </c>
      <c r="M695" s="1" t="str">
        <f t="shared" si="2"/>
        <v/>
      </c>
      <c r="P695" s="9"/>
      <c r="Q695" s="9">
        <f t="shared" si="3"/>
        <v>0</v>
      </c>
      <c r="R695" s="1" t="str">
        <f t="shared" si="4"/>
        <v>AFR</v>
      </c>
      <c r="S695" s="1" t="str">
        <f>IF($D695="LEBL", IF(COUNTIF('Paises ECAC'!B:B, C695)&gt;0, "ECAC","NO ECAC"), "")</f>
        <v/>
      </c>
    </row>
    <row r="696" ht="14.25" customHeight="1">
      <c r="A696" s="1" t="s">
        <v>1213</v>
      </c>
      <c r="B696" s="1" t="s">
        <v>30</v>
      </c>
      <c r="C696" s="1" t="s">
        <v>21</v>
      </c>
      <c r="D696" s="1" t="s">
        <v>541</v>
      </c>
      <c r="E696" s="1" t="s">
        <v>1104</v>
      </c>
      <c r="F696" s="1">
        <v>340.0</v>
      </c>
      <c r="G696" s="5">
        <v>0.6222222222222222</v>
      </c>
      <c r="H696" s="1">
        <v>21.0</v>
      </c>
      <c r="I696" s="5">
        <v>0.7152777777777778</v>
      </c>
      <c r="J696" s="1" t="str">
        <f t="array" ref="J696">XLOOKUP(B696,cat!B:B,cat!C:C)</f>
        <v>D</v>
      </c>
      <c r="K696" s="1">
        <f t="array" ref="K696">XLOOKUP(B696,cat!B:B,cat!D:D)</f>
        <v>173</v>
      </c>
      <c r="L696" s="7">
        <f t="shared" si="1"/>
        <v>0.09305555556</v>
      </c>
      <c r="M696" s="1" t="str">
        <f t="shared" si="2"/>
        <v/>
      </c>
      <c r="P696" s="9"/>
      <c r="Q696" s="9">
        <f t="shared" si="3"/>
        <v>0</v>
      </c>
      <c r="R696" s="1" t="str">
        <f t="shared" si="4"/>
        <v>EZY</v>
      </c>
      <c r="S696" s="1" t="str">
        <f>IF($D696="LEBL", IF(COUNTIF('Paises ECAC'!B:B, C696)&gt;0, "ECAC","NO ECAC"), "")</f>
        <v/>
      </c>
    </row>
    <row r="697" ht="14.25" customHeight="1">
      <c r="A697" s="1" t="s">
        <v>1214</v>
      </c>
      <c r="B697" s="1" t="s">
        <v>19</v>
      </c>
      <c r="C697" s="1" t="s">
        <v>863</v>
      </c>
      <c r="D697" s="1" t="s">
        <v>21</v>
      </c>
      <c r="E697" s="1" t="s">
        <v>1215</v>
      </c>
      <c r="F697" s="1">
        <v>370.0</v>
      </c>
      <c r="G697" s="5">
        <v>0.5798611111111112</v>
      </c>
      <c r="H697" s="1">
        <v>15.0</v>
      </c>
      <c r="I697" s="5">
        <v>0.6388888888888888</v>
      </c>
      <c r="J697" s="1" t="str">
        <f t="array" ref="J697">XLOOKUP(B697,cat!B:B,cat!C:C)</f>
        <v>D</v>
      </c>
      <c r="K697" s="1">
        <f t="array" ref="K697">XLOOKUP(B697,cat!B:B,cat!D:D)</f>
        <v>184</v>
      </c>
      <c r="L697" s="7">
        <f t="shared" si="1"/>
        <v>0.05902777778</v>
      </c>
      <c r="M697" s="7">
        <f t="shared" si="2"/>
        <v>0.03590277778</v>
      </c>
      <c r="P697" s="9"/>
      <c r="Q697" s="9">
        <f t="shared" si="3"/>
        <v>715.1833333</v>
      </c>
      <c r="R697" s="1" t="str">
        <f t="shared" si="4"/>
        <v>RYR</v>
      </c>
      <c r="S697" s="1" t="str">
        <f>IF($D697="LEBL", IF(COUNTIF('Paises ECAC'!B:B, C697)&gt;0, "ECAC","NO ECAC"), "")</f>
        <v>ECAC</v>
      </c>
    </row>
    <row r="698" ht="14.25" customHeight="1">
      <c r="A698" s="1" t="s">
        <v>1216</v>
      </c>
      <c r="B698" s="1" t="s">
        <v>19</v>
      </c>
      <c r="C698" s="1" t="s">
        <v>21</v>
      </c>
      <c r="D698" s="1" t="s">
        <v>1217</v>
      </c>
      <c r="E698" s="1" t="s">
        <v>164</v>
      </c>
      <c r="F698" s="1">
        <v>320.0</v>
      </c>
      <c r="G698" s="5">
        <v>0.6388888888888888</v>
      </c>
      <c r="H698" s="1">
        <v>20.0</v>
      </c>
      <c r="I698" s="5">
        <v>0.6840277777777778</v>
      </c>
      <c r="J698" s="1" t="str">
        <f t="array" ref="J698">XLOOKUP(B698,cat!B:B,cat!C:C)</f>
        <v>D</v>
      </c>
      <c r="K698" s="1">
        <f t="array" ref="K698">XLOOKUP(B698,cat!B:B,cat!D:D)</f>
        <v>184</v>
      </c>
      <c r="L698" s="7">
        <f t="shared" si="1"/>
        <v>0.04513888889</v>
      </c>
      <c r="M698" s="1" t="str">
        <f t="shared" si="2"/>
        <v/>
      </c>
      <c r="P698" s="9"/>
      <c r="Q698" s="9">
        <f t="shared" si="3"/>
        <v>0</v>
      </c>
      <c r="R698" s="1" t="str">
        <f t="shared" si="4"/>
        <v>RYR</v>
      </c>
      <c r="S698" s="1" t="str">
        <f>IF($D698="LEBL", IF(COUNTIF('Paises ECAC'!B:B, C698)&gt;0, "ECAC","NO ECAC"), "")</f>
        <v/>
      </c>
    </row>
    <row r="699" ht="14.25" customHeight="1">
      <c r="A699" s="1" t="s">
        <v>1218</v>
      </c>
      <c r="B699" s="1" t="s">
        <v>30</v>
      </c>
      <c r="C699" s="1" t="s">
        <v>245</v>
      </c>
      <c r="D699" s="1" t="s">
        <v>21</v>
      </c>
      <c r="E699" s="1" t="s">
        <v>1219</v>
      </c>
      <c r="F699" s="1">
        <v>180.0</v>
      </c>
      <c r="G699" s="5">
        <v>0.6159722222222223</v>
      </c>
      <c r="H699" s="1">
        <v>12.0</v>
      </c>
      <c r="I699" s="5">
        <v>0.6388888888888888</v>
      </c>
      <c r="J699" s="1" t="str">
        <f t="array" ref="J699">XLOOKUP(B699,cat!B:B,cat!C:C)</f>
        <v>D</v>
      </c>
      <c r="K699" s="1">
        <f t="array" ref="K699">XLOOKUP(B699,cat!B:B,cat!D:D)</f>
        <v>173</v>
      </c>
      <c r="L699" s="7">
        <f t="shared" si="1"/>
        <v>0.02291666667</v>
      </c>
      <c r="M699" s="7">
        <f t="shared" si="2"/>
        <v>0.001875</v>
      </c>
      <c r="P699" s="9"/>
      <c r="Q699" s="9">
        <f t="shared" si="3"/>
        <v>37.35</v>
      </c>
      <c r="R699" s="1" t="str">
        <f t="shared" si="4"/>
        <v>VLG</v>
      </c>
      <c r="S699" s="1" t="str">
        <f>IF($D699="LEBL", IF(COUNTIF('Paises ECAC'!B:B, C699)&gt;0, "ECAC","NO ECAC"), "")</f>
        <v>ECAC</v>
      </c>
    </row>
    <row r="700" ht="14.25" customHeight="1">
      <c r="A700" s="1" t="s">
        <v>1220</v>
      </c>
      <c r="B700" s="1" t="s">
        <v>35</v>
      </c>
      <c r="C700" s="1" t="s">
        <v>21</v>
      </c>
      <c r="D700" s="1" t="s">
        <v>126</v>
      </c>
      <c r="E700" s="1" t="s">
        <v>280</v>
      </c>
      <c r="F700" s="1">
        <v>350.0</v>
      </c>
      <c r="G700" s="5">
        <v>0.6388888888888888</v>
      </c>
      <c r="H700" s="1">
        <v>10.0</v>
      </c>
      <c r="I700" s="5">
        <v>0.7604166666666666</v>
      </c>
      <c r="J700" s="1" t="str">
        <f t="array" ref="J700">XLOOKUP(B700,cat!B:B,cat!C:C)</f>
        <v>D</v>
      </c>
      <c r="K700" s="1">
        <f t="array" ref="K700">XLOOKUP(B700,cat!B:B,cat!D:D)</f>
        <v>207</v>
      </c>
      <c r="L700" s="7">
        <f t="shared" si="1"/>
        <v>0.1215277778</v>
      </c>
      <c r="M700" s="1" t="str">
        <f t="shared" si="2"/>
        <v/>
      </c>
      <c r="P700" s="9"/>
      <c r="Q700" s="9">
        <f t="shared" si="3"/>
        <v>0</v>
      </c>
      <c r="R700" s="1" t="str">
        <f t="shared" si="4"/>
        <v>VLG</v>
      </c>
      <c r="S700" s="1" t="str">
        <f>IF($D700="LEBL", IF(COUNTIF('Paises ECAC'!B:B, C700)&gt;0, "ECAC","NO ECAC"), "")</f>
        <v/>
      </c>
    </row>
    <row r="701" ht="14.25" customHeight="1">
      <c r="A701" s="1" t="s">
        <v>1221</v>
      </c>
      <c r="B701" s="1" t="s">
        <v>30</v>
      </c>
      <c r="C701" s="1" t="s">
        <v>282</v>
      </c>
      <c r="D701" s="1" t="s">
        <v>21</v>
      </c>
      <c r="E701" s="1" t="s">
        <v>883</v>
      </c>
      <c r="F701" s="1">
        <v>280.0</v>
      </c>
      <c r="G701" s="5">
        <v>0.6097222222222223</v>
      </c>
      <c r="H701" s="1">
        <v>13.0</v>
      </c>
      <c r="I701" s="5">
        <v>0.6423611111111112</v>
      </c>
      <c r="J701" s="1" t="str">
        <f t="array" ref="J701">XLOOKUP(B701,cat!B:B,cat!C:C)</f>
        <v>D</v>
      </c>
      <c r="K701" s="1">
        <f t="array" ref="K701">XLOOKUP(B701,cat!B:B,cat!D:D)</f>
        <v>173</v>
      </c>
      <c r="L701" s="7">
        <f t="shared" si="1"/>
        <v>0.03263888889</v>
      </c>
      <c r="M701" s="7">
        <f t="shared" si="2"/>
        <v>0.01090277778</v>
      </c>
      <c r="P701" s="9"/>
      <c r="Q701" s="9">
        <f t="shared" si="3"/>
        <v>217.1833333</v>
      </c>
      <c r="R701" s="1" t="str">
        <f t="shared" si="4"/>
        <v>VLG</v>
      </c>
      <c r="S701" s="1" t="str">
        <f>IF($D701="LEBL", IF(COUNTIF('Paises ECAC'!B:B, C701)&gt;0, "ECAC","NO ECAC"), "")</f>
        <v>ECAC</v>
      </c>
    </row>
    <row r="702" ht="14.25" customHeight="1">
      <c r="A702" s="1" t="s">
        <v>1222</v>
      </c>
      <c r="B702" s="1" t="s">
        <v>30</v>
      </c>
      <c r="C702" s="1" t="s">
        <v>21</v>
      </c>
      <c r="D702" s="1" t="s">
        <v>682</v>
      </c>
      <c r="E702" s="1" t="s">
        <v>103</v>
      </c>
      <c r="F702" s="1">
        <v>300.0</v>
      </c>
      <c r="G702" s="5">
        <v>0.6395833333333333</v>
      </c>
      <c r="H702" s="1">
        <v>11.0</v>
      </c>
      <c r="I702" s="5">
        <v>0.6840277777777778</v>
      </c>
      <c r="J702" s="1" t="str">
        <f t="array" ref="J702">XLOOKUP(B702,cat!B:B,cat!C:C)</f>
        <v>D</v>
      </c>
      <c r="K702" s="1">
        <f t="array" ref="K702">XLOOKUP(B702,cat!B:B,cat!D:D)</f>
        <v>173</v>
      </c>
      <c r="L702" s="7">
        <f t="shared" si="1"/>
        <v>0.04444444444</v>
      </c>
      <c r="M702" s="1" t="str">
        <f t="shared" si="2"/>
        <v/>
      </c>
      <c r="P702" s="9"/>
      <c r="Q702" s="9">
        <f t="shared" si="3"/>
        <v>0</v>
      </c>
      <c r="R702" s="1" t="str">
        <f t="shared" si="4"/>
        <v>VLG</v>
      </c>
      <c r="S702" s="1" t="str">
        <f>IF($D702="LEBL", IF(COUNTIF('Paises ECAC'!B:B, C702)&gt;0, "ECAC","NO ECAC"), "")</f>
        <v/>
      </c>
    </row>
    <row r="703" ht="14.25" customHeight="1">
      <c r="A703" s="1" t="s">
        <v>1223</v>
      </c>
      <c r="B703" s="1" t="s">
        <v>212</v>
      </c>
      <c r="C703" s="1" t="s">
        <v>274</v>
      </c>
      <c r="D703" s="1" t="s">
        <v>21</v>
      </c>
      <c r="E703" s="1" t="s">
        <v>1224</v>
      </c>
      <c r="F703" s="1">
        <v>370.0</v>
      </c>
      <c r="G703" s="5">
        <v>0.5770833333333333</v>
      </c>
      <c r="H703" s="1">
        <v>22.0</v>
      </c>
      <c r="I703" s="5">
        <v>0.6423611111111112</v>
      </c>
      <c r="J703" s="1" t="str">
        <f t="array" ref="J703">XLOOKUP(B703,cat!B:B,cat!C:C)</f>
        <v>D</v>
      </c>
      <c r="K703" s="1">
        <f t="array" ref="K703">XLOOKUP(B703,cat!B:B,cat!D:D)</f>
        <v>200</v>
      </c>
      <c r="L703" s="7">
        <f t="shared" si="1"/>
        <v>0.06527777778</v>
      </c>
      <c r="M703" s="7">
        <f t="shared" si="2"/>
        <v>0.03729166667</v>
      </c>
      <c r="P703" s="9"/>
      <c r="Q703" s="9">
        <f t="shared" si="3"/>
        <v>742.85</v>
      </c>
      <c r="R703" s="1" t="str">
        <f t="shared" si="4"/>
        <v>BAW</v>
      </c>
      <c r="S703" s="1" t="str">
        <f>IF($D703="LEBL", IF(COUNTIF('Paises ECAC'!B:B, C703)&gt;0, "ECAC","NO ECAC"), "")</f>
        <v>ECAC</v>
      </c>
    </row>
    <row r="704" ht="14.25" customHeight="1">
      <c r="A704" s="1" t="s">
        <v>1225</v>
      </c>
      <c r="B704" s="1" t="s">
        <v>19</v>
      </c>
      <c r="C704" s="1" t="s">
        <v>21</v>
      </c>
      <c r="D704" s="1" t="s">
        <v>524</v>
      </c>
      <c r="E704" s="1" t="s">
        <v>130</v>
      </c>
      <c r="F704" s="1">
        <v>380.0</v>
      </c>
      <c r="G704" s="5">
        <v>0.6388888888888888</v>
      </c>
      <c r="H704" s="1">
        <v>20.0</v>
      </c>
      <c r="I704" s="5">
        <v>0.7395833333333334</v>
      </c>
      <c r="J704" s="1" t="str">
        <f t="array" ref="J704">XLOOKUP(B704,cat!B:B,cat!C:C)</f>
        <v>D</v>
      </c>
      <c r="K704" s="1">
        <f t="array" ref="K704">XLOOKUP(B704,cat!B:B,cat!D:D)</f>
        <v>184</v>
      </c>
      <c r="L704" s="7">
        <f t="shared" si="1"/>
        <v>0.1006944444</v>
      </c>
      <c r="M704" s="1" t="str">
        <f t="shared" si="2"/>
        <v/>
      </c>
      <c r="P704" s="9"/>
      <c r="Q704" s="9">
        <f t="shared" si="3"/>
        <v>0</v>
      </c>
      <c r="R704" s="1" t="str">
        <f t="shared" si="4"/>
        <v>RYR</v>
      </c>
      <c r="S704" s="1" t="str">
        <f>IF($D704="LEBL", IF(COUNTIF('Paises ECAC'!B:B, C704)&gt;0, "ECAC","NO ECAC"), "")</f>
        <v/>
      </c>
    </row>
    <row r="705" ht="14.25" customHeight="1">
      <c r="A705" s="1" t="s">
        <v>1226</v>
      </c>
      <c r="B705" s="1" t="s">
        <v>35</v>
      </c>
      <c r="C705" s="1" t="s">
        <v>942</v>
      </c>
      <c r="D705" s="1" t="s">
        <v>21</v>
      </c>
      <c r="E705" s="1" t="s">
        <v>37</v>
      </c>
      <c r="F705" s="1">
        <v>340.0</v>
      </c>
      <c r="G705" s="5">
        <v>0.6</v>
      </c>
      <c r="H705" s="1">
        <v>5.0</v>
      </c>
      <c r="I705" s="5">
        <v>0.6423611111111112</v>
      </c>
      <c r="J705" s="1" t="str">
        <f t="array" ref="J705">XLOOKUP(B705,cat!B:B,cat!C:C)</f>
        <v>D</v>
      </c>
      <c r="K705" s="1">
        <f t="array" ref="K705">XLOOKUP(B705,cat!B:B,cat!D:D)</f>
        <v>207</v>
      </c>
      <c r="L705" s="7">
        <f t="shared" si="1"/>
        <v>0.04236111111</v>
      </c>
      <c r="M705" s="7">
        <f t="shared" si="2"/>
        <v>0.02618055556</v>
      </c>
      <c r="P705" s="9"/>
      <c r="Q705" s="9">
        <f t="shared" si="3"/>
        <v>521.5166667</v>
      </c>
      <c r="R705" s="1" t="str">
        <f t="shared" si="4"/>
        <v>VLG</v>
      </c>
      <c r="S705" s="1" t="str">
        <f>IF($D705="LEBL", IF(COUNTIF('Paises ECAC'!B:B, C705)&gt;0, "ECAC","NO ECAC"), "")</f>
        <v>ECAC</v>
      </c>
    </row>
    <row r="706" ht="14.25" customHeight="1">
      <c r="A706" s="1" t="s">
        <v>1227</v>
      </c>
      <c r="B706" s="1" t="s">
        <v>30</v>
      </c>
      <c r="C706" s="1" t="s">
        <v>21</v>
      </c>
      <c r="D706" s="1" t="s">
        <v>210</v>
      </c>
      <c r="E706" s="1" t="s">
        <v>1136</v>
      </c>
      <c r="F706" s="1">
        <v>300.0</v>
      </c>
      <c r="G706" s="5">
        <v>0.6395833333333333</v>
      </c>
      <c r="H706" s="1">
        <v>21.0</v>
      </c>
      <c r="I706" s="5">
        <v>0.6840277777777778</v>
      </c>
      <c r="J706" s="1" t="str">
        <f t="array" ref="J706">XLOOKUP(B706,cat!B:B,cat!C:C)</f>
        <v>D</v>
      </c>
      <c r="K706" s="1">
        <f t="array" ref="K706">XLOOKUP(B706,cat!B:B,cat!D:D)</f>
        <v>173</v>
      </c>
      <c r="L706" s="7">
        <f t="shared" si="1"/>
        <v>0.04444444444</v>
      </c>
      <c r="M706" s="1" t="str">
        <f t="shared" si="2"/>
        <v/>
      </c>
      <c r="P706" s="9"/>
      <c r="Q706" s="9">
        <f t="shared" si="3"/>
        <v>0</v>
      </c>
      <c r="R706" s="1" t="str">
        <f t="shared" si="4"/>
        <v>EJU</v>
      </c>
      <c r="S706" s="1" t="str">
        <f>IF($D706="LEBL", IF(COUNTIF('Paises ECAC'!B:B, C706)&gt;0, "ECAC","NO ECAC"), "")</f>
        <v/>
      </c>
    </row>
    <row r="707" ht="14.25" customHeight="1">
      <c r="A707" s="1" t="s">
        <v>1228</v>
      </c>
      <c r="B707" s="1" t="s">
        <v>30</v>
      </c>
      <c r="C707" s="1" t="s">
        <v>1229</v>
      </c>
      <c r="D707" s="1" t="s">
        <v>21</v>
      </c>
      <c r="E707" s="1" t="s">
        <v>1230</v>
      </c>
      <c r="F707" s="1">
        <v>350.0</v>
      </c>
      <c r="G707" s="5">
        <v>0.5402777777777777</v>
      </c>
      <c r="H707" s="1">
        <v>10.0</v>
      </c>
      <c r="I707" s="5">
        <v>0.6458333333333334</v>
      </c>
      <c r="J707" s="1" t="str">
        <f t="array" ref="J707">XLOOKUP(B707,cat!B:B,cat!C:C)</f>
        <v>D</v>
      </c>
      <c r="K707" s="1">
        <f t="array" ref="K707">XLOOKUP(B707,cat!B:B,cat!D:D)</f>
        <v>173</v>
      </c>
      <c r="L707" s="7">
        <f t="shared" si="1"/>
        <v>0.1055555556</v>
      </c>
      <c r="M707" s="7">
        <f t="shared" si="2"/>
        <v>0.08590277778</v>
      </c>
      <c r="P707" s="9"/>
      <c r="Q707" s="9">
        <f t="shared" si="3"/>
        <v>1711.183333</v>
      </c>
      <c r="R707" s="1" t="str">
        <f t="shared" si="4"/>
        <v>DNA</v>
      </c>
      <c r="S707" s="1" t="str">
        <f>IF($D707="LEBL", IF(COUNTIF('Paises ECAC'!B:B, C707)&gt;0, "ECAC","NO ECAC"), "")</f>
        <v>NO ECAC</v>
      </c>
    </row>
    <row r="708" ht="14.25" customHeight="1">
      <c r="A708" s="1" t="s">
        <v>1231</v>
      </c>
      <c r="B708" s="1" t="s">
        <v>30</v>
      </c>
      <c r="C708" s="1" t="s">
        <v>21</v>
      </c>
      <c r="D708" s="1" t="s">
        <v>1232</v>
      </c>
      <c r="E708" s="1" t="s">
        <v>32</v>
      </c>
      <c r="F708" s="1">
        <v>380.0</v>
      </c>
      <c r="G708" s="5">
        <v>0.6388888888888888</v>
      </c>
      <c r="H708" s="1">
        <v>10.0</v>
      </c>
      <c r="I708" s="5">
        <v>0.8125</v>
      </c>
      <c r="J708" s="1" t="str">
        <f t="array" ref="J708">XLOOKUP(B708,cat!B:B,cat!C:C)</f>
        <v>D</v>
      </c>
      <c r="K708" s="1">
        <f t="array" ref="K708">XLOOKUP(B708,cat!B:B,cat!D:D)</f>
        <v>173</v>
      </c>
      <c r="L708" s="7">
        <f t="shared" si="1"/>
        <v>0.1736111111</v>
      </c>
      <c r="M708" s="1" t="str">
        <f t="shared" si="2"/>
        <v/>
      </c>
      <c r="P708" s="9"/>
      <c r="Q708" s="9">
        <f t="shared" si="3"/>
        <v>0</v>
      </c>
      <c r="R708" s="1" t="str">
        <f t="shared" si="4"/>
        <v>VLG</v>
      </c>
      <c r="S708" s="1" t="str">
        <f>IF($D708="LEBL", IF(COUNTIF('Paises ECAC'!B:B, C708)&gt;0, "ECAC","NO ECAC"), "")</f>
        <v/>
      </c>
    </row>
    <row r="709" ht="14.25" customHeight="1">
      <c r="A709" s="1" t="s">
        <v>1233</v>
      </c>
      <c r="B709" s="1" t="s">
        <v>19</v>
      </c>
      <c r="C709" s="1" t="s">
        <v>21</v>
      </c>
      <c r="D709" s="1" t="s">
        <v>329</v>
      </c>
      <c r="E709" s="1" t="s">
        <v>1141</v>
      </c>
      <c r="F709" s="1">
        <v>330.0</v>
      </c>
      <c r="G709" s="5">
        <v>0.6451388888888889</v>
      </c>
      <c r="H709" s="1">
        <v>20.0</v>
      </c>
      <c r="I709" s="5">
        <v>0.7013888888888888</v>
      </c>
      <c r="J709" s="1" t="str">
        <f t="array" ref="J709">XLOOKUP(B709,cat!B:B,cat!C:C)</f>
        <v>D</v>
      </c>
      <c r="K709" s="1">
        <f t="array" ref="K709">XLOOKUP(B709,cat!B:B,cat!D:D)</f>
        <v>184</v>
      </c>
      <c r="L709" s="7">
        <f t="shared" si="1"/>
        <v>0.05625</v>
      </c>
      <c r="M709" s="1" t="str">
        <f t="shared" si="2"/>
        <v/>
      </c>
      <c r="P709" s="9"/>
      <c r="Q709" s="9">
        <f t="shared" si="3"/>
        <v>0</v>
      </c>
      <c r="R709" s="1" t="str">
        <f t="shared" si="4"/>
        <v>RYR</v>
      </c>
      <c r="S709" s="1" t="str">
        <f>IF($D709="LEBL", IF(COUNTIF('Paises ECAC'!B:B, C709)&gt;0, "ECAC","NO ECAC"), "")</f>
        <v/>
      </c>
    </row>
    <row r="710" ht="14.25" customHeight="1">
      <c r="A710" s="1" t="s">
        <v>1234</v>
      </c>
      <c r="B710" s="1" t="s">
        <v>19</v>
      </c>
      <c r="C710" s="1" t="s">
        <v>20</v>
      </c>
      <c r="D710" s="1" t="s">
        <v>21</v>
      </c>
      <c r="E710" s="1" t="s">
        <v>1235</v>
      </c>
      <c r="F710" s="1">
        <v>320.0</v>
      </c>
      <c r="G710" s="5">
        <v>0.5868055555555556</v>
      </c>
      <c r="H710" s="1">
        <v>15.0</v>
      </c>
      <c r="I710" s="5">
        <v>0.6458333333333334</v>
      </c>
      <c r="J710" s="1" t="str">
        <f t="array" ref="J710">XLOOKUP(B710,cat!B:B,cat!C:C)</f>
        <v>D</v>
      </c>
      <c r="K710" s="1">
        <f t="array" ref="K710">XLOOKUP(B710,cat!B:B,cat!D:D)</f>
        <v>184</v>
      </c>
      <c r="L710" s="7">
        <f t="shared" si="1"/>
        <v>0.05902777778</v>
      </c>
      <c r="M710" s="7">
        <f t="shared" si="2"/>
        <v>0.03590277778</v>
      </c>
      <c r="P710" s="9"/>
      <c r="Q710" s="9">
        <f t="shared" si="3"/>
        <v>715.1833333</v>
      </c>
      <c r="R710" s="1" t="str">
        <f t="shared" si="4"/>
        <v>RYR</v>
      </c>
      <c r="S710" s="1" t="str">
        <f>IF($D710="LEBL", IF(COUNTIF('Paises ECAC'!B:B, C710)&gt;0, "ECAC","NO ECAC"), "")</f>
        <v>ECAC</v>
      </c>
    </row>
    <row r="711" ht="14.25" customHeight="1">
      <c r="A711" s="1" t="s">
        <v>1236</v>
      </c>
      <c r="B711" s="1" t="s">
        <v>35</v>
      </c>
      <c r="C711" s="1" t="s">
        <v>158</v>
      </c>
      <c r="D711" s="1" t="s">
        <v>21</v>
      </c>
      <c r="E711" s="1" t="s">
        <v>159</v>
      </c>
      <c r="F711" s="1">
        <v>330.0</v>
      </c>
      <c r="G711" s="5">
        <v>0.5923611111111111</v>
      </c>
      <c r="H711" s="1">
        <v>13.0</v>
      </c>
      <c r="I711" s="5">
        <v>0.6458333333333334</v>
      </c>
      <c r="J711" s="1" t="str">
        <f t="array" ref="J711">XLOOKUP(B711,cat!B:B,cat!C:C)</f>
        <v>D</v>
      </c>
      <c r="K711" s="1">
        <f t="array" ref="K711">XLOOKUP(B711,cat!B:B,cat!D:D)</f>
        <v>207</v>
      </c>
      <c r="L711" s="7">
        <f t="shared" si="1"/>
        <v>0.05347222222</v>
      </c>
      <c r="M711" s="7">
        <f t="shared" si="2"/>
        <v>0.03173611111</v>
      </c>
      <c r="P711" s="9"/>
      <c r="Q711" s="9">
        <f t="shared" si="3"/>
        <v>632.1833333</v>
      </c>
      <c r="R711" s="1" t="str">
        <f t="shared" si="4"/>
        <v>SWR</v>
      </c>
      <c r="S711" s="1" t="str">
        <f>IF($D711="LEBL", IF(COUNTIF('Paises ECAC'!B:B, C711)&gt;0, "ECAC","NO ECAC"), "")</f>
        <v>ECAC</v>
      </c>
    </row>
    <row r="712" ht="14.25" customHeight="1">
      <c r="A712" s="1" t="s">
        <v>1237</v>
      </c>
      <c r="B712" s="1" t="s">
        <v>136</v>
      </c>
      <c r="C712" s="1" t="s">
        <v>21</v>
      </c>
      <c r="D712" s="1" t="s">
        <v>310</v>
      </c>
      <c r="E712" s="1" t="s">
        <v>311</v>
      </c>
      <c r="F712" s="1">
        <v>290.0</v>
      </c>
      <c r="G712" s="5">
        <v>0.6354166666666666</v>
      </c>
      <c r="H712" s="1">
        <v>10.0</v>
      </c>
      <c r="I712" s="5">
        <v>0.6805555555555556</v>
      </c>
      <c r="J712" s="1" t="str">
        <f t="array" ref="J712">XLOOKUP(B712,cat!B:B,cat!C:C)</f>
        <v>D</v>
      </c>
      <c r="K712" s="1">
        <f t="array" ref="K712">XLOOKUP(B712,cat!B:B,cat!D:D)</f>
        <v>144</v>
      </c>
      <c r="L712" s="7">
        <f t="shared" si="1"/>
        <v>0.04513888889</v>
      </c>
      <c r="M712" s="1" t="str">
        <f t="shared" si="2"/>
        <v/>
      </c>
      <c r="P712" s="9"/>
      <c r="Q712" s="9">
        <f t="shared" si="3"/>
        <v>0</v>
      </c>
      <c r="R712" s="1" t="str">
        <f t="shared" si="4"/>
        <v>VLG</v>
      </c>
      <c r="S712" s="1" t="str">
        <f>IF($D712="LEBL", IF(COUNTIF('Paises ECAC'!B:B, C712)&gt;0, "ECAC","NO ECAC"), "")</f>
        <v/>
      </c>
    </row>
    <row r="713" ht="14.25" customHeight="1">
      <c r="A713" s="1" t="s">
        <v>1238</v>
      </c>
      <c r="B713" s="1" t="s">
        <v>30</v>
      </c>
      <c r="C713" s="1" t="s">
        <v>21</v>
      </c>
      <c r="D713" s="1" t="s">
        <v>227</v>
      </c>
      <c r="E713" s="1" t="s">
        <v>1116</v>
      </c>
      <c r="F713" s="1">
        <v>380.0</v>
      </c>
      <c r="G713" s="5">
        <v>0.6423611111111112</v>
      </c>
      <c r="H713" s="1">
        <v>10.0</v>
      </c>
      <c r="I713" s="5">
        <v>0.7222222222222222</v>
      </c>
      <c r="J713" s="1" t="str">
        <f t="array" ref="J713">XLOOKUP(B713,cat!B:B,cat!C:C)</f>
        <v>D</v>
      </c>
      <c r="K713" s="1">
        <f t="array" ref="K713">XLOOKUP(B713,cat!B:B,cat!D:D)</f>
        <v>173</v>
      </c>
      <c r="L713" s="7">
        <f t="shared" si="1"/>
        <v>0.07986111111</v>
      </c>
      <c r="M713" s="1" t="str">
        <f t="shared" si="2"/>
        <v/>
      </c>
      <c r="P713" s="9"/>
      <c r="Q713" s="9">
        <f t="shared" si="3"/>
        <v>0</v>
      </c>
      <c r="R713" s="1" t="str">
        <f t="shared" si="4"/>
        <v>DLH</v>
      </c>
      <c r="S713" s="1" t="str">
        <f>IF($D713="LEBL", IF(COUNTIF('Paises ECAC'!B:B, C713)&gt;0, "ECAC","NO ECAC"), "")</f>
        <v/>
      </c>
    </row>
    <row r="714" ht="14.25" customHeight="1">
      <c r="A714" s="1" t="s">
        <v>1239</v>
      </c>
      <c r="B714" s="1" t="s">
        <v>19</v>
      </c>
      <c r="C714" s="1" t="s">
        <v>21</v>
      </c>
      <c r="D714" s="1" t="s">
        <v>100</v>
      </c>
      <c r="E714" s="1" t="s">
        <v>1119</v>
      </c>
      <c r="F714" s="1">
        <v>380.0</v>
      </c>
      <c r="G714" s="5">
        <v>0.6520833333333333</v>
      </c>
      <c r="H714" s="1">
        <v>20.0</v>
      </c>
      <c r="I714" s="5">
        <v>0.7083333333333334</v>
      </c>
      <c r="J714" s="1" t="str">
        <f t="array" ref="J714">XLOOKUP(B714,cat!B:B,cat!C:C)</f>
        <v>D</v>
      </c>
      <c r="K714" s="1">
        <f t="array" ref="K714">XLOOKUP(B714,cat!B:B,cat!D:D)</f>
        <v>184</v>
      </c>
      <c r="L714" s="7">
        <f t="shared" si="1"/>
        <v>0.05625</v>
      </c>
      <c r="M714" s="1" t="str">
        <f t="shared" si="2"/>
        <v/>
      </c>
      <c r="P714" s="9"/>
      <c r="Q714" s="9">
        <f t="shared" si="3"/>
        <v>0</v>
      </c>
      <c r="R714" s="1" t="str">
        <f t="shared" si="4"/>
        <v>RYR</v>
      </c>
      <c r="S714" s="1" t="str">
        <f>IF($D714="LEBL", IF(COUNTIF('Paises ECAC'!B:B, C714)&gt;0, "ECAC","NO ECAC"), "")</f>
        <v/>
      </c>
    </row>
    <row r="715" ht="14.25" customHeight="1">
      <c r="A715" s="1" t="s">
        <v>1240</v>
      </c>
      <c r="B715" s="1" t="s">
        <v>544</v>
      </c>
      <c r="C715" s="1" t="s">
        <v>287</v>
      </c>
      <c r="D715" s="1" t="s">
        <v>21</v>
      </c>
      <c r="E715" s="1" t="s">
        <v>1241</v>
      </c>
      <c r="F715" s="1">
        <v>350.0</v>
      </c>
      <c r="G715" s="5">
        <v>0.58125</v>
      </c>
      <c r="H715" s="1">
        <v>12.0</v>
      </c>
      <c r="I715" s="5">
        <v>0.6493055555555556</v>
      </c>
      <c r="J715" s="1" t="str">
        <f t="array" ref="J715">XLOOKUP(B715,cat!B:B,cat!C:C)</f>
        <v>D</v>
      </c>
      <c r="K715" s="1">
        <f t="array" ref="K715">XLOOKUP(B715,cat!B:B,cat!D:D)</f>
        <v>148</v>
      </c>
      <c r="L715" s="7">
        <f t="shared" si="1"/>
        <v>0.06805555556</v>
      </c>
      <c r="M715" s="7">
        <f t="shared" si="2"/>
        <v>0.04701388889</v>
      </c>
      <c r="P715" s="9"/>
      <c r="Q715" s="9">
        <f t="shared" si="3"/>
        <v>936.5166667</v>
      </c>
      <c r="R715" s="1" t="str">
        <f t="shared" si="4"/>
        <v>DLH</v>
      </c>
      <c r="S715" s="1" t="str">
        <f>IF($D715="LEBL", IF(COUNTIF('Paises ECAC'!B:B, C715)&gt;0, "ECAC","NO ECAC"), "")</f>
        <v>ECAC</v>
      </c>
    </row>
    <row r="716" ht="14.25" customHeight="1">
      <c r="A716" s="1" t="s">
        <v>1242</v>
      </c>
      <c r="B716" s="1" t="s">
        <v>19</v>
      </c>
      <c r="C716" s="1" t="s">
        <v>21</v>
      </c>
      <c r="D716" s="1" t="s">
        <v>1243</v>
      </c>
      <c r="E716" s="1" t="s">
        <v>372</v>
      </c>
      <c r="F716" s="1">
        <v>370.0</v>
      </c>
      <c r="G716" s="5">
        <v>0.6423611111111112</v>
      </c>
      <c r="H716" s="1">
        <v>20.0</v>
      </c>
      <c r="I716" s="5">
        <v>0.7777777777777778</v>
      </c>
      <c r="J716" s="1" t="str">
        <f t="array" ref="J716">XLOOKUP(B716,cat!B:B,cat!C:C)</f>
        <v>D</v>
      </c>
      <c r="K716" s="1">
        <f t="array" ref="K716">XLOOKUP(B716,cat!B:B,cat!D:D)</f>
        <v>184</v>
      </c>
      <c r="L716" s="7">
        <f t="shared" si="1"/>
        <v>0.1354166667</v>
      </c>
      <c r="M716" s="1" t="str">
        <f t="shared" si="2"/>
        <v/>
      </c>
      <c r="P716" s="9"/>
      <c r="Q716" s="9">
        <f t="shared" si="3"/>
        <v>0</v>
      </c>
      <c r="R716" s="1" t="str">
        <f t="shared" si="4"/>
        <v>NSZ</v>
      </c>
      <c r="S716" s="1" t="str">
        <f>IF($D716="LEBL", IF(COUNTIF('Paises ECAC'!B:B, C716)&gt;0, "ECAC","NO ECAC"), "")</f>
        <v/>
      </c>
    </row>
    <row r="717" ht="14.25" customHeight="1">
      <c r="A717" s="1" t="s">
        <v>1244</v>
      </c>
      <c r="B717" s="1" t="s">
        <v>212</v>
      </c>
      <c r="C717" s="1" t="s">
        <v>21</v>
      </c>
      <c r="D717" s="1" t="s">
        <v>140</v>
      </c>
      <c r="E717" s="1" t="s">
        <v>1125</v>
      </c>
      <c r="F717" s="1">
        <v>340.0</v>
      </c>
      <c r="G717" s="5">
        <v>0.6416666666666667</v>
      </c>
      <c r="H717" s="1">
        <v>10.0</v>
      </c>
      <c r="I717" s="5">
        <v>0.7048611111111112</v>
      </c>
      <c r="J717" s="1" t="str">
        <f t="array" ref="J717">XLOOKUP(B717,cat!B:B,cat!C:C)</f>
        <v>D</v>
      </c>
      <c r="K717" s="1">
        <f t="array" ref="K717">XLOOKUP(B717,cat!B:B,cat!D:D)</f>
        <v>200</v>
      </c>
      <c r="L717" s="7">
        <f t="shared" si="1"/>
        <v>0.06319444444</v>
      </c>
      <c r="M717" s="1" t="str">
        <f t="shared" si="2"/>
        <v/>
      </c>
      <c r="P717" s="9"/>
      <c r="Q717" s="9">
        <f t="shared" si="3"/>
        <v>0</v>
      </c>
      <c r="R717" s="1" t="str">
        <f t="shared" si="4"/>
        <v>ITY</v>
      </c>
      <c r="S717" s="1" t="str">
        <f>IF($D717="LEBL", IF(COUNTIF('Paises ECAC'!B:B, C717)&gt;0, "ECAC","NO ECAC"), "")</f>
        <v/>
      </c>
    </row>
    <row r="718" ht="14.25" customHeight="1">
      <c r="A718" s="1" t="s">
        <v>1245</v>
      </c>
      <c r="B718" s="1" t="s">
        <v>19</v>
      </c>
      <c r="C718" s="1" t="s">
        <v>21</v>
      </c>
      <c r="D718" s="1" t="s">
        <v>97</v>
      </c>
      <c r="E718" s="1" t="s">
        <v>111</v>
      </c>
      <c r="F718" s="1">
        <v>300.0</v>
      </c>
      <c r="G718" s="5">
        <v>0.6493055555555556</v>
      </c>
      <c r="H718" s="1">
        <v>20.0</v>
      </c>
      <c r="I718" s="5">
        <v>0.7048611111111112</v>
      </c>
      <c r="J718" s="1" t="str">
        <f t="array" ref="J718">XLOOKUP(B718,cat!B:B,cat!C:C)</f>
        <v>D</v>
      </c>
      <c r="K718" s="1">
        <f t="array" ref="K718">XLOOKUP(B718,cat!B:B,cat!D:D)</f>
        <v>184</v>
      </c>
      <c r="L718" s="7">
        <f t="shared" si="1"/>
        <v>0.05555555556</v>
      </c>
      <c r="M718" s="1" t="str">
        <f t="shared" si="2"/>
        <v/>
      </c>
      <c r="P718" s="9"/>
      <c r="Q718" s="9">
        <f t="shared" si="3"/>
        <v>0</v>
      </c>
      <c r="R718" s="1" t="str">
        <f t="shared" si="4"/>
        <v>RYR</v>
      </c>
      <c r="S718" s="1" t="str">
        <f>IF($D718="LEBL", IF(COUNTIF('Paises ECAC'!B:B, C718)&gt;0, "ECAC","NO ECAC"), "")</f>
        <v/>
      </c>
    </row>
    <row r="719" ht="14.25" customHeight="1">
      <c r="A719" s="1" t="s">
        <v>1246</v>
      </c>
      <c r="B719" s="1" t="s">
        <v>30</v>
      </c>
      <c r="C719" s="1" t="s">
        <v>21</v>
      </c>
      <c r="D719" s="1" t="s">
        <v>166</v>
      </c>
      <c r="E719" s="1" t="s">
        <v>206</v>
      </c>
      <c r="F719" s="1">
        <v>370.0</v>
      </c>
      <c r="G719" s="5">
        <v>0.6493055555555556</v>
      </c>
      <c r="H719" s="1">
        <v>10.0</v>
      </c>
      <c r="I719" s="5">
        <v>0.7708333333333334</v>
      </c>
      <c r="J719" s="1" t="str">
        <f t="array" ref="J719">XLOOKUP(B719,cat!B:B,cat!C:C)</f>
        <v>D</v>
      </c>
      <c r="K719" s="1">
        <f t="array" ref="K719">XLOOKUP(B719,cat!B:B,cat!D:D)</f>
        <v>173</v>
      </c>
      <c r="L719" s="7">
        <f t="shared" si="1"/>
        <v>0.1215277778</v>
      </c>
      <c r="M719" s="1" t="str">
        <f t="shared" si="2"/>
        <v/>
      </c>
      <c r="P719" s="9"/>
      <c r="Q719" s="9">
        <f t="shared" si="3"/>
        <v>0</v>
      </c>
      <c r="R719" s="1" t="str">
        <f t="shared" si="4"/>
        <v>VLG</v>
      </c>
      <c r="S719" s="1" t="str">
        <f>IF($D719="LEBL", IF(COUNTIF('Paises ECAC'!B:B, C719)&gt;0, "ECAC","NO ECAC"), "")</f>
        <v/>
      </c>
    </row>
    <row r="720" ht="14.25" customHeight="1">
      <c r="A720" s="1" t="s">
        <v>1247</v>
      </c>
      <c r="B720" s="1" t="s">
        <v>19</v>
      </c>
      <c r="C720" s="1" t="s">
        <v>690</v>
      </c>
      <c r="D720" s="1" t="s">
        <v>21</v>
      </c>
      <c r="E720" s="1" t="s">
        <v>691</v>
      </c>
      <c r="F720" s="1">
        <v>370.0</v>
      </c>
      <c r="G720" s="5">
        <v>0.5798611111111112</v>
      </c>
      <c r="H720" s="1">
        <v>10.0</v>
      </c>
      <c r="I720" s="5">
        <v>0.6527777777777778</v>
      </c>
      <c r="J720" s="1" t="str">
        <f t="array" ref="J720">XLOOKUP(B720,cat!B:B,cat!C:C)</f>
        <v>D</v>
      </c>
      <c r="K720" s="1">
        <f t="array" ref="K720">XLOOKUP(B720,cat!B:B,cat!D:D)</f>
        <v>184</v>
      </c>
      <c r="L720" s="7">
        <f t="shared" si="1"/>
        <v>0.07291666667</v>
      </c>
      <c r="M720" s="7">
        <f t="shared" si="2"/>
        <v>0.05326388889</v>
      </c>
      <c r="P720" s="9"/>
      <c r="Q720" s="9">
        <f t="shared" si="3"/>
        <v>1061.016667</v>
      </c>
      <c r="R720" s="1" t="str">
        <f t="shared" si="4"/>
        <v>ABR</v>
      </c>
      <c r="S720" s="1" t="str">
        <f>IF($D720="LEBL", IF(COUNTIF('Paises ECAC'!B:B, C720)&gt;0, "ECAC","NO ECAC"), "")</f>
        <v>ECAC</v>
      </c>
    </row>
    <row r="721" ht="14.25" customHeight="1">
      <c r="A721" s="1" t="s">
        <v>1248</v>
      </c>
      <c r="B721" s="1" t="s">
        <v>30</v>
      </c>
      <c r="C721" s="1" t="s">
        <v>21</v>
      </c>
      <c r="D721" s="1" t="s">
        <v>245</v>
      </c>
      <c r="E721" s="1" t="s">
        <v>641</v>
      </c>
      <c r="F721" s="1">
        <v>190.0</v>
      </c>
      <c r="G721" s="5">
        <v>0.6458333333333334</v>
      </c>
      <c r="H721" s="1">
        <v>10.0</v>
      </c>
      <c r="I721" s="5">
        <v>0.6805555555555556</v>
      </c>
      <c r="J721" s="1" t="str">
        <f t="array" ref="J721">XLOOKUP(B721,cat!B:B,cat!C:C)</f>
        <v>D</v>
      </c>
      <c r="K721" s="1">
        <f t="array" ref="K721">XLOOKUP(B721,cat!B:B,cat!D:D)</f>
        <v>173</v>
      </c>
      <c r="L721" s="7">
        <f t="shared" si="1"/>
        <v>0.03472222222</v>
      </c>
      <c r="M721" s="1" t="str">
        <f t="shared" si="2"/>
        <v/>
      </c>
      <c r="P721" s="9"/>
      <c r="Q721" s="9">
        <f t="shared" si="3"/>
        <v>0</v>
      </c>
      <c r="R721" s="1" t="str">
        <f t="shared" si="4"/>
        <v>VLG</v>
      </c>
      <c r="S721" s="1" t="str">
        <f>IF($D721="LEBL", IF(COUNTIF('Paises ECAC'!B:B, C721)&gt;0, "ECAC","NO ECAC"), "")</f>
        <v/>
      </c>
    </row>
    <row r="722" ht="14.25" customHeight="1">
      <c r="A722" s="1" t="s">
        <v>1249</v>
      </c>
      <c r="B722" s="1" t="s">
        <v>19</v>
      </c>
      <c r="C722" s="1" t="s">
        <v>21</v>
      </c>
      <c r="D722" s="1" t="s">
        <v>1250</v>
      </c>
      <c r="E722" s="1" t="s">
        <v>149</v>
      </c>
      <c r="F722" s="1">
        <v>370.0</v>
      </c>
      <c r="G722" s="5">
        <v>0.65625</v>
      </c>
      <c r="H722" s="1">
        <v>20.0</v>
      </c>
      <c r="I722" s="5">
        <v>0.7395833333333334</v>
      </c>
      <c r="J722" s="1" t="str">
        <f t="array" ref="J722">XLOOKUP(B722,cat!B:B,cat!C:C)</f>
        <v>D</v>
      </c>
      <c r="K722" s="1">
        <f t="array" ref="K722">XLOOKUP(B722,cat!B:B,cat!D:D)</f>
        <v>184</v>
      </c>
      <c r="L722" s="7">
        <f t="shared" si="1"/>
        <v>0.08333333333</v>
      </c>
      <c r="M722" s="1" t="str">
        <f t="shared" si="2"/>
        <v/>
      </c>
      <c r="P722" s="9"/>
      <c r="Q722" s="9">
        <f t="shared" si="3"/>
        <v>0</v>
      </c>
      <c r="R722" s="1" t="str">
        <f t="shared" si="4"/>
        <v>RYR</v>
      </c>
      <c r="S722" s="1" t="str">
        <f>IF($D722="LEBL", IF(COUNTIF('Paises ECAC'!B:B, C722)&gt;0, "ECAC","NO ECAC"), "")</f>
        <v/>
      </c>
    </row>
    <row r="723" ht="14.25" customHeight="1">
      <c r="A723" s="1" t="s">
        <v>1251</v>
      </c>
      <c r="B723" s="1" t="s">
        <v>212</v>
      </c>
      <c r="C723" s="1" t="s">
        <v>21</v>
      </c>
      <c r="D723" s="1" t="s">
        <v>581</v>
      </c>
      <c r="E723" s="1" t="s">
        <v>288</v>
      </c>
      <c r="F723" s="1">
        <v>340.0</v>
      </c>
      <c r="G723" s="5">
        <v>0.6472222222222223</v>
      </c>
      <c r="H723" s="1">
        <v>12.0</v>
      </c>
      <c r="I723" s="5">
        <v>0.7395833333333334</v>
      </c>
      <c r="J723" s="1" t="str">
        <f t="array" ref="J723">XLOOKUP(B723,cat!B:B,cat!C:C)</f>
        <v>D</v>
      </c>
      <c r="K723" s="1">
        <f t="array" ref="K723">XLOOKUP(B723,cat!B:B,cat!D:D)</f>
        <v>200</v>
      </c>
      <c r="L723" s="7">
        <f t="shared" si="1"/>
        <v>0.09236111111</v>
      </c>
      <c r="M723" s="1" t="str">
        <f t="shared" si="2"/>
        <v/>
      </c>
      <c r="P723" s="9"/>
      <c r="Q723" s="9">
        <f t="shared" si="3"/>
        <v>0</v>
      </c>
      <c r="R723" s="1" t="str">
        <f t="shared" si="4"/>
        <v>VLG</v>
      </c>
      <c r="S723" s="1" t="str">
        <f>IF($D723="LEBL", IF(COUNTIF('Paises ECAC'!B:B, C723)&gt;0, "ECAC","NO ECAC"), "")</f>
        <v/>
      </c>
    </row>
    <row r="724" ht="14.25" customHeight="1">
      <c r="A724" s="1" t="s">
        <v>1252</v>
      </c>
      <c r="B724" s="1" t="s">
        <v>1253</v>
      </c>
      <c r="C724" s="1" t="s">
        <v>1254</v>
      </c>
      <c r="D724" s="1" t="s">
        <v>21</v>
      </c>
      <c r="E724" s="1" t="s">
        <v>1255</v>
      </c>
      <c r="F724" s="1">
        <v>290.0</v>
      </c>
      <c r="G724" s="5">
        <v>0.6236111111111111</v>
      </c>
      <c r="H724" s="1">
        <v>2.0</v>
      </c>
      <c r="I724" s="5">
        <v>0.65625</v>
      </c>
      <c r="J724" s="1" t="str">
        <f t="array" ref="J724">XLOOKUP(B724,cat!B:B,cat!C:C)</f>
        <v>F</v>
      </c>
      <c r="K724" s="1">
        <f t="array" ref="K724">XLOOKUP(B724,cat!B:B,cat!D:D)</f>
        <v>9</v>
      </c>
      <c r="L724" s="7">
        <f t="shared" si="1"/>
        <v>0.03263888889</v>
      </c>
      <c r="M724" s="7">
        <f t="shared" si="2"/>
        <v>0.01854166667</v>
      </c>
      <c r="P724" s="9"/>
      <c r="Q724" s="9">
        <f t="shared" si="3"/>
        <v>80.1</v>
      </c>
      <c r="R724" s="1" t="str">
        <f t="shared" si="4"/>
        <v>ULC</v>
      </c>
      <c r="S724" s="1" t="str">
        <f>IF($D724="LEBL", IF(COUNTIF('Paises ECAC'!B:B, C724)&gt;0, "ECAC","NO ECAC"), "")</f>
        <v>NO ECAC</v>
      </c>
    </row>
    <row r="725" ht="14.25" customHeight="1">
      <c r="A725" s="1" t="s">
        <v>1256</v>
      </c>
      <c r="B725" s="1" t="s">
        <v>30</v>
      </c>
      <c r="C725" s="1" t="s">
        <v>21</v>
      </c>
      <c r="D725" s="1" t="s">
        <v>245</v>
      </c>
      <c r="E725" s="1" t="s">
        <v>265</v>
      </c>
      <c r="F725" s="1">
        <v>190.0</v>
      </c>
      <c r="G725" s="5">
        <v>0.6444444444444445</v>
      </c>
      <c r="H725" s="1">
        <v>10.0</v>
      </c>
      <c r="I725" s="5">
        <v>0.6840277777777778</v>
      </c>
      <c r="J725" s="1" t="str">
        <f t="array" ref="J725">XLOOKUP(B725,cat!B:B,cat!C:C)</f>
        <v>D</v>
      </c>
      <c r="K725" s="1">
        <f t="array" ref="K725">XLOOKUP(B725,cat!B:B,cat!D:D)</f>
        <v>173</v>
      </c>
      <c r="L725" s="7">
        <f t="shared" si="1"/>
        <v>0.03958333333</v>
      </c>
      <c r="M725" s="1" t="str">
        <f t="shared" si="2"/>
        <v/>
      </c>
      <c r="P725" s="9"/>
      <c r="Q725" s="9">
        <f t="shared" si="3"/>
        <v>0</v>
      </c>
      <c r="R725" s="1" t="str">
        <f t="shared" si="4"/>
        <v>VLG</v>
      </c>
      <c r="S725" s="1" t="str">
        <f>IF($D725="LEBL", IF(COUNTIF('Paises ECAC'!B:B, C725)&gt;0, "ECAC","NO ECAC"), "")</f>
        <v/>
      </c>
    </row>
    <row r="726" ht="14.25" customHeight="1">
      <c r="A726" s="1" t="s">
        <v>1257</v>
      </c>
      <c r="B726" s="1" t="s">
        <v>35</v>
      </c>
      <c r="C726" s="1" t="s">
        <v>227</v>
      </c>
      <c r="D726" s="1" t="s">
        <v>21</v>
      </c>
      <c r="E726" s="1" t="s">
        <v>1258</v>
      </c>
      <c r="F726" s="1">
        <v>370.0</v>
      </c>
      <c r="G726" s="5">
        <v>0.5993055555555555</v>
      </c>
      <c r="H726" s="1">
        <v>14.0</v>
      </c>
      <c r="I726" s="5">
        <v>0.65625</v>
      </c>
      <c r="J726" s="1" t="str">
        <f t="array" ref="J726">XLOOKUP(B726,cat!B:B,cat!C:C)</f>
        <v>D</v>
      </c>
      <c r="K726" s="1">
        <f t="array" ref="K726">XLOOKUP(B726,cat!B:B,cat!D:D)</f>
        <v>207</v>
      </c>
      <c r="L726" s="7">
        <f t="shared" si="1"/>
        <v>0.05694444444</v>
      </c>
      <c r="M726" s="7">
        <f t="shared" si="2"/>
        <v>0.03451388889</v>
      </c>
      <c r="P726" s="9"/>
      <c r="Q726" s="9">
        <f t="shared" si="3"/>
        <v>687.5166667</v>
      </c>
      <c r="R726" s="1" t="str">
        <f t="shared" si="4"/>
        <v>DLH</v>
      </c>
      <c r="S726" s="1" t="str">
        <f>IF($D726="LEBL", IF(COUNTIF('Paises ECAC'!B:B, C726)&gt;0, "ECAC","NO ECAC"), "")</f>
        <v>ECAC</v>
      </c>
    </row>
    <row r="727" ht="14.25" customHeight="1">
      <c r="A727" s="1" t="s">
        <v>1259</v>
      </c>
      <c r="B727" s="1" t="s">
        <v>30</v>
      </c>
      <c r="C727" s="1" t="s">
        <v>221</v>
      </c>
      <c r="D727" s="1" t="s">
        <v>21</v>
      </c>
      <c r="E727" s="1" t="s">
        <v>323</v>
      </c>
      <c r="F727" s="1">
        <v>370.0</v>
      </c>
      <c r="G727" s="5">
        <v>0.5979166666666667</v>
      </c>
      <c r="H727" s="1">
        <v>20.0</v>
      </c>
      <c r="I727" s="5">
        <v>0.6597222222222222</v>
      </c>
      <c r="J727" s="1" t="str">
        <f t="array" ref="J727">XLOOKUP(B727,cat!B:B,cat!C:C)</f>
        <v>D</v>
      </c>
      <c r="K727" s="1">
        <f t="array" ref="K727">XLOOKUP(B727,cat!B:B,cat!D:D)</f>
        <v>173</v>
      </c>
      <c r="L727" s="7">
        <f t="shared" si="1"/>
        <v>0.06180555556</v>
      </c>
      <c r="M727" s="7">
        <f t="shared" si="2"/>
        <v>0.03520833333</v>
      </c>
      <c r="P727" s="9"/>
      <c r="Q727" s="9">
        <f t="shared" si="3"/>
        <v>701.35</v>
      </c>
      <c r="R727" s="1" t="str">
        <f t="shared" si="4"/>
        <v>VLG</v>
      </c>
      <c r="S727" s="1" t="str">
        <f>IF($D727="LEBL", IF(COUNTIF('Paises ECAC'!B:B, C727)&gt;0, "ECAC","NO ECAC"), "")</f>
        <v>ECAC</v>
      </c>
    </row>
    <row r="728" ht="14.25" customHeight="1">
      <c r="A728" s="1" t="s">
        <v>1260</v>
      </c>
      <c r="B728" s="1" t="s">
        <v>136</v>
      </c>
      <c r="C728" s="1" t="s">
        <v>646</v>
      </c>
      <c r="D728" s="1" t="s">
        <v>21</v>
      </c>
      <c r="E728" s="1" t="s">
        <v>238</v>
      </c>
      <c r="F728" s="1">
        <v>370.0</v>
      </c>
      <c r="G728" s="5">
        <v>0.5777777777777777</v>
      </c>
      <c r="H728" s="1">
        <v>7.0</v>
      </c>
      <c r="I728" s="5">
        <v>0.6597222222222222</v>
      </c>
      <c r="J728" s="1" t="str">
        <f t="array" ref="J728">XLOOKUP(B728,cat!B:B,cat!C:C)</f>
        <v>D</v>
      </c>
      <c r="K728" s="1">
        <f t="array" ref="K728">XLOOKUP(B728,cat!B:B,cat!D:D)</f>
        <v>144</v>
      </c>
      <c r="L728" s="7">
        <f t="shared" si="1"/>
        <v>0.08194444444</v>
      </c>
      <c r="M728" s="7">
        <f t="shared" si="2"/>
        <v>0.064375</v>
      </c>
      <c r="P728" s="9"/>
      <c r="Q728" s="9">
        <f t="shared" si="3"/>
        <v>1282.35</v>
      </c>
      <c r="R728" s="1" t="str">
        <f t="shared" si="4"/>
        <v>EJU</v>
      </c>
      <c r="S728" s="1" t="str">
        <f>IF($D728="LEBL", IF(COUNTIF('Paises ECAC'!B:B, C728)&gt;0, "ECAC","NO ECAC"), "")</f>
        <v>ECAC</v>
      </c>
    </row>
    <row r="729" ht="14.25" customHeight="1">
      <c r="A729" s="1" t="s">
        <v>1261</v>
      </c>
      <c r="B729" s="1" t="s">
        <v>443</v>
      </c>
      <c r="C729" s="1" t="s">
        <v>21</v>
      </c>
      <c r="D729" s="1" t="s">
        <v>169</v>
      </c>
      <c r="E729" s="1" t="s">
        <v>1131</v>
      </c>
      <c r="F729" s="1">
        <v>360.0</v>
      </c>
      <c r="G729" s="5">
        <v>0.6631944444444444</v>
      </c>
      <c r="H729" s="1">
        <v>12.0</v>
      </c>
      <c r="I729" s="5">
        <v>0.7326388888888888</v>
      </c>
      <c r="J729" s="1" t="str">
        <f t="array" ref="J729">XLOOKUP(B729,cat!B:B,cat!C:C)</f>
        <v>D</v>
      </c>
      <c r="K729" s="1">
        <f t="array" ref="K729">XLOOKUP(B729,cat!B:B,cat!D:D)</f>
        <v>183</v>
      </c>
      <c r="L729" s="7">
        <f t="shared" si="1"/>
        <v>0.06944444444</v>
      </c>
      <c r="M729" s="1" t="str">
        <f t="shared" si="2"/>
        <v/>
      </c>
      <c r="P729" s="9"/>
      <c r="Q729" s="9">
        <f t="shared" si="3"/>
        <v>0</v>
      </c>
      <c r="R729" s="1" t="str">
        <f t="shared" si="4"/>
        <v>KLM</v>
      </c>
      <c r="S729" s="1" t="str">
        <f>IF($D729="LEBL", IF(COUNTIF('Paises ECAC'!B:B, C729)&gt;0, "ECAC","NO ECAC"), "")</f>
        <v/>
      </c>
    </row>
    <row r="730" ht="14.25" customHeight="1">
      <c r="A730" s="1" t="s">
        <v>1262</v>
      </c>
      <c r="B730" s="1" t="s">
        <v>30</v>
      </c>
      <c r="C730" s="1" t="s">
        <v>158</v>
      </c>
      <c r="D730" s="1" t="s">
        <v>21</v>
      </c>
      <c r="E730" s="1" t="s">
        <v>71</v>
      </c>
      <c r="F730" s="1">
        <v>350.0</v>
      </c>
      <c r="G730" s="5">
        <v>0.6083333333333333</v>
      </c>
      <c r="H730" s="1">
        <v>11.0</v>
      </c>
      <c r="I730" s="5">
        <v>0.6597222222222222</v>
      </c>
      <c r="J730" s="1" t="str">
        <f t="array" ref="J730">XLOOKUP(B730,cat!B:B,cat!C:C)</f>
        <v>D</v>
      </c>
      <c r="K730" s="1">
        <f t="array" ref="K730">XLOOKUP(B730,cat!B:B,cat!D:D)</f>
        <v>173</v>
      </c>
      <c r="L730" s="7">
        <f t="shared" si="1"/>
        <v>0.05138888889</v>
      </c>
      <c r="M730" s="7">
        <f t="shared" si="2"/>
        <v>0.03104166667</v>
      </c>
      <c r="P730" s="9"/>
      <c r="Q730" s="9">
        <f t="shared" si="3"/>
        <v>618.35</v>
      </c>
      <c r="R730" s="1" t="str">
        <f t="shared" si="4"/>
        <v>VLG</v>
      </c>
      <c r="S730" s="1" t="str">
        <f>IF($D730="LEBL", IF(COUNTIF('Paises ECAC'!B:B, C730)&gt;0, "ECAC","NO ECAC"), "")</f>
        <v>ECAC</v>
      </c>
    </row>
    <row r="731" ht="14.25" customHeight="1">
      <c r="A731" s="1" t="s">
        <v>1263</v>
      </c>
      <c r="B731" s="1" t="s">
        <v>30</v>
      </c>
      <c r="C731" s="1" t="s">
        <v>21</v>
      </c>
      <c r="D731" s="1" t="s">
        <v>509</v>
      </c>
      <c r="E731" s="1" t="s">
        <v>1147</v>
      </c>
      <c r="F731" s="1">
        <v>340.0</v>
      </c>
      <c r="G731" s="5">
        <v>0.6659722222222222</v>
      </c>
      <c r="H731" s="1">
        <v>20.0</v>
      </c>
      <c r="I731" s="5">
        <v>0.7361111111111112</v>
      </c>
      <c r="J731" s="1" t="str">
        <f t="array" ref="J731">XLOOKUP(B731,cat!B:B,cat!C:C)</f>
        <v>D</v>
      </c>
      <c r="K731" s="1">
        <f t="array" ref="K731">XLOOKUP(B731,cat!B:B,cat!D:D)</f>
        <v>173</v>
      </c>
      <c r="L731" s="7">
        <f t="shared" si="1"/>
        <v>0.07013888889</v>
      </c>
      <c r="M731" s="1" t="str">
        <f t="shared" si="2"/>
        <v/>
      </c>
      <c r="P731" s="9"/>
      <c r="Q731" s="9">
        <f t="shared" si="3"/>
        <v>0</v>
      </c>
      <c r="R731" s="1" t="str">
        <f t="shared" si="4"/>
        <v>EWG</v>
      </c>
      <c r="S731" s="1" t="str">
        <f>IF($D731="LEBL", IF(COUNTIF('Paises ECAC'!B:B, C731)&gt;0, "ECAC","NO ECAC"), "")</f>
        <v/>
      </c>
    </row>
    <row r="732" ht="14.25" customHeight="1">
      <c r="A732" s="1" t="s">
        <v>1264</v>
      </c>
      <c r="B732" s="1" t="s">
        <v>35</v>
      </c>
      <c r="C732" s="1" t="s">
        <v>21</v>
      </c>
      <c r="D732" s="1" t="s">
        <v>646</v>
      </c>
      <c r="E732" s="1" t="s">
        <v>200</v>
      </c>
      <c r="F732" s="1">
        <v>350.0</v>
      </c>
      <c r="G732" s="5">
        <v>0.6666666666666666</v>
      </c>
      <c r="H732" s="1">
        <v>12.0</v>
      </c>
      <c r="I732" s="5">
        <v>0.7569444444444444</v>
      </c>
      <c r="J732" s="1" t="str">
        <f t="array" ref="J732">XLOOKUP(B732,cat!B:B,cat!C:C)</f>
        <v>D</v>
      </c>
      <c r="K732" s="1">
        <f t="array" ref="K732">XLOOKUP(B732,cat!B:B,cat!D:D)</f>
        <v>207</v>
      </c>
      <c r="L732" s="7">
        <f t="shared" si="1"/>
        <v>0.09027777778</v>
      </c>
      <c r="M732" s="1" t="str">
        <f t="shared" si="2"/>
        <v/>
      </c>
      <c r="P732" s="9"/>
      <c r="Q732" s="9">
        <f t="shared" si="3"/>
        <v>0</v>
      </c>
      <c r="R732" s="1" t="str">
        <f t="shared" si="4"/>
        <v>VLG</v>
      </c>
      <c r="S732" s="1" t="str">
        <f>IF($D732="LEBL", IF(COUNTIF('Paises ECAC'!B:B, C732)&gt;0, "ECAC","NO ECAC"), "")</f>
        <v/>
      </c>
    </row>
    <row r="733" ht="14.25" customHeight="1">
      <c r="A733" s="1" t="s">
        <v>1265</v>
      </c>
      <c r="B733" s="1" t="s">
        <v>19</v>
      </c>
      <c r="C733" s="1" t="s">
        <v>21</v>
      </c>
      <c r="D733" s="1" t="s">
        <v>377</v>
      </c>
      <c r="E733" s="1" t="s">
        <v>1108</v>
      </c>
      <c r="F733" s="1">
        <v>360.0</v>
      </c>
      <c r="G733" s="5">
        <v>0.6680555555555555</v>
      </c>
      <c r="H733" s="1">
        <v>20.0</v>
      </c>
      <c r="I733" s="5">
        <v>0.75</v>
      </c>
      <c r="J733" s="1" t="str">
        <f t="array" ref="J733">XLOOKUP(B733,cat!B:B,cat!C:C)</f>
        <v>D</v>
      </c>
      <c r="K733" s="1">
        <f t="array" ref="K733">XLOOKUP(B733,cat!B:B,cat!D:D)</f>
        <v>184</v>
      </c>
      <c r="L733" s="7">
        <f t="shared" si="1"/>
        <v>0.08194444444</v>
      </c>
      <c r="M733" s="1" t="str">
        <f t="shared" si="2"/>
        <v/>
      </c>
      <c r="P733" s="9"/>
      <c r="Q733" s="9">
        <f t="shared" si="3"/>
        <v>0</v>
      </c>
      <c r="R733" s="1" t="str">
        <f t="shared" si="4"/>
        <v>RYR</v>
      </c>
      <c r="S733" s="1" t="str">
        <f>IF($D733="LEBL", IF(COUNTIF('Paises ECAC'!B:B, C733)&gt;0, "ECAC","NO ECAC"), "")</f>
        <v/>
      </c>
    </row>
    <row r="734" ht="14.25" customHeight="1">
      <c r="A734" s="1" t="s">
        <v>1266</v>
      </c>
      <c r="B734" s="1" t="s">
        <v>35</v>
      </c>
      <c r="C734" s="1" t="s">
        <v>234</v>
      </c>
      <c r="D734" s="1" t="s">
        <v>21</v>
      </c>
      <c r="E734" s="1" t="s">
        <v>1267</v>
      </c>
      <c r="F734" s="1">
        <v>280.0</v>
      </c>
      <c r="G734" s="5">
        <v>0.6034722222222222</v>
      </c>
      <c r="H734" s="1">
        <v>16.0</v>
      </c>
      <c r="I734" s="5">
        <v>0.6631944444444444</v>
      </c>
      <c r="J734" s="1" t="str">
        <f t="array" ref="J734">XLOOKUP(B734,cat!B:B,cat!C:C)</f>
        <v>D</v>
      </c>
      <c r="K734" s="1">
        <f t="array" ref="K734">XLOOKUP(B734,cat!B:B,cat!D:D)</f>
        <v>207</v>
      </c>
      <c r="L734" s="7">
        <f t="shared" si="1"/>
        <v>0.05972222222</v>
      </c>
      <c r="M734" s="7">
        <f t="shared" si="2"/>
        <v>0.03590277778</v>
      </c>
      <c r="P734" s="9"/>
      <c r="Q734" s="9">
        <f t="shared" si="3"/>
        <v>715.1833333</v>
      </c>
      <c r="R734" s="1" t="str">
        <f t="shared" si="4"/>
        <v>IBE</v>
      </c>
      <c r="S734" s="1" t="str">
        <f>IF($D734="LEBL", IF(COUNTIF('Paises ECAC'!B:B, C734)&gt;0, "ECAC","NO ECAC"), "")</f>
        <v>ECAC</v>
      </c>
    </row>
    <row r="735" ht="14.25" customHeight="1">
      <c r="A735" s="1" t="s">
        <v>1268</v>
      </c>
      <c r="B735" s="1" t="s">
        <v>212</v>
      </c>
      <c r="C735" s="1" t="s">
        <v>444</v>
      </c>
      <c r="D735" s="1" t="s">
        <v>21</v>
      </c>
      <c r="E735" s="1" t="s">
        <v>1269</v>
      </c>
      <c r="F735" s="1">
        <v>350.0</v>
      </c>
      <c r="G735" s="5">
        <v>0.5076388888888889</v>
      </c>
      <c r="H735" s="1">
        <v>15.0</v>
      </c>
      <c r="I735" s="5">
        <v>0.6666666666666666</v>
      </c>
      <c r="J735" s="1" t="str">
        <f t="array" ref="J735">XLOOKUP(B735,cat!B:B,cat!C:C)</f>
        <v>D</v>
      </c>
      <c r="K735" s="1">
        <f t="array" ref="K735">XLOOKUP(B735,cat!B:B,cat!D:D)</f>
        <v>200</v>
      </c>
      <c r="L735" s="7">
        <f t="shared" si="1"/>
        <v>0.1590277778</v>
      </c>
      <c r="M735" s="7">
        <f t="shared" si="2"/>
        <v>0.1359027778</v>
      </c>
      <c r="P735" s="9"/>
      <c r="Q735" s="9">
        <f t="shared" si="3"/>
        <v>2707.183333</v>
      </c>
      <c r="R735" s="1" t="str">
        <f t="shared" si="4"/>
        <v>AIZ</v>
      </c>
      <c r="S735" s="1" t="str">
        <f>IF($D735="LEBL", IF(COUNTIF('Paises ECAC'!B:B, C735)&gt;0, "ECAC","NO ECAC"), "")</f>
        <v>NO ECAC</v>
      </c>
    </row>
    <row r="736" ht="14.25" customHeight="1">
      <c r="A736" s="1" t="s">
        <v>1270</v>
      </c>
      <c r="B736" s="1" t="s">
        <v>30</v>
      </c>
      <c r="C736" s="1" t="s">
        <v>21</v>
      </c>
      <c r="D736" s="1" t="s">
        <v>53</v>
      </c>
      <c r="E736" s="1" t="s">
        <v>252</v>
      </c>
      <c r="F736" s="1">
        <v>380.0</v>
      </c>
      <c r="G736" s="5">
        <v>0.6722222222222223</v>
      </c>
      <c r="H736" s="1">
        <v>11.0</v>
      </c>
      <c r="I736" s="5">
        <v>0.7534722222222222</v>
      </c>
      <c r="J736" s="1" t="str">
        <f t="array" ref="J736">XLOOKUP(B736,cat!B:B,cat!C:C)</f>
        <v>D</v>
      </c>
      <c r="K736" s="1">
        <f t="array" ref="K736">XLOOKUP(B736,cat!B:B,cat!D:D)</f>
        <v>173</v>
      </c>
      <c r="L736" s="7">
        <f t="shared" si="1"/>
        <v>0.08125</v>
      </c>
      <c r="M736" s="1" t="str">
        <f t="shared" si="2"/>
        <v/>
      </c>
      <c r="P736" s="9"/>
      <c r="Q736" s="9">
        <f t="shared" si="3"/>
        <v>0</v>
      </c>
      <c r="R736" s="1" t="str">
        <f t="shared" si="4"/>
        <v>VLG</v>
      </c>
      <c r="S736" s="1" t="str">
        <f>IF($D736="LEBL", IF(COUNTIF('Paises ECAC'!B:B, C736)&gt;0, "ECAC","NO ECAC"), "")</f>
        <v/>
      </c>
    </row>
    <row r="737" ht="14.25" customHeight="1">
      <c r="A737" s="1" t="s">
        <v>1271</v>
      </c>
      <c r="B737" s="1" t="s">
        <v>30</v>
      </c>
      <c r="C737" s="1" t="s">
        <v>21</v>
      </c>
      <c r="D737" s="1" t="s">
        <v>1272</v>
      </c>
      <c r="E737" s="1" t="s">
        <v>598</v>
      </c>
      <c r="F737" s="1">
        <v>340.0</v>
      </c>
      <c r="G737" s="5">
        <v>0.6756944444444445</v>
      </c>
      <c r="H737" s="1">
        <v>11.0</v>
      </c>
      <c r="I737" s="5">
        <v>0.7118055555555556</v>
      </c>
      <c r="J737" s="1" t="str">
        <f t="array" ref="J737">XLOOKUP(B737,cat!B:B,cat!C:C)</f>
        <v>D</v>
      </c>
      <c r="K737" s="1">
        <f t="array" ref="K737">XLOOKUP(B737,cat!B:B,cat!D:D)</f>
        <v>173</v>
      </c>
      <c r="L737" s="7">
        <f t="shared" si="1"/>
        <v>0.03611111111</v>
      </c>
      <c r="M737" s="1" t="str">
        <f t="shared" si="2"/>
        <v/>
      </c>
      <c r="P737" s="9"/>
      <c r="Q737" s="9">
        <f t="shared" si="3"/>
        <v>0</v>
      </c>
      <c r="R737" s="1" t="str">
        <f t="shared" si="4"/>
        <v>VLG</v>
      </c>
      <c r="S737" s="1" t="str">
        <f>IF($D737="LEBL", IF(COUNTIF('Paises ECAC'!B:B, C737)&gt;0, "ECAC","NO ECAC"), "")</f>
        <v/>
      </c>
    </row>
    <row r="738" ht="14.25" customHeight="1">
      <c r="A738" s="1" t="s">
        <v>1273</v>
      </c>
      <c r="B738" s="1" t="s">
        <v>35</v>
      </c>
      <c r="C738" s="1" t="s">
        <v>143</v>
      </c>
      <c r="D738" s="1" t="s">
        <v>21</v>
      </c>
      <c r="E738" s="1" t="s">
        <v>269</v>
      </c>
      <c r="F738" s="1">
        <v>180.0</v>
      </c>
      <c r="G738" s="5">
        <v>0.6590277777777778</v>
      </c>
      <c r="H738" s="1">
        <v>10.0</v>
      </c>
      <c r="I738" s="5">
        <v>0.6736111111111112</v>
      </c>
      <c r="J738" s="1" t="str">
        <f t="array" ref="J738">XLOOKUP(B738,cat!B:B,cat!C:C)</f>
        <v>D</v>
      </c>
      <c r="K738" s="1">
        <f t="array" ref="K738">XLOOKUP(B738,cat!B:B,cat!D:D)</f>
        <v>207</v>
      </c>
      <c r="L738" s="7">
        <f t="shared" si="1"/>
        <v>0.01458333333</v>
      </c>
      <c r="M738" s="7">
        <f t="shared" si="2"/>
        <v>0.007638888889</v>
      </c>
      <c r="P738" s="9"/>
      <c r="Q738" s="9">
        <f t="shared" si="3"/>
        <v>152.1666667</v>
      </c>
      <c r="R738" s="1" t="str">
        <f t="shared" si="4"/>
        <v>VLG</v>
      </c>
      <c r="S738" s="1" t="str">
        <f>IF($D738="LEBL", IF(COUNTIF('Paises ECAC'!B:B, C738)&gt;0, "ECAC","NO ECAC"), "")</f>
        <v>ECAC</v>
      </c>
    </row>
    <row r="739" ht="14.25" customHeight="1">
      <c r="A739" s="1" t="s">
        <v>1274</v>
      </c>
      <c r="B739" s="1" t="s">
        <v>35</v>
      </c>
      <c r="C739" s="1" t="s">
        <v>21</v>
      </c>
      <c r="D739" s="1" t="s">
        <v>1012</v>
      </c>
      <c r="E739" s="1" t="s">
        <v>254</v>
      </c>
      <c r="F739" s="1">
        <v>350.0</v>
      </c>
      <c r="G739" s="5">
        <v>0.6743055555555556</v>
      </c>
      <c r="H739" s="1">
        <v>13.0</v>
      </c>
      <c r="I739" s="5">
        <v>0.8298611111111112</v>
      </c>
      <c r="J739" s="1" t="str">
        <f t="array" ref="J739">XLOOKUP(B739,cat!B:B,cat!C:C)</f>
        <v>D</v>
      </c>
      <c r="K739" s="1">
        <f t="array" ref="K739">XLOOKUP(B739,cat!B:B,cat!D:D)</f>
        <v>207</v>
      </c>
      <c r="L739" s="7">
        <f t="shared" si="1"/>
        <v>0.1555555556</v>
      </c>
      <c r="M739" s="1" t="str">
        <f t="shared" si="2"/>
        <v/>
      </c>
      <c r="P739" s="9"/>
      <c r="Q739" s="9">
        <f t="shared" si="3"/>
        <v>0</v>
      </c>
      <c r="R739" s="1" t="str">
        <f t="shared" si="4"/>
        <v>VLG</v>
      </c>
      <c r="S739" s="1" t="str">
        <f>IF($D739="LEBL", IF(COUNTIF('Paises ECAC'!B:B, C739)&gt;0, "ECAC","NO ECAC"), "")</f>
        <v/>
      </c>
    </row>
    <row r="740" ht="14.25" customHeight="1">
      <c r="A740" s="1" t="s">
        <v>1275</v>
      </c>
      <c r="B740" s="1" t="s">
        <v>35</v>
      </c>
      <c r="C740" s="1" t="s">
        <v>116</v>
      </c>
      <c r="D740" s="1" t="s">
        <v>21</v>
      </c>
      <c r="E740" s="1" t="s">
        <v>658</v>
      </c>
      <c r="F740" s="1">
        <v>370.0</v>
      </c>
      <c r="G740" s="5">
        <v>0.6215277777777778</v>
      </c>
      <c r="H740" s="1">
        <v>15.0</v>
      </c>
      <c r="I740" s="5">
        <v>0.6736111111111112</v>
      </c>
      <c r="J740" s="1" t="str">
        <f t="array" ref="J740">XLOOKUP(B740,cat!B:B,cat!C:C)</f>
        <v>D</v>
      </c>
      <c r="K740" s="1">
        <f t="array" ref="K740">XLOOKUP(B740,cat!B:B,cat!D:D)</f>
        <v>207</v>
      </c>
      <c r="L740" s="7">
        <f t="shared" si="1"/>
        <v>0.05208333333</v>
      </c>
      <c r="M740" s="7">
        <f t="shared" si="2"/>
        <v>0.02895833333</v>
      </c>
      <c r="P740" s="9"/>
      <c r="Q740" s="9">
        <f t="shared" si="3"/>
        <v>576.85</v>
      </c>
      <c r="R740" s="1" t="str">
        <f t="shared" si="4"/>
        <v>AFR</v>
      </c>
      <c r="S740" s="1" t="str">
        <f>IF($D740="LEBL", IF(COUNTIF('Paises ECAC'!B:B, C740)&gt;0, "ECAC","NO ECAC"), "")</f>
        <v>ECAC</v>
      </c>
    </row>
    <row r="741" ht="14.25" customHeight="1">
      <c r="A741" s="1" t="s">
        <v>1276</v>
      </c>
      <c r="B741" s="1" t="s">
        <v>19</v>
      </c>
      <c r="C741" s="1" t="s">
        <v>21</v>
      </c>
      <c r="D741" s="1" t="s">
        <v>140</v>
      </c>
      <c r="E741" s="1" t="s">
        <v>1181</v>
      </c>
      <c r="F741" s="1">
        <v>360.0</v>
      </c>
      <c r="G741" s="5">
        <v>0.6770833333333334</v>
      </c>
      <c r="H741" s="1">
        <v>20.0</v>
      </c>
      <c r="I741" s="5">
        <v>0.7256944444444444</v>
      </c>
      <c r="J741" s="1" t="str">
        <f t="array" ref="J741">XLOOKUP(B741,cat!B:B,cat!C:C)</f>
        <v>D</v>
      </c>
      <c r="K741" s="1">
        <f t="array" ref="K741">XLOOKUP(B741,cat!B:B,cat!D:D)</f>
        <v>184</v>
      </c>
      <c r="L741" s="7">
        <f t="shared" si="1"/>
        <v>0.04861111111</v>
      </c>
      <c r="M741" s="1" t="str">
        <f t="shared" si="2"/>
        <v/>
      </c>
      <c r="P741" s="9"/>
      <c r="Q741" s="9">
        <f t="shared" si="3"/>
        <v>0</v>
      </c>
      <c r="R741" s="1" t="str">
        <f t="shared" si="4"/>
        <v>RYR</v>
      </c>
      <c r="S741" s="1" t="str">
        <f>IF($D741="LEBL", IF(COUNTIF('Paises ECAC'!B:B, C741)&gt;0, "ECAC","NO ECAC"), "")</f>
        <v/>
      </c>
    </row>
    <row r="742" ht="14.25" customHeight="1">
      <c r="A742" s="1" t="s">
        <v>1277</v>
      </c>
      <c r="B742" s="1" t="s">
        <v>19</v>
      </c>
      <c r="C742" s="1" t="s">
        <v>156</v>
      </c>
      <c r="D742" s="1" t="s">
        <v>21</v>
      </c>
      <c r="E742" s="1" t="s">
        <v>313</v>
      </c>
      <c r="F742" s="1">
        <v>180.0</v>
      </c>
      <c r="G742" s="5">
        <v>0.6555555555555556</v>
      </c>
      <c r="H742" s="1">
        <v>17.0</v>
      </c>
      <c r="I742" s="5">
        <v>0.6736111111111112</v>
      </c>
      <c r="J742" s="1" t="str">
        <f t="array" ref="J742">XLOOKUP(B742,cat!B:B,cat!C:C)</f>
        <v>D</v>
      </c>
      <c r="K742" s="1">
        <f t="array" ref="K742">XLOOKUP(B742,cat!B:B,cat!D:D)</f>
        <v>184</v>
      </c>
      <c r="L742" s="7">
        <f t="shared" si="1"/>
        <v>0.01805555556</v>
      </c>
      <c r="M742" s="7">
        <f t="shared" si="2"/>
        <v>0.00625</v>
      </c>
      <c r="P742" s="9"/>
      <c r="Q742" s="9">
        <f t="shared" si="3"/>
        <v>124.5</v>
      </c>
      <c r="R742" s="1" t="str">
        <f t="shared" si="4"/>
        <v>AEA</v>
      </c>
      <c r="S742" s="1" t="str">
        <f>IF($D742="LEBL", IF(COUNTIF('Paises ECAC'!B:B, C742)&gt;0, "ECAC","NO ECAC"), "")</f>
        <v>ECAC</v>
      </c>
    </row>
    <row r="743" ht="14.25" customHeight="1">
      <c r="A743" s="1" t="s">
        <v>1278</v>
      </c>
      <c r="B743" s="1" t="s">
        <v>30</v>
      </c>
      <c r="C743" s="1" t="s">
        <v>21</v>
      </c>
      <c r="D743" s="1" t="s">
        <v>509</v>
      </c>
      <c r="E743" s="1" t="s">
        <v>114</v>
      </c>
      <c r="F743" s="1">
        <v>360.0</v>
      </c>
      <c r="G743" s="5">
        <v>0.6798611111111111</v>
      </c>
      <c r="H743" s="1">
        <v>11.0</v>
      </c>
      <c r="I743" s="5">
        <v>0.7534722222222222</v>
      </c>
      <c r="J743" s="1" t="str">
        <f t="array" ref="J743">XLOOKUP(B743,cat!B:B,cat!C:C)</f>
        <v>D</v>
      </c>
      <c r="K743" s="1">
        <f t="array" ref="K743">XLOOKUP(B743,cat!B:B,cat!D:D)</f>
        <v>173</v>
      </c>
      <c r="L743" s="7">
        <f t="shared" si="1"/>
        <v>0.07361111111</v>
      </c>
      <c r="M743" s="1" t="str">
        <f t="shared" si="2"/>
        <v/>
      </c>
      <c r="P743" s="9"/>
      <c r="Q743" s="9">
        <f t="shared" si="3"/>
        <v>0</v>
      </c>
      <c r="R743" s="1" t="str">
        <f t="shared" si="4"/>
        <v>VLG</v>
      </c>
      <c r="S743" s="1" t="str">
        <f>IF($D743="LEBL", IF(COUNTIF('Paises ECAC'!B:B, C743)&gt;0, "ECAC","NO ECAC"), "")</f>
        <v/>
      </c>
    </row>
    <row r="744" ht="14.25" customHeight="1">
      <c r="A744" s="1" t="s">
        <v>1279</v>
      </c>
      <c r="B744" s="1" t="s">
        <v>25</v>
      </c>
      <c r="C744" s="1" t="s">
        <v>240</v>
      </c>
      <c r="D744" s="1" t="s">
        <v>21</v>
      </c>
      <c r="E744" s="1" t="s">
        <v>1280</v>
      </c>
      <c r="F744" s="1">
        <v>390.0</v>
      </c>
      <c r="G744" s="5">
        <v>0.5486111111111112</v>
      </c>
      <c r="H744" s="1">
        <v>15.0</v>
      </c>
      <c r="I744" s="5">
        <v>0.6770833333333334</v>
      </c>
      <c r="J744" s="1" t="str">
        <f t="array" ref="J744">XLOOKUP(B744,cat!B:B,cat!C:C)</f>
        <v>D</v>
      </c>
      <c r="K744" s="1">
        <f t="array" ref="K744">XLOOKUP(B744,cat!B:B,cat!D:D)</f>
        <v>180</v>
      </c>
      <c r="L744" s="7">
        <f t="shared" si="1"/>
        <v>0.1284722222</v>
      </c>
      <c r="M744" s="7">
        <f t="shared" si="2"/>
        <v>0.1053472222</v>
      </c>
      <c r="P744" s="9"/>
      <c r="Q744" s="9">
        <f t="shared" si="3"/>
        <v>2098.516667</v>
      </c>
      <c r="R744" s="1" t="str">
        <f t="shared" si="4"/>
        <v>SAS</v>
      </c>
      <c r="S744" s="1" t="str">
        <f>IF($D744="LEBL", IF(COUNTIF('Paises ECAC'!B:B, C744)&gt;0, "ECAC","NO ECAC"), "")</f>
        <v>ECAC</v>
      </c>
    </row>
    <row r="745" ht="14.25" customHeight="1">
      <c r="A745" s="1" t="s">
        <v>1281</v>
      </c>
      <c r="B745" s="1" t="s">
        <v>30</v>
      </c>
      <c r="C745" s="1" t="s">
        <v>301</v>
      </c>
      <c r="D745" s="1" t="s">
        <v>21</v>
      </c>
      <c r="E745" s="1" t="s">
        <v>83</v>
      </c>
      <c r="F745" s="1">
        <v>360.0</v>
      </c>
      <c r="G745" s="5">
        <v>0.5576388888888889</v>
      </c>
      <c r="H745" s="1">
        <v>10.0</v>
      </c>
      <c r="I745" s="5">
        <v>0.6770833333333334</v>
      </c>
      <c r="J745" s="1" t="str">
        <f t="array" ref="J745">XLOOKUP(B745,cat!B:B,cat!C:C)</f>
        <v>D</v>
      </c>
      <c r="K745" s="1">
        <f t="array" ref="K745">XLOOKUP(B745,cat!B:B,cat!D:D)</f>
        <v>173</v>
      </c>
      <c r="L745" s="7">
        <f t="shared" si="1"/>
        <v>0.1194444444</v>
      </c>
      <c r="M745" s="7">
        <f t="shared" si="2"/>
        <v>0.09979166667</v>
      </c>
      <c r="P745" s="9"/>
      <c r="Q745" s="9">
        <f t="shared" si="3"/>
        <v>1987.85</v>
      </c>
      <c r="R745" s="1" t="str">
        <f t="shared" si="4"/>
        <v>VLG</v>
      </c>
      <c r="S745" s="1" t="str">
        <f>IF($D745="LEBL", IF(COUNTIF('Paises ECAC'!B:B, C745)&gt;0, "ECAC","NO ECAC"), "")</f>
        <v>ECAC</v>
      </c>
    </row>
    <row r="746" ht="14.25" customHeight="1">
      <c r="A746" s="1" t="s">
        <v>1282</v>
      </c>
      <c r="B746" s="1" t="s">
        <v>30</v>
      </c>
      <c r="C746" s="1" t="s">
        <v>21</v>
      </c>
      <c r="D746" s="1" t="s">
        <v>245</v>
      </c>
      <c r="E746" s="1" t="s">
        <v>1219</v>
      </c>
      <c r="F746" s="1">
        <v>190.0</v>
      </c>
      <c r="G746" s="5">
        <v>0.6791666666666667</v>
      </c>
      <c r="H746" s="1">
        <v>11.0</v>
      </c>
      <c r="I746" s="5">
        <v>0.7048611111111112</v>
      </c>
      <c r="J746" s="1" t="str">
        <f t="array" ref="J746">XLOOKUP(B746,cat!B:B,cat!C:C)</f>
        <v>D</v>
      </c>
      <c r="K746" s="1">
        <f t="array" ref="K746">XLOOKUP(B746,cat!B:B,cat!D:D)</f>
        <v>173</v>
      </c>
      <c r="L746" s="7">
        <f t="shared" si="1"/>
        <v>0.02569444444</v>
      </c>
      <c r="M746" s="1" t="str">
        <f t="shared" si="2"/>
        <v/>
      </c>
      <c r="P746" s="9"/>
      <c r="Q746" s="9">
        <f t="shared" si="3"/>
        <v>0</v>
      </c>
      <c r="R746" s="1" t="str">
        <f t="shared" si="4"/>
        <v>VLG</v>
      </c>
      <c r="S746" s="1" t="str">
        <f>IF($D746="LEBL", IF(COUNTIF('Paises ECAC'!B:B, C746)&gt;0, "ECAC","NO ECAC"), "")</f>
        <v/>
      </c>
    </row>
    <row r="747" ht="14.25" customHeight="1">
      <c r="A747" s="1" t="s">
        <v>1283</v>
      </c>
      <c r="B747" s="1" t="s">
        <v>212</v>
      </c>
      <c r="C747" s="1" t="s">
        <v>274</v>
      </c>
      <c r="D747" s="1" t="s">
        <v>21</v>
      </c>
      <c r="E747" s="1" t="s">
        <v>1284</v>
      </c>
      <c r="F747" s="1">
        <v>370.0</v>
      </c>
      <c r="G747" s="5">
        <v>0.6111111111111112</v>
      </c>
      <c r="H747" s="1">
        <v>25.0</v>
      </c>
      <c r="I747" s="5">
        <v>0.6805555555555556</v>
      </c>
      <c r="J747" s="1" t="str">
        <f t="array" ref="J747">XLOOKUP(B747,cat!B:B,cat!C:C)</f>
        <v>D</v>
      </c>
      <c r="K747" s="1">
        <f t="array" ref="K747">XLOOKUP(B747,cat!B:B,cat!D:D)</f>
        <v>200</v>
      </c>
      <c r="L747" s="7">
        <f t="shared" si="1"/>
        <v>0.06944444444</v>
      </c>
      <c r="M747" s="7">
        <f t="shared" si="2"/>
        <v>0.039375</v>
      </c>
      <c r="P747" s="9"/>
      <c r="Q747" s="9">
        <f t="shared" si="3"/>
        <v>784.35</v>
      </c>
      <c r="R747" s="1" t="str">
        <f t="shared" si="4"/>
        <v>BAW</v>
      </c>
      <c r="S747" s="1" t="str">
        <f>IF($D747="LEBL", IF(COUNTIF('Paises ECAC'!B:B, C747)&gt;0, "ECAC","NO ECAC"), "")</f>
        <v>ECAC</v>
      </c>
    </row>
    <row r="748" ht="14.25" customHeight="1">
      <c r="A748" s="1" t="s">
        <v>1285</v>
      </c>
      <c r="B748" s="1" t="s">
        <v>19</v>
      </c>
      <c r="C748" s="1" t="s">
        <v>1286</v>
      </c>
      <c r="D748" s="1" t="s">
        <v>21</v>
      </c>
      <c r="E748" s="1" t="s">
        <v>1287</v>
      </c>
      <c r="F748" s="1">
        <v>370.0</v>
      </c>
      <c r="G748" s="5">
        <v>0.6041666666666666</v>
      </c>
      <c r="H748" s="1">
        <v>15.0</v>
      </c>
      <c r="I748" s="5">
        <v>0.6805555555555556</v>
      </c>
      <c r="J748" s="1" t="str">
        <f t="array" ref="J748">XLOOKUP(B748,cat!B:B,cat!C:C)</f>
        <v>D</v>
      </c>
      <c r="K748" s="1">
        <f t="array" ref="K748">XLOOKUP(B748,cat!B:B,cat!D:D)</f>
        <v>184</v>
      </c>
      <c r="L748" s="7">
        <f t="shared" si="1"/>
        <v>0.07638888889</v>
      </c>
      <c r="M748" s="7">
        <f t="shared" si="2"/>
        <v>0.05326388889</v>
      </c>
      <c r="P748" s="9"/>
      <c r="Q748" s="9">
        <f t="shared" si="3"/>
        <v>1061.016667</v>
      </c>
      <c r="R748" s="1" t="str">
        <f t="shared" si="4"/>
        <v>RYR</v>
      </c>
      <c r="S748" s="1" t="str">
        <f>IF($D748="LEBL", IF(COUNTIF('Paises ECAC'!B:B, C748)&gt;0, "ECAC","NO ECAC"), "")</f>
        <v>ECAC</v>
      </c>
    </row>
    <row r="749" ht="14.25" customHeight="1">
      <c r="A749" s="1" t="s">
        <v>1288</v>
      </c>
      <c r="B749" s="1" t="s">
        <v>30</v>
      </c>
      <c r="C749" s="1" t="s">
        <v>21</v>
      </c>
      <c r="D749" s="1" t="s">
        <v>444</v>
      </c>
      <c r="E749" s="1" t="s">
        <v>1193</v>
      </c>
      <c r="F749" s="1">
        <v>350.0</v>
      </c>
      <c r="G749" s="5">
        <v>0.6833333333333333</v>
      </c>
      <c r="H749" s="1">
        <v>20.0</v>
      </c>
      <c r="I749" s="5">
        <v>0.8368055555555556</v>
      </c>
      <c r="J749" s="1" t="str">
        <f t="array" ref="J749">XLOOKUP(B749,cat!B:B,cat!C:C)</f>
        <v>D</v>
      </c>
      <c r="K749" s="1">
        <f t="array" ref="K749">XLOOKUP(B749,cat!B:B,cat!D:D)</f>
        <v>173</v>
      </c>
      <c r="L749" s="7">
        <f t="shared" si="1"/>
        <v>0.1534722222</v>
      </c>
      <c r="M749" s="1" t="str">
        <f t="shared" si="2"/>
        <v/>
      </c>
      <c r="P749" s="9"/>
      <c r="Q749" s="9">
        <f t="shared" si="3"/>
        <v>0</v>
      </c>
      <c r="R749" s="1" t="str">
        <f t="shared" si="4"/>
        <v>BBG</v>
      </c>
      <c r="S749" s="1" t="str">
        <f>IF($D749="LEBL", IF(COUNTIF('Paises ECAC'!B:B, C749)&gt;0, "ECAC","NO ECAC"), "")</f>
        <v/>
      </c>
    </row>
    <row r="750" ht="14.25" customHeight="1">
      <c r="A750" s="1" t="s">
        <v>1289</v>
      </c>
      <c r="B750" s="1" t="s">
        <v>25</v>
      </c>
      <c r="C750" s="1" t="s">
        <v>169</v>
      </c>
      <c r="D750" s="1" t="s">
        <v>21</v>
      </c>
      <c r="E750" s="1" t="s">
        <v>89</v>
      </c>
      <c r="F750" s="1">
        <v>390.0</v>
      </c>
      <c r="G750" s="5">
        <v>0.6104166666666667</v>
      </c>
      <c r="H750" s="1">
        <v>15.0</v>
      </c>
      <c r="I750" s="5">
        <v>0.6805555555555556</v>
      </c>
      <c r="J750" s="1" t="str">
        <f t="array" ref="J750">XLOOKUP(B750,cat!B:B,cat!C:C)</f>
        <v>D</v>
      </c>
      <c r="K750" s="1">
        <f t="array" ref="K750">XLOOKUP(B750,cat!B:B,cat!D:D)</f>
        <v>180</v>
      </c>
      <c r="L750" s="7">
        <f t="shared" si="1"/>
        <v>0.07013888889</v>
      </c>
      <c r="M750" s="7">
        <f t="shared" si="2"/>
        <v>0.04701388889</v>
      </c>
      <c r="P750" s="9"/>
      <c r="Q750" s="9">
        <f t="shared" si="3"/>
        <v>936.5166667</v>
      </c>
      <c r="R750" s="1" t="str">
        <f t="shared" si="4"/>
        <v>VLG</v>
      </c>
      <c r="S750" s="1" t="str">
        <f>IF($D750="LEBL", IF(COUNTIF('Paises ECAC'!B:B, C750)&gt;0, "ECAC","NO ECAC"), "")</f>
        <v>ECAC</v>
      </c>
    </row>
    <row r="751" ht="14.25" customHeight="1">
      <c r="A751" s="1" t="s">
        <v>1290</v>
      </c>
      <c r="B751" s="1" t="s">
        <v>35</v>
      </c>
      <c r="C751" s="1" t="s">
        <v>21</v>
      </c>
      <c r="D751" s="1" t="s">
        <v>88</v>
      </c>
      <c r="E751" s="1" t="s">
        <v>246</v>
      </c>
      <c r="F751" s="1">
        <v>350.0</v>
      </c>
      <c r="G751" s="5">
        <v>0.68125</v>
      </c>
      <c r="H751" s="1">
        <v>11.0</v>
      </c>
      <c r="I751" s="5">
        <v>0.7847222222222222</v>
      </c>
      <c r="J751" s="1" t="str">
        <f t="array" ref="J751">XLOOKUP(B751,cat!B:B,cat!C:C)</f>
        <v>D</v>
      </c>
      <c r="K751" s="1">
        <f t="array" ref="K751">XLOOKUP(B751,cat!B:B,cat!D:D)</f>
        <v>207</v>
      </c>
      <c r="L751" s="7">
        <f t="shared" si="1"/>
        <v>0.1034722222</v>
      </c>
      <c r="M751" s="1" t="str">
        <f t="shared" si="2"/>
        <v/>
      </c>
      <c r="P751" s="9"/>
      <c r="Q751" s="9">
        <f t="shared" si="3"/>
        <v>0</v>
      </c>
      <c r="R751" s="1" t="str">
        <f t="shared" si="4"/>
        <v>VLG</v>
      </c>
      <c r="S751" s="1" t="str">
        <f>IF($D751="LEBL", IF(COUNTIF('Paises ECAC'!B:B, C751)&gt;0, "ECAC","NO ECAC"), "")</f>
        <v/>
      </c>
    </row>
    <row r="752" ht="14.25" customHeight="1">
      <c r="A752" s="1" t="s">
        <v>1291</v>
      </c>
      <c r="B752" s="1" t="s">
        <v>19</v>
      </c>
      <c r="C752" s="1" t="s">
        <v>271</v>
      </c>
      <c r="D752" s="1" t="s">
        <v>21</v>
      </c>
      <c r="E752" s="1" t="s">
        <v>797</v>
      </c>
      <c r="F752" s="1">
        <v>350.0</v>
      </c>
      <c r="G752" s="5">
        <v>0.6138888888888889</v>
      </c>
      <c r="H752" s="1">
        <v>14.0</v>
      </c>
      <c r="I752" s="5">
        <v>0.6840277777777778</v>
      </c>
      <c r="J752" s="1" t="str">
        <f t="array" ref="J752">XLOOKUP(B752,cat!B:B,cat!C:C)</f>
        <v>D</v>
      </c>
      <c r="K752" s="1">
        <f t="array" ref="K752">XLOOKUP(B752,cat!B:B,cat!D:D)</f>
        <v>184</v>
      </c>
      <c r="L752" s="7">
        <f t="shared" si="1"/>
        <v>0.07013888889</v>
      </c>
      <c r="M752" s="7">
        <f t="shared" si="2"/>
        <v>0.04770833333</v>
      </c>
      <c r="P752" s="9"/>
      <c r="Q752" s="9">
        <f t="shared" si="3"/>
        <v>950.35</v>
      </c>
      <c r="R752" s="1" t="str">
        <f t="shared" si="4"/>
        <v>RYR</v>
      </c>
      <c r="S752" s="1" t="str">
        <f>IF($D752="LEBL", IF(COUNTIF('Paises ECAC'!B:B, C752)&gt;0, "ECAC","NO ECAC"), "")</f>
        <v>ECAC</v>
      </c>
    </row>
    <row r="753" ht="14.25" customHeight="1">
      <c r="A753" s="1" t="s">
        <v>1292</v>
      </c>
      <c r="B753" s="1" t="s">
        <v>19</v>
      </c>
      <c r="C753" s="1" t="s">
        <v>646</v>
      </c>
      <c r="D753" s="1" t="s">
        <v>21</v>
      </c>
      <c r="E753" s="1" t="s">
        <v>1293</v>
      </c>
      <c r="F753" s="1">
        <v>370.0</v>
      </c>
      <c r="G753" s="5">
        <v>0.6</v>
      </c>
      <c r="H753" s="1">
        <v>9.0</v>
      </c>
      <c r="I753" s="5">
        <v>0.6840277777777778</v>
      </c>
      <c r="J753" s="1" t="str">
        <f t="array" ref="J753">XLOOKUP(B753,cat!B:B,cat!C:C)</f>
        <v>D</v>
      </c>
      <c r="K753" s="1">
        <f t="array" ref="K753">XLOOKUP(B753,cat!B:B,cat!D:D)</f>
        <v>184</v>
      </c>
      <c r="L753" s="7">
        <f t="shared" si="1"/>
        <v>0.08402777778</v>
      </c>
      <c r="M753" s="7">
        <f t="shared" si="2"/>
        <v>0.06506944444</v>
      </c>
      <c r="P753" s="9"/>
      <c r="Q753" s="9">
        <f t="shared" si="3"/>
        <v>1296.183333</v>
      </c>
      <c r="R753" s="1" t="str">
        <f t="shared" si="4"/>
        <v>RYR</v>
      </c>
      <c r="S753" s="1" t="str">
        <f>IF($D753="LEBL", IF(COUNTIF('Paises ECAC'!B:B, C753)&gt;0, "ECAC","NO ECAC"), "")</f>
        <v>ECAC</v>
      </c>
    </row>
    <row r="754" ht="14.25" customHeight="1">
      <c r="A754" s="1" t="s">
        <v>1294</v>
      </c>
      <c r="B754" s="1" t="s">
        <v>136</v>
      </c>
      <c r="C754" s="1" t="s">
        <v>143</v>
      </c>
      <c r="D754" s="1" t="s">
        <v>21</v>
      </c>
      <c r="E754" s="1" t="s">
        <v>370</v>
      </c>
      <c r="F754" s="1">
        <v>180.0</v>
      </c>
      <c r="G754" s="5">
        <v>0.6576388888888889</v>
      </c>
      <c r="H754" s="1">
        <v>10.0</v>
      </c>
      <c r="I754" s="5">
        <v>0.6840277777777778</v>
      </c>
      <c r="J754" s="1" t="str">
        <f t="array" ref="J754">XLOOKUP(B754,cat!B:B,cat!C:C)</f>
        <v>D</v>
      </c>
      <c r="K754" s="1">
        <f t="array" ref="K754">XLOOKUP(B754,cat!B:B,cat!D:D)</f>
        <v>144</v>
      </c>
      <c r="L754" s="7">
        <f t="shared" si="1"/>
        <v>0.02638888889</v>
      </c>
      <c r="M754" s="7">
        <f t="shared" si="2"/>
        <v>0.006736111111</v>
      </c>
      <c r="P754" s="9"/>
      <c r="Q754" s="9">
        <f t="shared" si="3"/>
        <v>134.1833333</v>
      </c>
      <c r="R754" s="1" t="str">
        <f t="shared" si="4"/>
        <v>VLG</v>
      </c>
      <c r="S754" s="1" t="str">
        <f>IF($D754="LEBL", IF(COUNTIF('Paises ECAC'!B:B, C754)&gt;0, "ECAC","NO ECAC"), "")</f>
        <v>ECAC</v>
      </c>
    </row>
    <row r="755" ht="14.25" customHeight="1">
      <c r="A755" s="1" t="s">
        <v>1295</v>
      </c>
      <c r="B755" s="1" t="s">
        <v>136</v>
      </c>
      <c r="C755" s="1" t="s">
        <v>682</v>
      </c>
      <c r="D755" s="1" t="s">
        <v>21</v>
      </c>
      <c r="E755" s="1" t="s">
        <v>138</v>
      </c>
      <c r="F755" s="1">
        <v>290.0</v>
      </c>
      <c r="G755" s="5">
        <v>0.6458333333333334</v>
      </c>
      <c r="H755" s="1">
        <v>12.0</v>
      </c>
      <c r="I755" s="5">
        <v>0.6840277777777778</v>
      </c>
      <c r="J755" s="1" t="str">
        <f t="array" ref="J755">XLOOKUP(B755,cat!B:B,cat!C:C)</f>
        <v>D</v>
      </c>
      <c r="K755" s="1">
        <f t="array" ref="K755">XLOOKUP(B755,cat!B:B,cat!D:D)</f>
        <v>144</v>
      </c>
      <c r="L755" s="7">
        <f t="shared" si="1"/>
        <v>0.03819444444</v>
      </c>
      <c r="M755" s="7">
        <f t="shared" si="2"/>
        <v>0.01715277778</v>
      </c>
      <c r="P755" s="9"/>
      <c r="Q755" s="9">
        <f t="shared" si="3"/>
        <v>341.6833333</v>
      </c>
      <c r="R755" s="1" t="str">
        <f t="shared" si="4"/>
        <v>EJU</v>
      </c>
      <c r="S755" s="1" t="str">
        <f>IF($D755="LEBL", IF(COUNTIF('Paises ECAC'!B:B, C755)&gt;0, "ECAC","NO ECAC"), "")</f>
        <v>ECAC</v>
      </c>
    </row>
    <row r="756" ht="14.25" customHeight="1">
      <c r="A756" s="1" t="s">
        <v>1296</v>
      </c>
      <c r="B756" s="1" t="s">
        <v>35</v>
      </c>
      <c r="C756" s="1" t="s">
        <v>140</v>
      </c>
      <c r="D756" s="1" t="s">
        <v>21</v>
      </c>
      <c r="E756" s="1" t="s">
        <v>263</v>
      </c>
      <c r="F756" s="1">
        <v>340.0</v>
      </c>
      <c r="G756" s="5">
        <v>0.6416666666666667</v>
      </c>
      <c r="H756" s="1">
        <v>14.0</v>
      </c>
      <c r="I756" s="5">
        <v>0.6875</v>
      </c>
      <c r="J756" s="1" t="str">
        <f t="array" ref="J756">XLOOKUP(B756,cat!B:B,cat!C:C)</f>
        <v>D</v>
      </c>
      <c r="K756" s="1">
        <f t="array" ref="K756">XLOOKUP(B756,cat!B:B,cat!D:D)</f>
        <v>207</v>
      </c>
      <c r="L756" s="7">
        <f t="shared" si="1"/>
        <v>0.04583333333</v>
      </c>
      <c r="M756" s="7">
        <f t="shared" si="2"/>
        <v>0.02340277778</v>
      </c>
      <c r="P756" s="9"/>
      <c r="Q756" s="9">
        <f t="shared" si="3"/>
        <v>466.1833333</v>
      </c>
      <c r="R756" s="1" t="str">
        <f t="shared" si="4"/>
        <v>VLG</v>
      </c>
      <c r="S756" s="1" t="str">
        <f>IF($D756="LEBL", IF(COUNTIF('Paises ECAC'!B:B, C756)&gt;0, "ECAC","NO ECAC"), "")</f>
        <v>ECAC</v>
      </c>
    </row>
    <row r="757" ht="14.25" customHeight="1">
      <c r="A757" s="1" t="s">
        <v>1297</v>
      </c>
      <c r="B757" s="1" t="s">
        <v>19</v>
      </c>
      <c r="C757" s="1" t="s">
        <v>21</v>
      </c>
      <c r="D757" s="1" t="s">
        <v>20</v>
      </c>
      <c r="E757" s="1" t="s">
        <v>1235</v>
      </c>
      <c r="F757" s="1">
        <v>330.0</v>
      </c>
      <c r="G757" s="5">
        <v>0.6909722222222222</v>
      </c>
      <c r="H757" s="1">
        <v>20.0</v>
      </c>
      <c r="I757" s="5">
        <v>0.7465277777777778</v>
      </c>
      <c r="J757" s="1" t="str">
        <f t="array" ref="J757">XLOOKUP(B757,cat!B:B,cat!C:C)</f>
        <v>D</v>
      </c>
      <c r="K757" s="1">
        <f t="array" ref="K757">XLOOKUP(B757,cat!B:B,cat!D:D)</f>
        <v>184</v>
      </c>
      <c r="L757" s="7">
        <f t="shared" si="1"/>
        <v>0.05555555556</v>
      </c>
      <c r="M757" s="1" t="str">
        <f t="shared" si="2"/>
        <v/>
      </c>
      <c r="P757" s="9"/>
      <c r="Q757" s="9">
        <f t="shared" si="3"/>
        <v>0</v>
      </c>
      <c r="R757" s="1" t="str">
        <f t="shared" si="4"/>
        <v>RYR</v>
      </c>
      <c r="S757" s="1" t="str">
        <f>IF($D757="LEBL", IF(COUNTIF('Paises ECAC'!B:B, C757)&gt;0, "ECAC","NO ECAC"), "")</f>
        <v/>
      </c>
    </row>
    <row r="758" ht="14.25" customHeight="1">
      <c r="A758" s="1" t="s">
        <v>1298</v>
      </c>
      <c r="B758" s="1" t="s">
        <v>35</v>
      </c>
      <c r="C758" s="1" t="s">
        <v>279</v>
      </c>
      <c r="D758" s="1" t="s">
        <v>21</v>
      </c>
      <c r="E758" s="1" t="s">
        <v>305</v>
      </c>
      <c r="F758" s="1">
        <v>330.0</v>
      </c>
      <c r="G758" s="5">
        <v>0.6527777777777778</v>
      </c>
      <c r="H758" s="1">
        <v>10.0</v>
      </c>
      <c r="I758" s="5">
        <v>0.6875</v>
      </c>
      <c r="J758" s="1" t="str">
        <f t="array" ref="J758">XLOOKUP(B758,cat!B:B,cat!C:C)</f>
        <v>D</v>
      </c>
      <c r="K758" s="1">
        <f t="array" ref="K758">XLOOKUP(B758,cat!B:B,cat!D:D)</f>
        <v>207</v>
      </c>
      <c r="L758" s="7">
        <f t="shared" si="1"/>
        <v>0.03472222222</v>
      </c>
      <c r="M758" s="7">
        <f t="shared" si="2"/>
        <v>0.01506944444</v>
      </c>
      <c r="P758" s="9"/>
      <c r="Q758" s="9">
        <f t="shared" si="3"/>
        <v>300.1833333</v>
      </c>
      <c r="R758" s="1" t="str">
        <f t="shared" si="4"/>
        <v>VLG</v>
      </c>
      <c r="S758" s="1" t="str">
        <f>IF($D758="LEBL", IF(COUNTIF('Paises ECAC'!B:B, C758)&gt;0, "ECAC","NO ECAC"), "")</f>
        <v>ECAC</v>
      </c>
    </row>
    <row r="759" ht="14.25" customHeight="1">
      <c r="A759" s="1" t="s">
        <v>1299</v>
      </c>
      <c r="B759" s="1" t="s">
        <v>35</v>
      </c>
      <c r="C759" s="1" t="s">
        <v>21</v>
      </c>
      <c r="D759" s="1" t="s">
        <v>169</v>
      </c>
      <c r="E759" s="1" t="s">
        <v>299</v>
      </c>
      <c r="F759" s="1">
        <v>340.0</v>
      </c>
      <c r="G759" s="5">
        <v>0.6923611111111111</v>
      </c>
      <c r="H759" s="1">
        <v>11.0</v>
      </c>
      <c r="I759" s="5">
        <v>0.7638888888888888</v>
      </c>
      <c r="J759" s="1" t="str">
        <f t="array" ref="J759">XLOOKUP(B759,cat!B:B,cat!C:C)</f>
        <v>D</v>
      </c>
      <c r="K759" s="1">
        <f t="array" ref="K759">XLOOKUP(B759,cat!B:B,cat!D:D)</f>
        <v>207</v>
      </c>
      <c r="L759" s="7">
        <f t="shared" si="1"/>
        <v>0.07152777778</v>
      </c>
      <c r="M759" s="1" t="str">
        <f t="shared" si="2"/>
        <v/>
      </c>
      <c r="P759" s="9"/>
      <c r="Q759" s="9">
        <f t="shared" si="3"/>
        <v>0</v>
      </c>
      <c r="R759" s="1" t="str">
        <f t="shared" si="4"/>
        <v>VLG</v>
      </c>
      <c r="S759" s="1" t="str">
        <f>IF($D759="LEBL", IF(COUNTIF('Paises ECAC'!B:B, C759)&gt;0, "ECAC","NO ECAC"), "")</f>
        <v/>
      </c>
    </row>
    <row r="760" ht="14.25" customHeight="1">
      <c r="A760" s="1" t="s">
        <v>1300</v>
      </c>
      <c r="B760" s="1" t="s">
        <v>30</v>
      </c>
      <c r="C760" s="1" t="s">
        <v>21</v>
      </c>
      <c r="D760" s="1" t="s">
        <v>156</v>
      </c>
      <c r="E760" s="1" t="s">
        <v>1209</v>
      </c>
      <c r="F760" s="1">
        <v>150.0</v>
      </c>
      <c r="G760" s="5">
        <v>0.6840277777777778</v>
      </c>
      <c r="H760" s="1">
        <v>10.0</v>
      </c>
      <c r="I760" s="5">
        <v>0.7083333333333334</v>
      </c>
      <c r="J760" s="1" t="str">
        <f t="array" ref="J760">XLOOKUP(B760,cat!B:B,cat!C:C)</f>
        <v>D</v>
      </c>
      <c r="K760" s="1">
        <f t="array" ref="K760">XLOOKUP(B760,cat!B:B,cat!D:D)</f>
        <v>173</v>
      </c>
      <c r="L760" s="7">
        <f t="shared" si="1"/>
        <v>0.02430555556</v>
      </c>
      <c r="M760" s="1" t="str">
        <f t="shared" si="2"/>
        <v/>
      </c>
      <c r="P760" s="9"/>
      <c r="Q760" s="9">
        <f t="shared" si="3"/>
        <v>0</v>
      </c>
      <c r="R760" s="1" t="str">
        <f t="shared" si="4"/>
        <v>VLG</v>
      </c>
      <c r="S760" s="1" t="str">
        <f>IF($D760="LEBL", IF(COUNTIF('Paises ECAC'!B:B, C760)&gt;0, "ECAC","NO ECAC"), "")</f>
        <v/>
      </c>
    </row>
    <row r="761" ht="14.25" customHeight="1">
      <c r="A761" s="1" t="s">
        <v>1301</v>
      </c>
      <c r="B761" s="1" t="s">
        <v>136</v>
      </c>
      <c r="C761" s="1" t="s">
        <v>258</v>
      </c>
      <c r="D761" s="1" t="s">
        <v>21</v>
      </c>
      <c r="E761" s="1" t="s">
        <v>1302</v>
      </c>
      <c r="F761" s="1">
        <v>320.0</v>
      </c>
      <c r="G761" s="5">
        <v>0.6388888888888888</v>
      </c>
      <c r="H761" s="1">
        <v>5.0</v>
      </c>
      <c r="I761" s="5">
        <v>0.6909722222222222</v>
      </c>
      <c r="J761" s="1" t="str">
        <f t="array" ref="J761">XLOOKUP(B761,cat!B:B,cat!C:C)</f>
        <v>D</v>
      </c>
      <c r="K761" s="1">
        <f t="array" ref="K761">XLOOKUP(B761,cat!B:B,cat!D:D)</f>
        <v>144</v>
      </c>
      <c r="L761" s="7">
        <f t="shared" si="1"/>
        <v>0.05208333333</v>
      </c>
      <c r="M761" s="7">
        <f t="shared" si="2"/>
        <v>0.03590277778</v>
      </c>
      <c r="P761" s="9"/>
      <c r="Q761" s="9">
        <f t="shared" si="3"/>
        <v>715.1833333</v>
      </c>
      <c r="R761" s="1" t="str">
        <f t="shared" si="4"/>
        <v>VOE</v>
      </c>
      <c r="S761" s="1" t="str">
        <f>IF($D761="LEBL", IF(COUNTIF('Paises ECAC'!B:B, C761)&gt;0, "ECAC","NO ECAC"), "")</f>
        <v>ECAC</v>
      </c>
    </row>
    <row r="762" ht="14.25" customHeight="1">
      <c r="A762" s="1" t="s">
        <v>1303</v>
      </c>
      <c r="B762" s="1" t="s">
        <v>40</v>
      </c>
      <c r="C762" s="1" t="s">
        <v>1100</v>
      </c>
      <c r="D762" s="1" t="s">
        <v>21</v>
      </c>
      <c r="E762" s="1" t="s">
        <v>120</v>
      </c>
      <c r="F762" s="1">
        <v>310.0</v>
      </c>
      <c r="G762" s="5">
        <v>0.6527777777777778</v>
      </c>
      <c r="H762" s="1">
        <v>10.0</v>
      </c>
      <c r="I762" s="5">
        <v>0.6909722222222222</v>
      </c>
      <c r="J762" s="1" t="str">
        <f t="array" ref="J762">XLOOKUP(B762,cat!B:B,cat!C:C)</f>
        <v>D</v>
      </c>
      <c r="K762" s="1">
        <f t="array" ref="K762">XLOOKUP(B762,cat!B:B,cat!D:D)</f>
        <v>186</v>
      </c>
      <c r="L762" s="7">
        <f t="shared" si="1"/>
        <v>0.03819444444</v>
      </c>
      <c r="M762" s="7">
        <f t="shared" si="2"/>
        <v>0.01854166667</v>
      </c>
      <c r="P762" s="9"/>
      <c r="Q762" s="9">
        <f t="shared" si="3"/>
        <v>369.35</v>
      </c>
      <c r="R762" s="1" t="str">
        <f t="shared" si="4"/>
        <v>RYR</v>
      </c>
      <c r="S762" s="1" t="str">
        <f>IF($D762="LEBL", IF(COUNTIF('Paises ECAC'!B:B, C762)&gt;0, "ECAC","NO ECAC"), "")</f>
        <v>ECAC</v>
      </c>
    </row>
    <row r="763" ht="14.25" customHeight="1">
      <c r="A763" s="1" t="s">
        <v>1304</v>
      </c>
      <c r="B763" s="1" t="s">
        <v>35</v>
      </c>
      <c r="C763" s="1" t="s">
        <v>581</v>
      </c>
      <c r="D763" s="1" t="s">
        <v>21</v>
      </c>
      <c r="E763" s="1" t="s">
        <v>190</v>
      </c>
      <c r="F763" s="1">
        <v>350.0</v>
      </c>
      <c r="G763" s="5">
        <v>0.6180555555555556</v>
      </c>
      <c r="H763" s="1">
        <v>17.0</v>
      </c>
      <c r="I763" s="5">
        <v>0.6909722222222222</v>
      </c>
      <c r="J763" s="1" t="str">
        <f t="array" ref="J763">XLOOKUP(B763,cat!B:B,cat!C:C)</f>
        <v>D</v>
      </c>
      <c r="K763" s="1">
        <f t="array" ref="K763">XLOOKUP(B763,cat!B:B,cat!D:D)</f>
        <v>207</v>
      </c>
      <c r="L763" s="7">
        <f t="shared" si="1"/>
        <v>0.07291666667</v>
      </c>
      <c r="M763" s="7">
        <f t="shared" si="2"/>
        <v>0.04840277778</v>
      </c>
      <c r="P763" s="9"/>
      <c r="Q763" s="9">
        <f t="shared" si="3"/>
        <v>964.1833333</v>
      </c>
      <c r="R763" s="1" t="str">
        <f t="shared" si="4"/>
        <v>VLG</v>
      </c>
      <c r="S763" s="1" t="str">
        <f>IF($D763="LEBL", IF(COUNTIF('Paises ECAC'!B:B, C763)&gt;0, "ECAC","NO ECAC"), "")</f>
        <v>ECAC</v>
      </c>
    </row>
    <row r="764" ht="14.25" customHeight="1">
      <c r="A764" s="1" t="s">
        <v>1305</v>
      </c>
      <c r="B764" s="1" t="s">
        <v>30</v>
      </c>
      <c r="C764" s="1" t="s">
        <v>21</v>
      </c>
      <c r="D764" s="1" t="s">
        <v>107</v>
      </c>
      <c r="E764" s="1" t="s">
        <v>1187</v>
      </c>
      <c r="F764" s="1">
        <v>350.0</v>
      </c>
      <c r="G764" s="5">
        <v>0.6965277777777777</v>
      </c>
      <c r="H764" s="1">
        <v>11.0</v>
      </c>
      <c r="I764" s="5">
        <v>0.7534722222222222</v>
      </c>
      <c r="J764" s="1" t="str">
        <f t="array" ref="J764">XLOOKUP(B764,cat!B:B,cat!C:C)</f>
        <v>D</v>
      </c>
      <c r="K764" s="1">
        <f t="array" ref="K764">XLOOKUP(B764,cat!B:B,cat!D:D)</f>
        <v>173</v>
      </c>
      <c r="L764" s="7">
        <f t="shared" si="1"/>
        <v>0.05694444444</v>
      </c>
      <c r="M764" s="1" t="str">
        <f t="shared" si="2"/>
        <v/>
      </c>
      <c r="P764" s="9"/>
      <c r="Q764" s="9">
        <f t="shared" si="3"/>
        <v>0</v>
      </c>
      <c r="R764" s="1" t="str">
        <f t="shared" si="4"/>
        <v>TAP</v>
      </c>
      <c r="S764" s="1" t="str">
        <f>IF($D764="LEBL", IF(COUNTIF('Paises ECAC'!B:B, C764)&gt;0, "ECAC","NO ECAC"), "")</f>
        <v/>
      </c>
    </row>
    <row r="765" ht="14.25" customHeight="1">
      <c r="A765" s="1" t="s">
        <v>1306</v>
      </c>
      <c r="B765" s="1" t="s">
        <v>1307</v>
      </c>
      <c r="C765" s="1" t="s">
        <v>63</v>
      </c>
      <c r="D765" s="1" t="s">
        <v>21</v>
      </c>
      <c r="E765" s="1" t="s">
        <v>1308</v>
      </c>
      <c r="F765" s="1">
        <v>250.0</v>
      </c>
      <c r="G765" s="5">
        <v>0.65</v>
      </c>
      <c r="H765" s="1">
        <v>6.0</v>
      </c>
      <c r="I765" s="5">
        <v>0.6944444444444444</v>
      </c>
      <c r="J765" s="1" t="str">
        <f t="array" ref="J765">XLOOKUP(B765,cat!B:B,cat!C:C)</f>
        <v>F</v>
      </c>
      <c r="K765" s="1">
        <f t="array" ref="K765">XLOOKUP(B765,cat!B:B,cat!D:D)</f>
        <v>8</v>
      </c>
      <c r="L765" s="7">
        <f t="shared" si="1"/>
        <v>0.04444444444</v>
      </c>
      <c r="M765" s="7">
        <f t="shared" si="2"/>
        <v>0.02756944444</v>
      </c>
      <c r="P765" s="9"/>
      <c r="Q765" s="9">
        <f t="shared" si="3"/>
        <v>119.1</v>
      </c>
      <c r="R765" s="1" t="str">
        <f t="shared" si="4"/>
        <v>AAO</v>
      </c>
      <c r="S765" s="1" t="str">
        <f>IF($D765="LEBL", IF(COUNTIF('Paises ECAC'!B:B, C765)&gt;0, "ECAC","NO ECAC"), "")</f>
        <v>ECAC</v>
      </c>
    </row>
    <row r="766" ht="14.25" customHeight="1">
      <c r="A766" s="1" t="s">
        <v>1309</v>
      </c>
      <c r="B766" s="1" t="s">
        <v>30</v>
      </c>
      <c r="C766" s="1" t="s">
        <v>21</v>
      </c>
      <c r="D766" s="1" t="s">
        <v>646</v>
      </c>
      <c r="E766" s="1" t="s">
        <v>883</v>
      </c>
      <c r="F766" s="1">
        <v>360.0</v>
      </c>
      <c r="G766" s="5">
        <v>0.6916666666666667</v>
      </c>
      <c r="H766" s="1">
        <v>10.0</v>
      </c>
      <c r="I766" s="5">
        <v>0.7847222222222222</v>
      </c>
      <c r="J766" s="1" t="str">
        <f t="array" ref="J766">XLOOKUP(B766,cat!B:B,cat!C:C)</f>
        <v>D</v>
      </c>
      <c r="K766" s="1">
        <f t="array" ref="K766">XLOOKUP(B766,cat!B:B,cat!D:D)</f>
        <v>173</v>
      </c>
      <c r="L766" s="7">
        <f t="shared" si="1"/>
        <v>0.09305555556</v>
      </c>
      <c r="M766" s="1" t="str">
        <f t="shared" si="2"/>
        <v/>
      </c>
      <c r="P766" s="9"/>
      <c r="Q766" s="9">
        <f t="shared" si="3"/>
        <v>0</v>
      </c>
      <c r="R766" s="1" t="str">
        <f t="shared" si="4"/>
        <v>VLG</v>
      </c>
      <c r="S766" s="1" t="str">
        <f>IF($D766="LEBL", IF(COUNTIF('Paises ECAC'!B:B, C766)&gt;0, "ECAC","NO ECAC"), "")</f>
        <v/>
      </c>
    </row>
    <row r="767" ht="14.25" customHeight="1">
      <c r="A767" s="1" t="s">
        <v>1310</v>
      </c>
      <c r="B767" s="1" t="s">
        <v>30</v>
      </c>
      <c r="C767" s="1" t="s">
        <v>682</v>
      </c>
      <c r="D767" s="1" t="s">
        <v>21</v>
      </c>
      <c r="E767" s="1" t="s">
        <v>356</v>
      </c>
      <c r="F767" s="1">
        <v>290.0</v>
      </c>
      <c r="G767" s="5">
        <v>0.6597222222222222</v>
      </c>
      <c r="H767" s="1">
        <v>11.0</v>
      </c>
      <c r="I767" s="5">
        <v>0.6944444444444444</v>
      </c>
      <c r="J767" s="1" t="str">
        <f t="array" ref="J767">XLOOKUP(B767,cat!B:B,cat!C:C)</f>
        <v>D</v>
      </c>
      <c r="K767" s="1">
        <f t="array" ref="K767">XLOOKUP(B767,cat!B:B,cat!D:D)</f>
        <v>173</v>
      </c>
      <c r="L767" s="7">
        <f t="shared" si="1"/>
        <v>0.03472222222</v>
      </c>
      <c r="M767" s="7">
        <f t="shared" si="2"/>
        <v>0.014375</v>
      </c>
      <c r="P767" s="9"/>
      <c r="Q767" s="9">
        <f t="shared" si="3"/>
        <v>286.35</v>
      </c>
      <c r="R767" s="1" t="str">
        <f t="shared" si="4"/>
        <v>VLG</v>
      </c>
      <c r="S767" s="1" t="str">
        <f>IF($D767="LEBL", IF(COUNTIF('Paises ECAC'!B:B, C767)&gt;0, "ECAC","NO ECAC"), "")</f>
        <v>ECAC</v>
      </c>
    </row>
    <row r="768" ht="14.25" customHeight="1">
      <c r="A768" s="1" t="s">
        <v>1311</v>
      </c>
      <c r="B768" s="1" t="s">
        <v>30</v>
      </c>
      <c r="C768" s="1" t="s">
        <v>21</v>
      </c>
      <c r="D768" s="1" t="s">
        <v>304</v>
      </c>
      <c r="E768" s="1" t="s">
        <v>202</v>
      </c>
      <c r="F768" s="1">
        <v>360.0</v>
      </c>
      <c r="G768" s="5">
        <v>0.6979166666666666</v>
      </c>
      <c r="H768" s="1">
        <v>10.0</v>
      </c>
      <c r="I768" s="5">
        <v>0.7847222222222222</v>
      </c>
      <c r="J768" s="1" t="str">
        <f t="array" ref="J768">XLOOKUP(B768,cat!B:B,cat!C:C)</f>
        <v>D</v>
      </c>
      <c r="K768" s="1">
        <f t="array" ref="K768">XLOOKUP(B768,cat!B:B,cat!D:D)</f>
        <v>173</v>
      </c>
      <c r="L768" s="7">
        <f t="shared" si="1"/>
        <v>0.08680555556</v>
      </c>
      <c r="M768" s="1" t="str">
        <f t="shared" si="2"/>
        <v/>
      </c>
      <c r="P768" s="9"/>
      <c r="Q768" s="9">
        <f t="shared" si="3"/>
        <v>0</v>
      </c>
      <c r="R768" s="1" t="str">
        <f t="shared" si="4"/>
        <v>VLG</v>
      </c>
      <c r="S768" s="1" t="str">
        <f>IF($D768="LEBL", IF(COUNTIF('Paises ECAC'!B:B, C768)&gt;0, "ECAC","NO ECAC"), "")</f>
        <v/>
      </c>
    </row>
    <row r="769" ht="14.25" customHeight="1">
      <c r="A769" s="1" t="s">
        <v>1312</v>
      </c>
      <c r="B769" s="1" t="s">
        <v>19</v>
      </c>
      <c r="C769" s="1" t="s">
        <v>169</v>
      </c>
      <c r="D769" s="1" t="s">
        <v>21</v>
      </c>
      <c r="E769" s="1" t="s">
        <v>1313</v>
      </c>
      <c r="F769" s="1">
        <v>410.0</v>
      </c>
      <c r="G769" s="5">
        <v>0.6222222222222222</v>
      </c>
      <c r="H769" s="1">
        <v>13.0</v>
      </c>
      <c r="I769" s="5">
        <v>0.6979166666666666</v>
      </c>
      <c r="J769" s="1" t="str">
        <f t="array" ref="J769">XLOOKUP(B769,cat!B:B,cat!C:C)</f>
        <v>D</v>
      </c>
      <c r="K769" s="1">
        <f t="array" ref="K769">XLOOKUP(B769,cat!B:B,cat!D:D)</f>
        <v>184</v>
      </c>
      <c r="L769" s="7">
        <f t="shared" si="1"/>
        <v>0.07569444444</v>
      </c>
      <c r="M769" s="7">
        <f t="shared" si="2"/>
        <v>0.05395833333</v>
      </c>
      <c r="P769" s="9"/>
      <c r="Q769" s="9">
        <f t="shared" si="3"/>
        <v>1074.85</v>
      </c>
      <c r="R769" s="1" t="str">
        <f t="shared" si="4"/>
        <v>KLM</v>
      </c>
      <c r="S769" s="1" t="str">
        <f>IF($D769="LEBL", IF(COUNTIF('Paises ECAC'!B:B, C769)&gt;0, "ECAC","NO ECAC"), "")</f>
        <v>ECAC</v>
      </c>
    </row>
    <row r="770" ht="14.25" customHeight="1">
      <c r="A770" s="1" t="s">
        <v>1314</v>
      </c>
      <c r="B770" s="1" t="s">
        <v>35</v>
      </c>
      <c r="C770" s="1" t="s">
        <v>21</v>
      </c>
      <c r="D770" s="1" t="s">
        <v>158</v>
      </c>
      <c r="E770" s="1" t="s">
        <v>159</v>
      </c>
      <c r="F770" s="1">
        <v>320.0</v>
      </c>
      <c r="G770" s="5">
        <v>0.6979166666666666</v>
      </c>
      <c r="H770" s="1">
        <v>10.0</v>
      </c>
      <c r="I770" s="5">
        <v>0.7604166666666666</v>
      </c>
      <c r="J770" s="1" t="str">
        <f t="array" ref="J770">XLOOKUP(B770,cat!B:B,cat!C:C)</f>
        <v>D</v>
      </c>
      <c r="K770" s="1">
        <f t="array" ref="K770">XLOOKUP(B770,cat!B:B,cat!D:D)</f>
        <v>207</v>
      </c>
      <c r="L770" s="7">
        <f t="shared" si="1"/>
        <v>0.0625</v>
      </c>
      <c r="M770" s="1" t="str">
        <f t="shared" si="2"/>
        <v/>
      </c>
      <c r="P770" s="9"/>
      <c r="Q770" s="9">
        <f t="shared" si="3"/>
        <v>0</v>
      </c>
      <c r="R770" s="1" t="str">
        <f t="shared" si="4"/>
        <v>SWR</v>
      </c>
      <c r="S770" s="1" t="str">
        <f>IF($D770="LEBL", IF(COUNTIF('Paises ECAC'!B:B, C770)&gt;0, "ECAC","NO ECAC"), "")</f>
        <v/>
      </c>
    </row>
    <row r="771" ht="14.25" customHeight="1">
      <c r="A771" s="1" t="s">
        <v>1315</v>
      </c>
      <c r="B771" s="1" t="s">
        <v>30</v>
      </c>
      <c r="C771" s="1" t="s">
        <v>509</v>
      </c>
      <c r="D771" s="1" t="s">
        <v>21</v>
      </c>
      <c r="E771" s="1" t="s">
        <v>1316</v>
      </c>
      <c r="F771" s="1">
        <v>350.0</v>
      </c>
      <c r="G771" s="5">
        <v>0.6083333333333333</v>
      </c>
      <c r="H771" s="1">
        <v>11.0</v>
      </c>
      <c r="I771" s="5">
        <v>0.6979166666666666</v>
      </c>
      <c r="J771" s="1" t="str">
        <f t="array" ref="J771">XLOOKUP(B771,cat!B:B,cat!C:C)</f>
        <v>D</v>
      </c>
      <c r="K771" s="1">
        <f t="array" ref="K771">XLOOKUP(B771,cat!B:B,cat!D:D)</f>
        <v>173</v>
      </c>
      <c r="L771" s="7">
        <f t="shared" si="1"/>
        <v>0.08958333333</v>
      </c>
      <c r="M771" s="7">
        <f t="shared" si="2"/>
        <v>0.06923611111</v>
      </c>
      <c r="P771" s="9"/>
      <c r="Q771" s="9">
        <f t="shared" si="3"/>
        <v>1379.183333</v>
      </c>
      <c r="R771" s="1" t="str">
        <f t="shared" si="4"/>
        <v>EWG</v>
      </c>
      <c r="S771" s="1" t="str">
        <f>IF($D771="LEBL", IF(COUNTIF('Paises ECAC'!B:B, C771)&gt;0, "ECAC","NO ECAC"), "")</f>
        <v>ECAC</v>
      </c>
    </row>
    <row r="772" ht="14.25" customHeight="1">
      <c r="A772" s="1" t="s">
        <v>1317</v>
      </c>
      <c r="B772" s="1" t="s">
        <v>35</v>
      </c>
      <c r="C772" s="1" t="s">
        <v>21</v>
      </c>
      <c r="D772" s="1" t="s">
        <v>221</v>
      </c>
      <c r="E772" s="1" t="s">
        <v>37</v>
      </c>
      <c r="F772" s="1">
        <v>340.0</v>
      </c>
      <c r="G772" s="5">
        <v>0.6993055555555555</v>
      </c>
      <c r="H772" s="1">
        <v>12.0</v>
      </c>
      <c r="I772" s="5">
        <v>0.7743055555555556</v>
      </c>
      <c r="J772" s="1" t="str">
        <f t="array" ref="J772">XLOOKUP(B772,cat!B:B,cat!C:C)</f>
        <v>D</v>
      </c>
      <c r="K772" s="1">
        <f t="array" ref="K772">XLOOKUP(B772,cat!B:B,cat!D:D)</f>
        <v>207</v>
      </c>
      <c r="L772" s="7">
        <f t="shared" si="1"/>
        <v>0.075</v>
      </c>
      <c r="M772" s="1" t="str">
        <f t="shared" si="2"/>
        <v/>
      </c>
      <c r="P772" s="9"/>
      <c r="Q772" s="9">
        <f t="shared" si="3"/>
        <v>0</v>
      </c>
      <c r="R772" s="1" t="str">
        <f t="shared" si="4"/>
        <v>VLG</v>
      </c>
      <c r="S772" s="1" t="str">
        <f>IF($D772="LEBL", IF(COUNTIF('Paises ECAC'!B:B, C772)&gt;0, "ECAC","NO ECAC"), "")</f>
        <v/>
      </c>
    </row>
    <row r="773" ht="14.25" customHeight="1">
      <c r="A773" s="1" t="s">
        <v>1318</v>
      </c>
      <c r="B773" s="1" t="s">
        <v>35</v>
      </c>
      <c r="C773" s="1" t="s">
        <v>116</v>
      </c>
      <c r="D773" s="1" t="s">
        <v>21</v>
      </c>
      <c r="E773" s="1" t="s">
        <v>161</v>
      </c>
      <c r="F773" s="1">
        <v>350.0</v>
      </c>
      <c r="G773" s="5">
        <v>0.6458333333333334</v>
      </c>
      <c r="H773" s="1">
        <v>25.0</v>
      </c>
      <c r="I773" s="5">
        <v>0.6979166666666666</v>
      </c>
      <c r="J773" s="1" t="str">
        <f t="array" ref="J773">XLOOKUP(B773,cat!B:B,cat!C:C)</f>
        <v>D</v>
      </c>
      <c r="K773" s="1">
        <f t="array" ref="K773">XLOOKUP(B773,cat!B:B,cat!D:D)</f>
        <v>207</v>
      </c>
      <c r="L773" s="7">
        <f t="shared" si="1"/>
        <v>0.05208333333</v>
      </c>
      <c r="M773" s="7">
        <f t="shared" si="2"/>
        <v>0.02201388889</v>
      </c>
      <c r="P773" s="9"/>
      <c r="Q773" s="9">
        <f t="shared" si="3"/>
        <v>438.5166667</v>
      </c>
      <c r="R773" s="1" t="str">
        <f t="shared" si="4"/>
        <v>VLG</v>
      </c>
      <c r="S773" s="1" t="str">
        <f>IF($D773="LEBL", IF(COUNTIF('Paises ECAC'!B:B, C773)&gt;0, "ECAC","NO ECAC"), "")</f>
        <v>ECAC</v>
      </c>
    </row>
    <row r="774" ht="14.25" customHeight="1">
      <c r="A774" s="1" t="s">
        <v>1319</v>
      </c>
      <c r="B774" s="1" t="s">
        <v>136</v>
      </c>
      <c r="C774" s="1" t="s">
        <v>271</v>
      </c>
      <c r="D774" s="1" t="s">
        <v>21</v>
      </c>
      <c r="E774" s="1" t="s">
        <v>232</v>
      </c>
      <c r="F774" s="1">
        <v>340.0</v>
      </c>
      <c r="G774" s="5">
        <v>0.6368055555555555</v>
      </c>
      <c r="H774" s="1">
        <v>14.0</v>
      </c>
      <c r="I774" s="5">
        <v>0.7013888888888888</v>
      </c>
      <c r="J774" s="1" t="str">
        <f t="array" ref="J774">XLOOKUP(B774,cat!B:B,cat!C:C)</f>
        <v>D</v>
      </c>
      <c r="K774" s="1">
        <f t="array" ref="K774">XLOOKUP(B774,cat!B:B,cat!D:D)</f>
        <v>144</v>
      </c>
      <c r="L774" s="7">
        <f t="shared" si="1"/>
        <v>0.06458333333</v>
      </c>
      <c r="M774" s="7">
        <f t="shared" si="2"/>
        <v>0.04215277778</v>
      </c>
      <c r="P774" s="9"/>
      <c r="Q774" s="9">
        <f t="shared" si="3"/>
        <v>839.6833333</v>
      </c>
      <c r="R774" s="1" t="str">
        <f t="shared" si="4"/>
        <v>EJU</v>
      </c>
      <c r="S774" s="1" t="str">
        <f>IF($D774="LEBL", IF(COUNTIF('Paises ECAC'!B:B, C774)&gt;0, "ECAC","NO ECAC"), "")</f>
        <v>ECAC</v>
      </c>
    </row>
    <row r="775" ht="14.25" customHeight="1">
      <c r="A775" s="1" t="s">
        <v>1320</v>
      </c>
      <c r="B775" s="1" t="s">
        <v>195</v>
      </c>
      <c r="C775" s="1" t="s">
        <v>21</v>
      </c>
      <c r="D775" s="1" t="s">
        <v>133</v>
      </c>
      <c r="E775" s="1" t="s">
        <v>827</v>
      </c>
      <c r="F775" s="1">
        <v>380.0</v>
      </c>
      <c r="G775" s="5">
        <v>0.7055555555555556</v>
      </c>
      <c r="H775" s="1">
        <v>26.0</v>
      </c>
      <c r="I775" s="5">
        <v>0.0</v>
      </c>
      <c r="J775" s="1" t="str">
        <f t="array" ref="J775">XLOOKUP(B775,cat!B:B,cat!C:C)</f>
        <v>B</v>
      </c>
      <c r="K775" s="1">
        <f t="array" ref="K775">XLOOKUP(B775,cat!B:B,cat!D:D)</f>
        <v>281</v>
      </c>
      <c r="L775" s="7">
        <f t="shared" si="1"/>
        <v>0.2944444444</v>
      </c>
      <c r="M775" s="1" t="str">
        <f t="shared" si="2"/>
        <v/>
      </c>
      <c r="P775" s="9"/>
      <c r="Q775" s="9">
        <f t="shared" si="3"/>
        <v>0</v>
      </c>
      <c r="R775" s="1" t="str">
        <f t="shared" si="4"/>
        <v>IBE</v>
      </c>
      <c r="S775" s="1" t="str">
        <f>IF($D775="LEBL", IF(COUNTIF('Paises ECAC'!B:B, C775)&gt;0, "ECAC","NO ECAC"), "")</f>
        <v/>
      </c>
    </row>
    <row r="776" ht="14.25" customHeight="1">
      <c r="A776" s="1" t="s">
        <v>1321</v>
      </c>
      <c r="B776" s="1" t="s">
        <v>35</v>
      </c>
      <c r="C776" s="1" t="s">
        <v>21</v>
      </c>
      <c r="D776" s="1" t="s">
        <v>937</v>
      </c>
      <c r="E776" s="1" t="s">
        <v>272</v>
      </c>
      <c r="F776" s="1">
        <v>350.0</v>
      </c>
      <c r="G776" s="5">
        <v>0.7</v>
      </c>
      <c r="H776" s="1">
        <v>10.0</v>
      </c>
      <c r="I776" s="5">
        <v>0.7673611111111112</v>
      </c>
      <c r="J776" s="1" t="str">
        <f t="array" ref="J776">XLOOKUP(B776,cat!B:B,cat!C:C)</f>
        <v>D</v>
      </c>
      <c r="K776" s="1">
        <f t="array" ref="K776">XLOOKUP(B776,cat!B:B,cat!D:D)</f>
        <v>207</v>
      </c>
      <c r="L776" s="7">
        <f t="shared" si="1"/>
        <v>0.06736111111</v>
      </c>
      <c r="M776" s="1" t="str">
        <f t="shared" si="2"/>
        <v/>
      </c>
      <c r="P776" s="9"/>
      <c r="Q776" s="9">
        <f t="shared" si="3"/>
        <v>0</v>
      </c>
      <c r="R776" s="1" t="str">
        <f t="shared" si="4"/>
        <v>VLG</v>
      </c>
      <c r="S776" s="1" t="str">
        <f>IF($D776="LEBL", IF(COUNTIF('Paises ECAC'!B:B, C776)&gt;0, "ECAC","NO ECAC"), "")</f>
        <v/>
      </c>
    </row>
    <row r="777" ht="14.25" customHeight="1">
      <c r="A777" s="1" t="s">
        <v>1322</v>
      </c>
      <c r="B777" s="1" t="s">
        <v>19</v>
      </c>
      <c r="C777" s="1" t="s">
        <v>88</v>
      </c>
      <c r="D777" s="1" t="s">
        <v>21</v>
      </c>
      <c r="E777" s="1" t="s">
        <v>1323</v>
      </c>
      <c r="F777" s="1">
        <v>390.0</v>
      </c>
      <c r="G777" s="5">
        <v>0.5972222222222222</v>
      </c>
      <c r="H777" s="1">
        <v>10.0</v>
      </c>
      <c r="I777" s="5">
        <v>0.7013888888888888</v>
      </c>
      <c r="J777" s="1" t="str">
        <f t="array" ref="J777">XLOOKUP(B777,cat!B:B,cat!C:C)</f>
        <v>D</v>
      </c>
      <c r="K777" s="1">
        <f t="array" ref="K777">XLOOKUP(B777,cat!B:B,cat!D:D)</f>
        <v>184</v>
      </c>
      <c r="L777" s="7">
        <f t="shared" si="1"/>
        <v>0.1041666667</v>
      </c>
      <c r="M777" s="7">
        <f t="shared" si="2"/>
        <v>0.08451388889</v>
      </c>
      <c r="P777" s="9"/>
      <c r="Q777" s="9">
        <f t="shared" si="3"/>
        <v>1683.516667</v>
      </c>
      <c r="R777" s="1" t="str">
        <f t="shared" si="4"/>
        <v>NSZ</v>
      </c>
      <c r="S777" s="1" t="str">
        <f>IF($D777="LEBL", IF(COUNTIF('Paises ECAC'!B:B, C777)&gt;0, "ECAC","NO ECAC"), "")</f>
        <v>ECAC</v>
      </c>
    </row>
    <row r="778" ht="14.25" customHeight="1">
      <c r="A778" s="1" t="s">
        <v>1324</v>
      </c>
      <c r="B778" s="1" t="s">
        <v>576</v>
      </c>
      <c r="C778" s="1" t="s">
        <v>21</v>
      </c>
      <c r="D778" s="1" t="s">
        <v>343</v>
      </c>
      <c r="E778" s="1" t="s">
        <v>1197</v>
      </c>
      <c r="F778" s="1">
        <v>400.0</v>
      </c>
      <c r="G778" s="5">
        <v>0.7020833333333333</v>
      </c>
      <c r="H778" s="1">
        <v>13.0</v>
      </c>
      <c r="I778" s="5">
        <v>0.8194444444444444</v>
      </c>
      <c r="J778" s="1" t="str">
        <f t="array" ref="J778">XLOOKUP(B778,cat!B:B,cat!C:C)</f>
        <v>B</v>
      </c>
      <c r="K778" s="1">
        <f t="array" ref="K778">XLOOKUP(B778,cat!B:B,cat!D:D)</f>
        <v>284</v>
      </c>
      <c r="L778" s="7">
        <f t="shared" si="1"/>
        <v>0.1173611111</v>
      </c>
      <c r="M778" s="1" t="str">
        <f t="shared" si="2"/>
        <v/>
      </c>
      <c r="P778" s="9"/>
      <c r="Q778" s="9">
        <f t="shared" si="3"/>
        <v>0</v>
      </c>
      <c r="R778" s="1" t="str">
        <f t="shared" si="4"/>
        <v>THY</v>
      </c>
      <c r="S778" s="1" t="str">
        <f>IF($D778="LEBL", IF(COUNTIF('Paises ECAC'!B:B, C778)&gt;0, "ECAC","NO ECAC"), "")</f>
        <v/>
      </c>
    </row>
    <row r="779" ht="14.25" customHeight="1">
      <c r="A779" s="1" t="s">
        <v>1325</v>
      </c>
      <c r="B779" s="1" t="s">
        <v>19</v>
      </c>
      <c r="C779" s="1" t="s">
        <v>110</v>
      </c>
      <c r="D779" s="1" t="s">
        <v>21</v>
      </c>
      <c r="E779" s="1" t="s">
        <v>167</v>
      </c>
      <c r="F779" s="1">
        <v>370.0</v>
      </c>
      <c r="G779" s="5">
        <v>0.6493055555555556</v>
      </c>
      <c r="H779" s="1">
        <v>15.0</v>
      </c>
      <c r="I779" s="5">
        <v>0.7048611111111112</v>
      </c>
      <c r="J779" s="1" t="str">
        <f t="array" ref="J779">XLOOKUP(B779,cat!B:B,cat!C:C)</f>
        <v>D</v>
      </c>
      <c r="K779" s="1">
        <f t="array" ref="K779">XLOOKUP(B779,cat!B:B,cat!D:D)</f>
        <v>184</v>
      </c>
      <c r="L779" s="7">
        <f t="shared" si="1"/>
        <v>0.05555555556</v>
      </c>
      <c r="M779" s="7">
        <f t="shared" si="2"/>
        <v>0.03243055556</v>
      </c>
      <c r="P779" s="9"/>
      <c r="Q779" s="9">
        <f t="shared" si="3"/>
        <v>646.0166667</v>
      </c>
      <c r="R779" s="1" t="str">
        <f t="shared" si="4"/>
        <v>RYR</v>
      </c>
      <c r="S779" s="1" t="str">
        <f>IF($D779="LEBL", IF(COUNTIF('Paises ECAC'!B:B, C779)&gt;0, "ECAC","NO ECAC"), "")</f>
        <v>ECAC</v>
      </c>
    </row>
    <row r="780" ht="14.25" customHeight="1">
      <c r="A780" s="1" t="s">
        <v>1326</v>
      </c>
      <c r="B780" s="1" t="s">
        <v>212</v>
      </c>
      <c r="C780" s="1" t="s">
        <v>21</v>
      </c>
      <c r="D780" s="1" t="s">
        <v>274</v>
      </c>
      <c r="E780" s="1" t="s">
        <v>1224</v>
      </c>
      <c r="F780" s="1">
        <v>360.0</v>
      </c>
      <c r="G780" s="5">
        <v>0.7027777777777777</v>
      </c>
      <c r="H780" s="1">
        <v>12.0</v>
      </c>
      <c r="I780" s="5">
        <v>0.7777777777777778</v>
      </c>
      <c r="J780" s="1" t="str">
        <f t="array" ref="J780">XLOOKUP(B780,cat!B:B,cat!C:C)</f>
        <v>D</v>
      </c>
      <c r="K780" s="1">
        <f t="array" ref="K780">XLOOKUP(B780,cat!B:B,cat!D:D)</f>
        <v>200</v>
      </c>
      <c r="L780" s="7">
        <f t="shared" si="1"/>
        <v>0.075</v>
      </c>
      <c r="M780" s="1" t="str">
        <f t="shared" si="2"/>
        <v/>
      </c>
      <c r="P780" s="9"/>
      <c r="Q780" s="9">
        <f t="shared" si="3"/>
        <v>0</v>
      </c>
      <c r="R780" s="1" t="str">
        <f t="shared" si="4"/>
        <v>BAW</v>
      </c>
      <c r="S780" s="1" t="str">
        <f>IF($D780="LEBL", IF(COUNTIF('Paises ECAC'!B:B, C780)&gt;0, "ECAC","NO ECAC"), "")</f>
        <v/>
      </c>
    </row>
    <row r="781" ht="14.25" customHeight="1">
      <c r="A781" s="1" t="s">
        <v>1327</v>
      </c>
      <c r="B781" s="1" t="s">
        <v>30</v>
      </c>
      <c r="C781" s="1" t="s">
        <v>245</v>
      </c>
      <c r="D781" s="1" t="s">
        <v>21</v>
      </c>
      <c r="E781" s="1" t="s">
        <v>92</v>
      </c>
      <c r="F781" s="1">
        <v>180.0</v>
      </c>
      <c r="G781" s="5">
        <v>0.6673611111111111</v>
      </c>
      <c r="H781" s="1">
        <v>12.0</v>
      </c>
      <c r="I781" s="5">
        <v>0.7048611111111112</v>
      </c>
      <c r="J781" s="1" t="str">
        <f t="array" ref="J781">XLOOKUP(B781,cat!B:B,cat!C:C)</f>
        <v>D</v>
      </c>
      <c r="K781" s="1">
        <f t="array" ref="K781">XLOOKUP(B781,cat!B:B,cat!D:D)</f>
        <v>173</v>
      </c>
      <c r="L781" s="7">
        <f t="shared" si="1"/>
        <v>0.0375</v>
      </c>
      <c r="M781" s="7">
        <f t="shared" si="2"/>
        <v>0.01645833333</v>
      </c>
      <c r="P781" s="9"/>
      <c r="Q781" s="9">
        <f t="shared" si="3"/>
        <v>327.85</v>
      </c>
      <c r="R781" s="1" t="str">
        <f t="shared" si="4"/>
        <v>VLG</v>
      </c>
      <c r="S781" s="1" t="str">
        <f>IF($D781="LEBL", IF(COUNTIF('Paises ECAC'!B:B, C781)&gt;0, "ECAC","NO ECAC"), "")</f>
        <v>ECAC</v>
      </c>
    </row>
    <row r="782" ht="14.25" customHeight="1">
      <c r="A782" s="1" t="s">
        <v>1328</v>
      </c>
      <c r="B782" s="1" t="s">
        <v>30</v>
      </c>
      <c r="C782" s="1" t="s">
        <v>166</v>
      </c>
      <c r="D782" s="1" t="s">
        <v>21</v>
      </c>
      <c r="E782" s="1" t="s">
        <v>1329</v>
      </c>
      <c r="F782" s="1">
        <v>360.0</v>
      </c>
      <c r="G782" s="5">
        <v>0.5888888888888889</v>
      </c>
      <c r="H782" s="1">
        <v>8.0</v>
      </c>
      <c r="I782" s="5">
        <v>0.7048611111111112</v>
      </c>
      <c r="J782" s="1" t="str">
        <f t="array" ref="J782">XLOOKUP(B782,cat!B:B,cat!C:C)</f>
        <v>D</v>
      </c>
      <c r="K782" s="1">
        <f t="array" ref="K782">XLOOKUP(B782,cat!B:B,cat!D:D)</f>
        <v>173</v>
      </c>
      <c r="L782" s="7">
        <f t="shared" si="1"/>
        <v>0.1159722222</v>
      </c>
      <c r="M782" s="7">
        <f t="shared" si="2"/>
        <v>0.09770833333</v>
      </c>
      <c r="P782" s="9"/>
      <c r="Q782" s="9">
        <f t="shared" si="3"/>
        <v>1946.35</v>
      </c>
      <c r="R782" s="1" t="str">
        <f t="shared" si="4"/>
        <v>VLG</v>
      </c>
      <c r="S782" s="1" t="str">
        <f>IF($D782="LEBL", IF(COUNTIF('Paises ECAC'!B:B, C782)&gt;0, "ECAC","NO ECAC"), "")</f>
        <v>ECAC</v>
      </c>
    </row>
    <row r="783" ht="14.25" customHeight="1">
      <c r="A783" s="1" t="s">
        <v>1330</v>
      </c>
      <c r="B783" s="1" t="s">
        <v>19</v>
      </c>
      <c r="C783" s="1" t="s">
        <v>21</v>
      </c>
      <c r="D783" s="1" t="s">
        <v>1331</v>
      </c>
      <c r="E783" s="1" t="s">
        <v>1215</v>
      </c>
      <c r="F783" s="1">
        <v>370.0</v>
      </c>
      <c r="G783" s="5">
        <v>0.7048611111111112</v>
      </c>
      <c r="H783" s="1">
        <v>20.0</v>
      </c>
      <c r="I783" s="5">
        <v>0.7777777777777778</v>
      </c>
      <c r="J783" s="1" t="str">
        <f t="array" ref="J783">XLOOKUP(B783,cat!B:B,cat!C:C)</f>
        <v>D</v>
      </c>
      <c r="K783" s="1">
        <f t="array" ref="K783">XLOOKUP(B783,cat!B:B,cat!D:D)</f>
        <v>184</v>
      </c>
      <c r="L783" s="7">
        <f t="shared" si="1"/>
        <v>0.07291666667</v>
      </c>
      <c r="M783" s="1" t="str">
        <f t="shared" si="2"/>
        <v/>
      </c>
      <c r="P783" s="9"/>
      <c r="Q783" s="9">
        <f t="shared" si="3"/>
        <v>0</v>
      </c>
      <c r="R783" s="1" t="str">
        <f t="shared" si="4"/>
        <v>RYR</v>
      </c>
      <c r="S783" s="1" t="str">
        <f>IF($D783="LEBL", IF(COUNTIF('Paises ECAC'!B:B, C783)&gt;0, "ECAC","NO ECAC"), "")</f>
        <v/>
      </c>
    </row>
    <row r="784" ht="14.25" customHeight="1">
      <c r="A784" s="1" t="s">
        <v>1332</v>
      </c>
      <c r="B784" s="1" t="s">
        <v>212</v>
      </c>
      <c r="C784" s="1" t="s">
        <v>374</v>
      </c>
      <c r="D784" s="1" t="s">
        <v>21</v>
      </c>
      <c r="E784" s="1" t="s">
        <v>1333</v>
      </c>
      <c r="F784" s="1">
        <v>350.0</v>
      </c>
      <c r="G784" s="5">
        <v>0.6229166666666667</v>
      </c>
      <c r="H784" s="1">
        <v>10.0</v>
      </c>
      <c r="I784" s="5">
        <v>0.7048611111111112</v>
      </c>
      <c r="J784" s="1" t="str">
        <f t="array" ref="J784">XLOOKUP(B784,cat!B:B,cat!C:C)</f>
        <v>D</v>
      </c>
      <c r="K784" s="1">
        <f t="array" ref="K784">XLOOKUP(B784,cat!B:B,cat!D:D)</f>
        <v>200</v>
      </c>
      <c r="L784" s="7">
        <f t="shared" si="1"/>
        <v>0.08194444444</v>
      </c>
      <c r="M784" s="7">
        <f t="shared" si="2"/>
        <v>0.06229166667</v>
      </c>
      <c r="P784" s="9"/>
      <c r="Q784" s="9">
        <f t="shared" si="3"/>
        <v>1240.85</v>
      </c>
      <c r="R784" s="1" t="str">
        <f t="shared" si="4"/>
        <v>WZZ</v>
      </c>
      <c r="S784" s="1" t="str">
        <f>IF($D784="LEBL", IF(COUNTIF('Paises ECAC'!B:B, C784)&gt;0, "ECAC","NO ECAC"), "")</f>
        <v>ECAC</v>
      </c>
    </row>
    <row r="785" ht="14.25" customHeight="1">
      <c r="A785" s="1" t="s">
        <v>1334</v>
      </c>
      <c r="B785" s="1" t="s">
        <v>800</v>
      </c>
      <c r="C785" s="1" t="s">
        <v>1335</v>
      </c>
      <c r="D785" s="1" t="s">
        <v>21</v>
      </c>
      <c r="E785" s="1" t="s">
        <v>1336</v>
      </c>
      <c r="F785" s="1">
        <v>350.0</v>
      </c>
      <c r="G785" s="5">
        <v>0.6527777777777778</v>
      </c>
      <c r="H785" s="1">
        <v>10.0</v>
      </c>
      <c r="I785" s="5">
        <v>0.7083333333333334</v>
      </c>
      <c r="J785" s="1" t="str">
        <f t="array" ref="J785">XLOOKUP(B785,cat!B:B,cat!C:C)</f>
        <v>E</v>
      </c>
      <c r="K785" s="1">
        <f t="array" ref="K785">XLOOKUP(B785,cat!B:B,cat!D:D)</f>
        <v>9</v>
      </c>
      <c r="L785" s="7">
        <f t="shared" si="1"/>
        <v>0.05555555556</v>
      </c>
      <c r="M785" s="7">
        <f t="shared" si="2"/>
        <v>0.03590277778</v>
      </c>
      <c r="P785" s="9"/>
      <c r="Q785" s="9">
        <f t="shared" si="3"/>
        <v>387.75</v>
      </c>
      <c r="R785" s="1" t="str">
        <f t="shared" si="4"/>
        <v>NJE</v>
      </c>
      <c r="S785" s="1" t="str">
        <f>IF($D785="LEBL", IF(COUNTIF('Paises ECAC'!B:B, C785)&gt;0, "ECAC","NO ECAC"), "")</f>
        <v>NO ECAC</v>
      </c>
    </row>
    <row r="786" ht="14.25" customHeight="1">
      <c r="A786" s="1" t="s">
        <v>1337</v>
      </c>
      <c r="B786" s="1" t="s">
        <v>30</v>
      </c>
      <c r="C786" s="1" t="s">
        <v>21</v>
      </c>
      <c r="D786" s="1" t="s">
        <v>274</v>
      </c>
      <c r="E786" s="1" t="s">
        <v>1338</v>
      </c>
      <c r="F786" s="1">
        <v>360.0</v>
      </c>
      <c r="G786" s="5">
        <v>0.7055555555555556</v>
      </c>
      <c r="H786" s="1">
        <v>16.0</v>
      </c>
      <c r="I786" s="5">
        <v>0.78125</v>
      </c>
      <c r="J786" s="1" t="str">
        <f t="array" ref="J786">XLOOKUP(B786,cat!B:B,cat!C:C)</f>
        <v>D</v>
      </c>
      <c r="K786" s="1">
        <f t="array" ref="K786">XLOOKUP(B786,cat!B:B,cat!D:D)</f>
        <v>173</v>
      </c>
      <c r="L786" s="7">
        <f t="shared" si="1"/>
        <v>0.07569444444</v>
      </c>
      <c r="M786" s="1" t="str">
        <f t="shared" si="2"/>
        <v/>
      </c>
      <c r="P786" s="9"/>
      <c r="Q786" s="9">
        <f t="shared" si="3"/>
        <v>0</v>
      </c>
      <c r="R786" s="1" t="str">
        <f t="shared" si="4"/>
        <v>VLG</v>
      </c>
      <c r="S786" s="1" t="str">
        <f>IF($D786="LEBL", IF(COUNTIF('Paises ECAC'!B:B, C786)&gt;0, "ECAC","NO ECAC"), "")</f>
        <v/>
      </c>
    </row>
    <row r="787" ht="14.25" customHeight="1">
      <c r="A787" s="1" t="s">
        <v>1339</v>
      </c>
      <c r="B787" s="1" t="s">
        <v>212</v>
      </c>
      <c r="C787" s="1" t="s">
        <v>68</v>
      </c>
      <c r="D787" s="1" t="s">
        <v>21</v>
      </c>
      <c r="E787" s="1" t="s">
        <v>1340</v>
      </c>
      <c r="F787" s="1">
        <v>360.0</v>
      </c>
      <c r="G787" s="5">
        <v>0.5972222222222222</v>
      </c>
      <c r="H787" s="1">
        <v>21.0</v>
      </c>
      <c r="I787" s="5">
        <v>0.7083333333333334</v>
      </c>
      <c r="J787" s="1" t="str">
        <f t="array" ref="J787">XLOOKUP(B787,cat!B:B,cat!C:C)</f>
        <v>D</v>
      </c>
      <c r="K787" s="1">
        <f t="array" ref="K787">XLOOKUP(B787,cat!B:B,cat!D:D)</f>
        <v>200</v>
      </c>
      <c r="L787" s="7">
        <f t="shared" si="1"/>
        <v>0.1111111111</v>
      </c>
      <c r="M787" s="7">
        <f t="shared" si="2"/>
        <v>0.08381944444</v>
      </c>
      <c r="P787" s="9"/>
      <c r="Q787" s="9">
        <f t="shared" si="3"/>
        <v>1669.683333</v>
      </c>
      <c r="R787" s="1" t="str">
        <f t="shared" si="4"/>
        <v>WZZ</v>
      </c>
      <c r="S787" s="1" t="str">
        <f>IF($D787="LEBL", IF(COUNTIF('Paises ECAC'!B:B, C787)&gt;0, "ECAC","NO ECAC"), "")</f>
        <v>ECAC</v>
      </c>
    </row>
    <row r="788" ht="14.25" customHeight="1">
      <c r="A788" s="1" t="s">
        <v>1341</v>
      </c>
      <c r="B788" s="1" t="s">
        <v>40</v>
      </c>
      <c r="C788" s="1" t="s">
        <v>485</v>
      </c>
      <c r="D788" s="1" t="s">
        <v>21</v>
      </c>
      <c r="E788" s="1" t="s">
        <v>1342</v>
      </c>
      <c r="F788" s="1">
        <v>390.0</v>
      </c>
      <c r="G788" s="5">
        <v>0.6402777777777777</v>
      </c>
      <c r="H788" s="1">
        <v>17.0</v>
      </c>
      <c r="I788" s="5">
        <v>0.7083333333333334</v>
      </c>
      <c r="J788" s="1" t="str">
        <f t="array" ref="J788">XLOOKUP(B788,cat!B:B,cat!C:C)</f>
        <v>D</v>
      </c>
      <c r="K788" s="1">
        <f t="array" ref="K788">XLOOKUP(B788,cat!B:B,cat!D:D)</f>
        <v>186</v>
      </c>
      <c r="L788" s="7">
        <f t="shared" si="1"/>
        <v>0.06805555556</v>
      </c>
      <c r="M788" s="7">
        <f t="shared" si="2"/>
        <v>0.04354166667</v>
      </c>
      <c r="P788" s="9"/>
      <c r="Q788" s="9">
        <f t="shared" si="3"/>
        <v>867.35</v>
      </c>
      <c r="R788" s="1" t="str">
        <f t="shared" si="4"/>
        <v>RYR</v>
      </c>
      <c r="S788" s="1" t="str">
        <f>IF($D788="LEBL", IF(COUNTIF('Paises ECAC'!B:B, C788)&gt;0, "ECAC","NO ECAC"), "")</f>
        <v>ECAC</v>
      </c>
    </row>
    <row r="789" ht="14.25" customHeight="1">
      <c r="A789" s="1" t="s">
        <v>1343</v>
      </c>
      <c r="B789" s="1" t="s">
        <v>182</v>
      </c>
      <c r="C789" s="1" t="s">
        <v>175</v>
      </c>
      <c r="D789" s="1" t="s">
        <v>21</v>
      </c>
      <c r="E789" s="1" t="s">
        <v>1344</v>
      </c>
      <c r="F789" s="1">
        <v>400.0</v>
      </c>
      <c r="G789" s="5">
        <v>0.4270833333333333</v>
      </c>
      <c r="H789" s="1">
        <v>10.0</v>
      </c>
      <c r="I789" s="5">
        <v>0.7118055555555556</v>
      </c>
      <c r="J789" s="1" t="str">
        <f t="array" ref="J789">XLOOKUP(B789,cat!B:B,cat!C:C)</f>
        <v>B</v>
      </c>
      <c r="K789" s="1">
        <f t="array" ref="K789">XLOOKUP(B789,cat!B:B,cat!D:D)</f>
        <v>284</v>
      </c>
      <c r="L789" s="7">
        <f t="shared" si="1"/>
        <v>0.2847222222</v>
      </c>
      <c r="M789" s="7">
        <f t="shared" si="2"/>
        <v>0.2650694444</v>
      </c>
      <c r="P789" s="9"/>
      <c r="Q789" s="9">
        <f t="shared" si="3"/>
        <v>5725.5</v>
      </c>
      <c r="R789" s="1" t="str">
        <f t="shared" si="4"/>
        <v>ETD</v>
      </c>
      <c r="S789" s="1" t="str">
        <f>IF($D789="LEBL", IF(COUNTIF('Paises ECAC'!B:B, C789)&gt;0, "ECAC","NO ECAC"), "")</f>
        <v>NO ECAC</v>
      </c>
    </row>
    <row r="790" ht="14.25" customHeight="1">
      <c r="A790" s="1" t="s">
        <v>1345</v>
      </c>
      <c r="B790" s="1" t="s">
        <v>35</v>
      </c>
      <c r="C790" s="1" t="s">
        <v>156</v>
      </c>
      <c r="D790" s="1" t="s">
        <v>21</v>
      </c>
      <c r="E790" s="1" t="s">
        <v>193</v>
      </c>
      <c r="F790" s="1">
        <v>180.0</v>
      </c>
      <c r="G790" s="5">
        <v>0.6833333333333333</v>
      </c>
      <c r="H790" s="1">
        <v>5.0</v>
      </c>
      <c r="I790" s="5">
        <v>0.7118055555555556</v>
      </c>
      <c r="J790" s="1" t="str">
        <f t="array" ref="J790">XLOOKUP(B790,cat!B:B,cat!C:C)</f>
        <v>D</v>
      </c>
      <c r="K790" s="1">
        <f t="array" ref="K790">XLOOKUP(B790,cat!B:B,cat!D:D)</f>
        <v>207</v>
      </c>
      <c r="L790" s="7">
        <f t="shared" si="1"/>
        <v>0.02847222222</v>
      </c>
      <c r="M790" s="7">
        <f t="shared" si="2"/>
        <v>0.01229166667</v>
      </c>
      <c r="P790" s="9"/>
      <c r="Q790" s="9">
        <f t="shared" si="3"/>
        <v>244.85</v>
      </c>
      <c r="R790" s="1" t="str">
        <f t="shared" si="4"/>
        <v>VLG</v>
      </c>
      <c r="S790" s="1" t="str">
        <f>IF($D790="LEBL", IF(COUNTIF('Paises ECAC'!B:B, C790)&gt;0, "ECAC","NO ECAC"), "")</f>
        <v>ECAC</v>
      </c>
    </row>
    <row r="791" ht="14.25" customHeight="1">
      <c r="A791" s="1" t="s">
        <v>1346</v>
      </c>
      <c r="B791" s="1" t="s">
        <v>30</v>
      </c>
      <c r="C791" s="1" t="s">
        <v>21</v>
      </c>
      <c r="D791" s="1" t="s">
        <v>287</v>
      </c>
      <c r="E791" s="1" t="s">
        <v>1347</v>
      </c>
      <c r="F791" s="1">
        <v>380.0</v>
      </c>
      <c r="G791" s="5">
        <v>0.7166666666666667</v>
      </c>
      <c r="H791" s="1">
        <v>17.0</v>
      </c>
      <c r="I791" s="5">
        <v>0.7847222222222222</v>
      </c>
      <c r="J791" s="1" t="str">
        <f t="array" ref="J791">XLOOKUP(B791,cat!B:B,cat!C:C)</f>
        <v>D</v>
      </c>
      <c r="K791" s="1">
        <f t="array" ref="K791">XLOOKUP(B791,cat!B:B,cat!D:D)</f>
        <v>173</v>
      </c>
      <c r="L791" s="7">
        <f t="shared" si="1"/>
        <v>0.06805555556</v>
      </c>
      <c r="M791" s="1" t="str">
        <f t="shared" si="2"/>
        <v/>
      </c>
      <c r="P791" s="9"/>
      <c r="Q791" s="9">
        <f t="shared" si="3"/>
        <v>0</v>
      </c>
      <c r="R791" s="1" t="str">
        <f t="shared" si="4"/>
        <v>VLG</v>
      </c>
      <c r="S791" s="1" t="str">
        <f>IF($D791="LEBL", IF(COUNTIF('Paises ECAC'!B:B, C791)&gt;0, "ECAC","NO ECAC"), "")</f>
        <v/>
      </c>
    </row>
    <row r="792" ht="14.25" customHeight="1">
      <c r="A792" s="1" t="s">
        <v>1348</v>
      </c>
      <c r="B792" s="1" t="s">
        <v>136</v>
      </c>
      <c r="C792" s="1" t="s">
        <v>21</v>
      </c>
      <c r="D792" s="1" t="s">
        <v>137</v>
      </c>
      <c r="E792" s="1" t="s">
        <v>238</v>
      </c>
      <c r="F792" s="1">
        <v>320.0</v>
      </c>
      <c r="G792" s="5">
        <v>0.7173611111111111</v>
      </c>
      <c r="H792" s="1">
        <v>21.0</v>
      </c>
      <c r="I792" s="5">
        <v>0.7638888888888888</v>
      </c>
      <c r="J792" s="1" t="str">
        <f t="array" ref="J792">XLOOKUP(B792,cat!B:B,cat!C:C)</f>
        <v>D</v>
      </c>
      <c r="K792" s="1">
        <f t="array" ref="K792">XLOOKUP(B792,cat!B:B,cat!D:D)</f>
        <v>144</v>
      </c>
      <c r="L792" s="7">
        <f t="shared" si="1"/>
        <v>0.04652777778</v>
      </c>
      <c r="M792" s="1" t="str">
        <f t="shared" si="2"/>
        <v/>
      </c>
      <c r="P792" s="9"/>
      <c r="Q792" s="9">
        <f t="shared" si="3"/>
        <v>0</v>
      </c>
      <c r="R792" s="1" t="str">
        <f t="shared" si="4"/>
        <v>EJU</v>
      </c>
      <c r="S792" s="1" t="str">
        <f>IF($D792="LEBL", IF(COUNTIF('Paises ECAC'!B:B, C792)&gt;0, "ECAC","NO ECAC"), "")</f>
        <v/>
      </c>
    </row>
    <row r="793" ht="14.25" customHeight="1">
      <c r="A793" s="1" t="s">
        <v>1349</v>
      </c>
      <c r="B793" s="1" t="s">
        <v>30</v>
      </c>
      <c r="C793" s="1" t="s">
        <v>258</v>
      </c>
      <c r="D793" s="1" t="s">
        <v>21</v>
      </c>
      <c r="E793" s="1" t="s">
        <v>127</v>
      </c>
      <c r="F793" s="1">
        <v>320.0</v>
      </c>
      <c r="G793" s="5">
        <v>0.6701388888888888</v>
      </c>
      <c r="H793" s="1">
        <v>5.0</v>
      </c>
      <c r="I793" s="5">
        <v>0.7152777777777778</v>
      </c>
      <c r="J793" s="1" t="str">
        <f t="array" ref="J793">XLOOKUP(B793,cat!B:B,cat!C:C)</f>
        <v>D</v>
      </c>
      <c r="K793" s="1">
        <f t="array" ref="K793">XLOOKUP(B793,cat!B:B,cat!D:D)</f>
        <v>173</v>
      </c>
      <c r="L793" s="7">
        <f t="shared" si="1"/>
        <v>0.04513888889</v>
      </c>
      <c r="M793" s="7">
        <f t="shared" si="2"/>
        <v>0.02895833333</v>
      </c>
      <c r="P793" s="9"/>
      <c r="Q793" s="9">
        <f t="shared" si="3"/>
        <v>576.85</v>
      </c>
      <c r="R793" s="1" t="str">
        <f t="shared" si="4"/>
        <v>VLG</v>
      </c>
      <c r="S793" s="1" t="str">
        <f>IF($D793="LEBL", IF(COUNTIF('Paises ECAC'!B:B, C793)&gt;0, "ECAC","NO ECAC"), "")</f>
        <v>ECAC</v>
      </c>
    </row>
    <row r="794" ht="14.25" customHeight="1">
      <c r="A794" s="1" t="s">
        <v>1350</v>
      </c>
      <c r="B794" s="1" t="s">
        <v>19</v>
      </c>
      <c r="C794" s="1" t="s">
        <v>245</v>
      </c>
      <c r="D794" s="1" t="s">
        <v>21</v>
      </c>
      <c r="E794" s="1" t="s">
        <v>146</v>
      </c>
      <c r="F794" s="1">
        <v>240.0</v>
      </c>
      <c r="G794" s="5">
        <v>0.6875</v>
      </c>
      <c r="H794" s="1">
        <v>7.0</v>
      </c>
      <c r="I794" s="5">
        <v>0.7152777777777778</v>
      </c>
      <c r="J794" s="1" t="str">
        <f t="array" ref="J794">XLOOKUP(B794,cat!B:B,cat!C:C)</f>
        <v>D</v>
      </c>
      <c r="K794" s="1">
        <f t="array" ref="K794">XLOOKUP(B794,cat!B:B,cat!D:D)</f>
        <v>184</v>
      </c>
      <c r="L794" s="7">
        <f t="shared" si="1"/>
        <v>0.02777777778</v>
      </c>
      <c r="M794" s="7">
        <f t="shared" si="2"/>
        <v>0.01020833333</v>
      </c>
      <c r="P794" s="9"/>
      <c r="Q794" s="9">
        <f t="shared" si="3"/>
        <v>203.35</v>
      </c>
      <c r="R794" s="1" t="str">
        <f t="shared" si="4"/>
        <v>RYR</v>
      </c>
      <c r="S794" s="1" t="str">
        <f>IF($D794="LEBL", IF(COUNTIF('Paises ECAC'!B:B, C794)&gt;0, "ECAC","NO ECAC"), "")</f>
        <v>ECAC</v>
      </c>
    </row>
    <row r="795" ht="14.25" customHeight="1">
      <c r="A795" s="1" t="s">
        <v>1351</v>
      </c>
      <c r="B795" s="1" t="s">
        <v>544</v>
      </c>
      <c r="C795" s="1" t="s">
        <v>21</v>
      </c>
      <c r="D795" s="1" t="s">
        <v>287</v>
      </c>
      <c r="E795" s="1" t="s">
        <v>1241</v>
      </c>
      <c r="F795" s="1">
        <v>340.0</v>
      </c>
      <c r="G795" s="5">
        <v>0.7152777777777778</v>
      </c>
      <c r="H795" s="1">
        <v>11.0</v>
      </c>
      <c r="I795" s="5">
        <v>0.7881944444444444</v>
      </c>
      <c r="J795" s="1" t="str">
        <f t="array" ref="J795">XLOOKUP(B795,cat!B:B,cat!C:C)</f>
        <v>D</v>
      </c>
      <c r="K795" s="1">
        <f t="array" ref="K795">XLOOKUP(B795,cat!B:B,cat!D:D)</f>
        <v>148</v>
      </c>
      <c r="L795" s="7">
        <f t="shared" si="1"/>
        <v>0.07291666667</v>
      </c>
      <c r="M795" s="1" t="str">
        <f t="shared" si="2"/>
        <v/>
      </c>
      <c r="P795" s="9"/>
      <c r="Q795" s="9">
        <f t="shared" si="3"/>
        <v>0</v>
      </c>
      <c r="R795" s="1" t="str">
        <f t="shared" si="4"/>
        <v>DLH</v>
      </c>
      <c r="S795" s="1" t="str">
        <f>IF($D795="LEBL", IF(COUNTIF('Paises ECAC'!B:B, C795)&gt;0, "ECAC","NO ECAC"), "")</f>
        <v/>
      </c>
    </row>
    <row r="796" ht="14.25" customHeight="1">
      <c r="A796" s="1" t="s">
        <v>1352</v>
      </c>
      <c r="B796" s="1" t="s">
        <v>30</v>
      </c>
      <c r="C796" s="1" t="s">
        <v>21</v>
      </c>
      <c r="D796" s="1" t="s">
        <v>36</v>
      </c>
      <c r="E796" s="1" t="s">
        <v>71</v>
      </c>
      <c r="F796" s="1">
        <v>350.0</v>
      </c>
      <c r="G796" s="5">
        <v>0.7152777777777778</v>
      </c>
      <c r="H796" s="1">
        <v>10.0</v>
      </c>
      <c r="I796" s="5">
        <v>0.8263888888888888</v>
      </c>
      <c r="J796" s="1" t="str">
        <f t="array" ref="J796">XLOOKUP(B796,cat!B:B,cat!C:C)</f>
        <v>D</v>
      </c>
      <c r="K796" s="1">
        <f t="array" ref="K796">XLOOKUP(B796,cat!B:B,cat!D:D)</f>
        <v>173</v>
      </c>
      <c r="L796" s="7">
        <f t="shared" si="1"/>
        <v>0.1111111111</v>
      </c>
      <c r="M796" s="1" t="str">
        <f t="shared" si="2"/>
        <v/>
      </c>
      <c r="P796" s="9"/>
      <c r="Q796" s="9">
        <f t="shared" si="3"/>
        <v>0</v>
      </c>
      <c r="R796" s="1" t="str">
        <f t="shared" si="4"/>
        <v>VLG</v>
      </c>
      <c r="S796" s="1" t="str">
        <f>IF($D796="LEBL", IF(COUNTIF('Paises ECAC'!B:B, C796)&gt;0, "ECAC","NO ECAC"), "")</f>
        <v/>
      </c>
    </row>
    <row r="797" ht="14.25" customHeight="1">
      <c r="A797" s="1" t="s">
        <v>1353</v>
      </c>
      <c r="B797" s="1" t="s">
        <v>30</v>
      </c>
      <c r="C797" s="1" t="s">
        <v>21</v>
      </c>
      <c r="D797" s="1" t="s">
        <v>304</v>
      </c>
      <c r="E797" s="1" t="s">
        <v>1202</v>
      </c>
      <c r="F797" s="1">
        <v>360.0</v>
      </c>
      <c r="G797" s="5">
        <v>0.7194444444444444</v>
      </c>
      <c r="H797" s="1">
        <v>20.0</v>
      </c>
      <c r="I797" s="5">
        <v>0.8055555555555556</v>
      </c>
      <c r="J797" s="1" t="str">
        <f t="array" ref="J797">XLOOKUP(B797,cat!B:B,cat!C:C)</f>
        <v>D</v>
      </c>
      <c r="K797" s="1">
        <f t="array" ref="K797">XLOOKUP(B797,cat!B:B,cat!D:D)</f>
        <v>173</v>
      </c>
      <c r="L797" s="7">
        <f t="shared" si="1"/>
        <v>0.08611111111</v>
      </c>
      <c r="M797" s="1" t="str">
        <f t="shared" si="2"/>
        <v/>
      </c>
      <c r="P797" s="9"/>
      <c r="Q797" s="9">
        <f t="shared" si="3"/>
        <v>0</v>
      </c>
      <c r="R797" s="1" t="str">
        <f t="shared" si="4"/>
        <v>EWG</v>
      </c>
      <c r="S797" s="1" t="str">
        <f>IF($D797="LEBL", IF(COUNTIF('Paises ECAC'!B:B, C797)&gt;0, "ECAC","NO ECAC"), "")</f>
        <v/>
      </c>
    </row>
    <row r="798" ht="14.25" customHeight="1">
      <c r="A798" s="1" t="s">
        <v>1354</v>
      </c>
      <c r="B798" s="1" t="s">
        <v>19</v>
      </c>
      <c r="C798" s="1" t="s">
        <v>958</v>
      </c>
      <c r="D798" s="1" t="s">
        <v>21</v>
      </c>
      <c r="E798" s="1" t="s">
        <v>1355</v>
      </c>
      <c r="F798" s="1">
        <v>400.0</v>
      </c>
      <c r="G798" s="5">
        <v>0.6395833333333333</v>
      </c>
      <c r="H798" s="1">
        <v>16.0</v>
      </c>
      <c r="I798" s="5">
        <v>0.7152777777777778</v>
      </c>
      <c r="J798" s="1" t="str">
        <f t="array" ref="J798">XLOOKUP(B798,cat!B:B,cat!C:C)</f>
        <v>D</v>
      </c>
      <c r="K798" s="1">
        <f t="array" ref="K798">XLOOKUP(B798,cat!B:B,cat!D:D)</f>
        <v>184</v>
      </c>
      <c r="L798" s="7">
        <f t="shared" si="1"/>
        <v>0.07569444444</v>
      </c>
      <c r="M798" s="7">
        <f t="shared" si="2"/>
        <v>0.051875</v>
      </c>
      <c r="P798" s="9"/>
      <c r="Q798" s="9">
        <f t="shared" si="3"/>
        <v>1033.35</v>
      </c>
      <c r="R798" s="1" t="str">
        <f t="shared" si="4"/>
        <v>RAM</v>
      </c>
      <c r="S798" s="1" t="str">
        <f>IF($D798="LEBL", IF(COUNTIF('Paises ECAC'!B:B, C798)&gt;0, "ECAC","NO ECAC"), "")</f>
        <v>NO ECAC</v>
      </c>
    </row>
    <row r="799" ht="14.25" customHeight="1">
      <c r="A799" s="1" t="s">
        <v>1356</v>
      </c>
      <c r="B799" s="1" t="s">
        <v>30</v>
      </c>
      <c r="C799" s="1" t="s">
        <v>329</v>
      </c>
      <c r="D799" s="1" t="s">
        <v>21</v>
      </c>
      <c r="E799" s="1" t="s">
        <v>275</v>
      </c>
      <c r="F799" s="1">
        <v>320.0</v>
      </c>
      <c r="G799" s="5">
        <v>0.6597222222222222</v>
      </c>
      <c r="H799" s="1">
        <v>15.0</v>
      </c>
      <c r="I799" s="5">
        <v>0.7152777777777778</v>
      </c>
      <c r="J799" s="1" t="str">
        <f t="array" ref="J799">XLOOKUP(B799,cat!B:B,cat!C:C)</f>
        <v>D</v>
      </c>
      <c r="K799" s="1">
        <f t="array" ref="K799">XLOOKUP(B799,cat!B:B,cat!D:D)</f>
        <v>173</v>
      </c>
      <c r="L799" s="7">
        <f t="shared" si="1"/>
        <v>0.05555555556</v>
      </c>
      <c r="M799" s="7">
        <f t="shared" si="2"/>
        <v>0.03243055556</v>
      </c>
      <c r="P799" s="9"/>
      <c r="Q799" s="9">
        <f t="shared" si="3"/>
        <v>646.0166667</v>
      </c>
      <c r="R799" s="1" t="str">
        <f t="shared" si="4"/>
        <v>VLG</v>
      </c>
      <c r="S799" s="1" t="str">
        <f>IF($D799="LEBL", IF(COUNTIF('Paises ECAC'!B:B, C799)&gt;0, "ECAC","NO ECAC"), "")</f>
        <v>ECAC</v>
      </c>
    </row>
    <row r="800" ht="14.25" customHeight="1">
      <c r="A800" s="1" t="s">
        <v>1357</v>
      </c>
      <c r="B800" s="1" t="s">
        <v>35</v>
      </c>
      <c r="C800" s="1" t="s">
        <v>21</v>
      </c>
      <c r="D800" s="1" t="s">
        <v>234</v>
      </c>
      <c r="E800" s="1" t="s">
        <v>1267</v>
      </c>
      <c r="F800" s="1">
        <v>290.0</v>
      </c>
      <c r="G800" s="5">
        <v>0.7020833333333333</v>
      </c>
      <c r="H800" s="1">
        <v>12.0</v>
      </c>
      <c r="I800" s="5">
        <v>0.7534722222222222</v>
      </c>
      <c r="J800" s="1" t="str">
        <f t="array" ref="J800">XLOOKUP(B800,cat!B:B,cat!C:C)</f>
        <v>D</v>
      </c>
      <c r="K800" s="1">
        <f t="array" ref="K800">XLOOKUP(B800,cat!B:B,cat!D:D)</f>
        <v>207</v>
      </c>
      <c r="L800" s="7">
        <f t="shared" si="1"/>
        <v>0.05138888889</v>
      </c>
      <c r="M800" s="1" t="str">
        <f t="shared" si="2"/>
        <v/>
      </c>
      <c r="P800" s="9"/>
      <c r="Q800" s="9">
        <f t="shared" si="3"/>
        <v>0</v>
      </c>
      <c r="R800" s="1" t="str">
        <f t="shared" si="4"/>
        <v>IBE</v>
      </c>
      <c r="S800" s="1" t="str">
        <f>IF($D800="LEBL", IF(COUNTIF('Paises ECAC'!B:B, C800)&gt;0, "ECAC","NO ECAC"), "")</f>
        <v/>
      </c>
    </row>
    <row r="801" ht="14.25" customHeight="1">
      <c r="A801" s="1" t="s">
        <v>1358</v>
      </c>
      <c r="B801" s="1" t="s">
        <v>19</v>
      </c>
      <c r="C801" s="1" t="s">
        <v>21</v>
      </c>
      <c r="D801" s="1" t="s">
        <v>156</v>
      </c>
      <c r="E801" s="1" t="s">
        <v>313</v>
      </c>
      <c r="F801" s="1">
        <v>170.0</v>
      </c>
      <c r="G801" s="5">
        <v>0.7166666666666667</v>
      </c>
      <c r="H801" s="1">
        <v>10.0</v>
      </c>
      <c r="I801" s="5">
        <v>0.7361111111111112</v>
      </c>
      <c r="J801" s="1" t="str">
        <f t="array" ref="J801">XLOOKUP(B801,cat!B:B,cat!C:C)</f>
        <v>D</v>
      </c>
      <c r="K801" s="1">
        <f t="array" ref="K801">XLOOKUP(B801,cat!B:B,cat!D:D)</f>
        <v>184</v>
      </c>
      <c r="L801" s="7">
        <f t="shared" si="1"/>
        <v>0.01944444444</v>
      </c>
      <c r="M801" s="1" t="str">
        <f t="shared" si="2"/>
        <v/>
      </c>
      <c r="P801" s="9"/>
      <c r="Q801" s="9">
        <f t="shared" si="3"/>
        <v>0</v>
      </c>
      <c r="R801" s="1" t="str">
        <f t="shared" si="4"/>
        <v>AEA</v>
      </c>
      <c r="S801" s="1" t="str">
        <f>IF($D801="LEBL", IF(COUNTIF('Paises ECAC'!B:B, C801)&gt;0, "ECAC","NO ECAC"), "")</f>
        <v/>
      </c>
    </row>
    <row r="802" ht="14.25" customHeight="1">
      <c r="A802" s="1" t="s">
        <v>1359</v>
      </c>
      <c r="B802" s="1" t="s">
        <v>35</v>
      </c>
      <c r="C802" s="1" t="s">
        <v>156</v>
      </c>
      <c r="D802" s="1" t="s">
        <v>21</v>
      </c>
      <c r="E802" s="1" t="s">
        <v>219</v>
      </c>
      <c r="F802" s="1">
        <v>180.0</v>
      </c>
      <c r="G802" s="5">
        <v>0.7027777777777777</v>
      </c>
      <c r="H802" s="1">
        <v>17.0</v>
      </c>
      <c r="I802" s="5">
        <v>0.71875</v>
      </c>
      <c r="J802" s="1" t="str">
        <f t="array" ref="J802">XLOOKUP(B802,cat!B:B,cat!C:C)</f>
        <v>D</v>
      </c>
      <c r="K802" s="1">
        <f t="array" ref="K802">XLOOKUP(B802,cat!B:B,cat!D:D)</f>
        <v>207</v>
      </c>
      <c r="L802" s="7">
        <f t="shared" si="1"/>
        <v>0.01597222222</v>
      </c>
      <c r="M802" s="7">
        <f t="shared" si="2"/>
        <v>0.004166666667</v>
      </c>
      <c r="P802" s="9"/>
      <c r="Q802" s="9">
        <f t="shared" si="3"/>
        <v>83</v>
      </c>
      <c r="R802" s="1" t="str">
        <f t="shared" si="4"/>
        <v>VLG</v>
      </c>
      <c r="S802" s="1" t="str">
        <f>IF($D802="LEBL", IF(COUNTIF('Paises ECAC'!B:B, C802)&gt;0, "ECAC","NO ECAC"), "")</f>
        <v>ECAC</v>
      </c>
    </row>
    <row r="803" ht="14.25" customHeight="1">
      <c r="A803" s="1" t="s">
        <v>1360</v>
      </c>
      <c r="B803" s="1" t="s">
        <v>30</v>
      </c>
      <c r="C803" s="1" t="s">
        <v>21</v>
      </c>
      <c r="D803" s="1" t="s">
        <v>97</v>
      </c>
      <c r="E803" s="1" t="s">
        <v>323</v>
      </c>
      <c r="F803" s="1">
        <v>300.0</v>
      </c>
      <c r="G803" s="5">
        <v>0.7236111111111111</v>
      </c>
      <c r="H803" s="1">
        <v>11.0</v>
      </c>
      <c r="I803" s="5">
        <v>0.7743055555555556</v>
      </c>
      <c r="J803" s="1" t="str">
        <f t="array" ref="J803">XLOOKUP(B803,cat!B:B,cat!C:C)</f>
        <v>D</v>
      </c>
      <c r="K803" s="1">
        <f t="array" ref="K803">XLOOKUP(B803,cat!B:B,cat!D:D)</f>
        <v>173</v>
      </c>
      <c r="L803" s="7">
        <f t="shared" si="1"/>
        <v>0.05069444444</v>
      </c>
      <c r="M803" s="1" t="str">
        <f t="shared" si="2"/>
        <v/>
      </c>
      <c r="P803" s="9"/>
      <c r="Q803" s="9">
        <f t="shared" si="3"/>
        <v>0</v>
      </c>
      <c r="R803" s="1" t="str">
        <f t="shared" si="4"/>
        <v>VLG</v>
      </c>
      <c r="S803" s="1" t="str">
        <f>IF($D803="LEBL", IF(COUNTIF('Paises ECAC'!B:B, C803)&gt;0, "ECAC","NO ECAC"), "")</f>
        <v/>
      </c>
    </row>
    <row r="804" ht="14.25" customHeight="1">
      <c r="A804" s="1" t="s">
        <v>1361</v>
      </c>
      <c r="B804" s="1" t="s">
        <v>19</v>
      </c>
      <c r="C804" s="1" t="s">
        <v>1362</v>
      </c>
      <c r="D804" s="1" t="s">
        <v>21</v>
      </c>
      <c r="E804" s="1" t="s">
        <v>1363</v>
      </c>
      <c r="F804" s="1">
        <v>340.0</v>
      </c>
      <c r="G804" s="5">
        <v>0.6875</v>
      </c>
      <c r="H804" s="1">
        <v>5.0</v>
      </c>
      <c r="I804" s="5">
        <v>0.7222222222222222</v>
      </c>
      <c r="J804" s="1" t="str">
        <f t="array" ref="J804">XLOOKUP(B804,cat!B:B,cat!C:C)</f>
        <v>D</v>
      </c>
      <c r="K804" s="1">
        <f t="array" ref="K804">XLOOKUP(B804,cat!B:B,cat!D:D)</f>
        <v>184</v>
      </c>
      <c r="L804" s="7">
        <f t="shared" si="1"/>
        <v>0.03472222222</v>
      </c>
      <c r="M804" s="7">
        <f t="shared" si="2"/>
        <v>0.01854166667</v>
      </c>
      <c r="P804" s="9"/>
      <c r="Q804" s="9">
        <f t="shared" si="3"/>
        <v>369.35</v>
      </c>
      <c r="R804" s="1" t="str">
        <f t="shared" si="4"/>
        <v>DAH</v>
      </c>
      <c r="S804" s="1" t="str">
        <f>IF($D804="LEBL", IF(COUNTIF('Paises ECAC'!B:B, C804)&gt;0, "ECAC","NO ECAC"), "")</f>
        <v>NO ECAC</v>
      </c>
    </row>
    <row r="805" ht="14.25" customHeight="1">
      <c r="A805" s="1" t="s">
        <v>1364</v>
      </c>
      <c r="B805" s="1" t="s">
        <v>122</v>
      </c>
      <c r="C805" s="1" t="s">
        <v>1365</v>
      </c>
      <c r="D805" s="1" t="s">
        <v>21</v>
      </c>
      <c r="E805" s="1" t="s">
        <v>1366</v>
      </c>
      <c r="F805" s="1">
        <v>400.0</v>
      </c>
      <c r="G805" s="5">
        <v>0.125</v>
      </c>
      <c r="H805" s="1">
        <v>10.0</v>
      </c>
      <c r="I805" s="5">
        <v>0.7222222222222222</v>
      </c>
      <c r="J805" s="1" t="str">
        <f t="array" ref="J805">XLOOKUP(B805,cat!B:B,cat!C:C)</f>
        <v>B</v>
      </c>
      <c r="K805" s="1">
        <f t="array" ref="K805">XLOOKUP(B805,cat!B:B,cat!D:D)</f>
        <v>297</v>
      </c>
      <c r="L805" s="7">
        <f t="shared" si="1"/>
        <v>0.5972222222</v>
      </c>
      <c r="M805" s="7">
        <f t="shared" si="2"/>
        <v>0.5775694444</v>
      </c>
      <c r="P805" s="9"/>
      <c r="Q805" s="9">
        <f t="shared" si="3"/>
        <v>12475.5</v>
      </c>
      <c r="R805" s="1" t="str">
        <f t="shared" si="4"/>
        <v>AAR</v>
      </c>
      <c r="S805" s="1" t="str">
        <f>IF($D805="LEBL", IF(COUNTIF('Paises ECAC'!B:B, C805)&gt;0, "ECAC","NO ECAC"), "")</f>
        <v>NO ECAC</v>
      </c>
    </row>
    <row r="806" ht="14.25" customHeight="1">
      <c r="A806" s="1" t="s">
        <v>1367</v>
      </c>
      <c r="B806" s="1" t="s">
        <v>19</v>
      </c>
      <c r="C806" s="1" t="s">
        <v>140</v>
      </c>
      <c r="D806" s="1" t="s">
        <v>21</v>
      </c>
      <c r="E806" s="1" t="s">
        <v>928</v>
      </c>
      <c r="F806" s="1">
        <v>330.0</v>
      </c>
      <c r="G806" s="5">
        <v>0.675</v>
      </c>
      <c r="H806" s="1">
        <v>17.0</v>
      </c>
      <c r="I806" s="5">
        <v>0.7222222222222222</v>
      </c>
      <c r="J806" s="1" t="str">
        <f t="array" ref="J806">XLOOKUP(B806,cat!B:B,cat!C:C)</f>
        <v>D</v>
      </c>
      <c r="K806" s="1">
        <f t="array" ref="K806">XLOOKUP(B806,cat!B:B,cat!D:D)</f>
        <v>184</v>
      </c>
      <c r="L806" s="7">
        <f t="shared" si="1"/>
        <v>0.04722222222</v>
      </c>
      <c r="M806" s="7">
        <f t="shared" si="2"/>
        <v>0.02270833333</v>
      </c>
      <c r="P806" s="9"/>
      <c r="Q806" s="9">
        <f t="shared" si="3"/>
        <v>452.35</v>
      </c>
      <c r="R806" s="1" t="str">
        <f t="shared" si="4"/>
        <v>RYR</v>
      </c>
      <c r="S806" s="1" t="str">
        <f>IF($D806="LEBL", IF(COUNTIF('Paises ECAC'!B:B, C806)&gt;0, "ECAC","NO ECAC"), "")</f>
        <v>ECAC</v>
      </c>
    </row>
    <row r="807" ht="14.25" customHeight="1">
      <c r="A807" s="1" t="s">
        <v>1368</v>
      </c>
      <c r="B807" s="1" t="s">
        <v>35</v>
      </c>
      <c r="C807" s="1" t="s">
        <v>21</v>
      </c>
      <c r="D807" s="1" t="s">
        <v>116</v>
      </c>
      <c r="E807" s="1" t="s">
        <v>658</v>
      </c>
      <c r="F807" s="1">
        <v>360.0</v>
      </c>
      <c r="G807" s="5">
        <v>0.7236111111111111</v>
      </c>
      <c r="H807" s="1">
        <v>10.0</v>
      </c>
      <c r="I807" s="5">
        <v>0.78125</v>
      </c>
      <c r="J807" s="1" t="str">
        <f t="array" ref="J807">XLOOKUP(B807,cat!B:B,cat!C:C)</f>
        <v>D</v>
      </c>
      <c r="K807" s="1">
        <f t="array" ref="K807">XLOOKUP(B807,cat!B:B,cat!D:D)</f>
        <v>207</v>
      </c>
      <c r="L807" s="7">
        <f t="shared" si="1"/>
        <v>0.05763888889</v>
      </c>
      <c r="M807" s="1" t="str">
        <f t="shared" si="2"/>
        <v/>
      </c>
      <c r="P807" s="9"/>
      <c r="Q807" s="9">
        <f t="shared" si="3"/>
        <v>0</v>
      </c>
      <c r="R807" s="1" t="str">
        <f t="shared" si="4"/>
        <v>AFR</v>
      </c>
      <c r="S807" s="1" t="str">
        <f>IF($D807="LEBL", IF(COUNTIF('Paises ECAC'!B:B, C807)&gt;0, "ECAC","NO ECAC"), "")</f>
        <v/>
      </c>
    </row>
    <row r="808" ht="14.25" customHeight="1">
      <c r="A808" s="1" t="s">
        <v>1369</v>
      </c>
      <c r="B808" s="1" t="s">
        <v>30</v>
      </c>
      <c r="C808" s="1" t="s">
        <v>937</v>
      </c>
      <c r="D808" s="1" t="s">
        <v>21</v>
      </c>
      <c r="E808" s="1" t="s">
        <v>86</v>
      </c>
      <c r="F808" s="1">
        <v>360.0</v>
      </c>
      <c r="G808" s="5">
        <v>0.65625</v>
      </c>
      <c r="H808" s="1">
        <v>20.0</v>
      </c>
      <c r="I808" s="5">
        <v>0.7256944444444444</v>
      </c>
      <c r="J808" s="1" t="str">
        <f t="array" ref="J808">XLOOKUP(B808,cat!B:B,cat!C:C)</f>
        <v>D</v>
      </c>
      <c r="K808" s="1">
        <f t="array" ref="K808">XLOOKUP(B808,cat!B:B,cat!D:D)</f>
        <v>173</v>
      </c>
      <c r="L808" s="7">
        <f t="shared" si="1"/>
        <v>0.06944444444</v>
      </c>
      <c r="M808" s="7">
        <f t="shared" si="2"/>
        <v>0.04284722222</v>
      </c>
      <c r="P808" s="9"/>
      <c r="Q808" s="9">
        <f t="shared" si="3"/>
        <v>853.5166667</v>
      </c>
      <c r="R808" s="1" t="str">
        <f t="shared" si="4"/>
        <v>VLG</v>
      </c>
      <c r="S808" s="1" t="str">
        <f>IF($D808="LEBL", IF(COUNTIF('Paises ECAC'!B:B, C808)&gt;0, "ECAC","NO ECAC"), "")</f>
        <v>ECAC</v>
      </c>
    </row>
    <row r="809" ht="14.25" customHeight="1">
      <c r="A809" s="1" t="s">
        <v>1370</v>
      </c>
      <c r="B809" s="1" t="s">
        <v>19</v>
      </c>
      <c r="C809" s="1" t="s">
        <v>1371</v>
      </c>
      <c r="D809" s="1" t="s">
        <v>21</v>
      </c>
      <c r="E809" s="1" t="s">
        <v>1372</v>
      </c>
      <c r="F809" s="1">
        <v>410.0</v>
      </c>
      <c r="G809" s="5">
        <v>0.6631944444444444</v>
      </c>
      <c r="H809" s="1">
        <v>10.0</v>
      </c>
      <c r="I809" s="5">
        <v>0.7256944444444444</v>
      </c>
      <c r="J809" s="1" t="str">
        <f t="array" ref="J809">XLOOKUP(B809,cat!B:B,cat!C:C)</f>
        <v>D</v>
      </c>
      <c r="K809" s="1">
        <f t="array" ref="K809">XLOOKUP(B809,cat!B:B,cat!D:D)</f>
        <v>184</v>
      </c>
      <c r="L809" s="7">
        <f t="shared" si="1"/>
        <v>0.0625</v>
      </c>
      <c r="M809" s="7">
        <f t="shared" si="2"/>
        <v>0.04284722222</v>
      </c>
      <c r="P809" s="9"/>
      <c r="Q809" s="9">
        <f t="shared" si="3"/>
        <v>853.5166667</v>
      </c>
      <c r="R809" s="1" t="str">
        <f t="shared" si="4"/>
        <v>TRA</v>
      </c>
      <c r="S809" s="1" t="str">
        <f>IF($D809="LEBL", IF(COUNTIF('Paises ECAC'!B:B, C809)&gt;0, "ECAC","NO ECAC"), "")</f>
        <v>ECAC</v>
      </c>
    </row>
    <row r="810" ht="14.25" customHeight="1">
      <c r="A810" s="1" t="s">
        <v>1373</v>
      </c>
      <c r="B810" s="1" t="s">
        <v>25</v>
      </c>
      <c r="C810" s="1" t="s">
        <v>21</v>
      </c>
      <c r="D810" s="1" t="s">
        <v>240</v>
      </c>
      <c r="E810" s="1" t="s">
        <v>1280</v>
      </c>
      <c r="F810" s="1">
        <v>390.0</v>
      </c>
      <c r="G810" s="5">
        <v>0.7298611111111111</v>
      </c>
      <c r="H810" s="1">
        <v>10.0</v>
      </c>
      <c r="I810" s="5">
        <v>0.8576388888888888</v>
      </c>
      <c r="J810" s="1" t="str">
        <f t="array" ref="J810">XLOOKUP(B810,cat!B:B,cat!C:C)</f>
        <v>D</v>
      </c>
      <c r="K810" s="1">
        <f t="array" ref="K810">XLOOKUP(B810,cat!B:B,cat!D:D)</f>
        <v>180</v>
      </c>
      <c r="L810" s="7">
        <f t="shared" si="1"/>
        <v>0.1277777778</v>
      </c>
      <c r="M810" s="1" t="str">
        <f t="shared" si="2"/>
        <v/>
      </c>
      <c r="P810" s="9"/>
      <c r="Q810" s="9">
        <f t="shared" si="3"/>
        <v>0</v>
      </c>
      <c r="R810" s="1" t="str">
        <f t="shared" si="4"/>
        <v>SAS</v>
      </c>
      <c r="S810" s="1" t="str">
        <f>IF($D810="LEBL", IF(COUNTIF('Paises ECAC'!B:B, C810)&gt;0, "ECAC","NO ECAC"), "")</f>
        <v/>
      </c>
    </row>
    <row r="811" ht="14.25" customHeight="1">
      <c r="A811" s="1" t="s">
        <v>1374</v>
      </c>
      <c r="B811" s="1" t="s">
        <v>136</v>
      </c>
      <c r="C811" s="1" t="s">
        <v>1375</v>
      </c>
      <c r="D811" s="1" t="s">
        <v>21</v>
      </c>
      <c r="E811" s="1" t="s">
        <v>1376</v>
      </c>
      <c r="F811" s="1">
        <v>320.0</v>
      </c>
      <c r="G811" s="5">
        <v>0.6354166666666666</v>
      </c>
      <c r="H811" s="1">
        <v>10.0</v>
      </c>
      <c r="I811" s="5">
        <v>0.7256944444444444</v>
      </c>
      <c r="J811" s="1" t="str">
        <f t="array" ref="J811">XLOOKUP(B811,cat!B:B,cat!C:C)</f>
        <v>D</v>
      </c>
      <c r="K811" s="1">
        <f t="array" ref="K811">XLOOKUP(B811,cat!B:B,cat!D:D)</f>
        <v>144</v>
      </c>
      <c r="L811" s="7">
        <f t="shared" si="1"/>
        <v>0.09027777778</v>
      </c>
      <c r="M811" s="7">
        <f t="shared" si="2"/>
        <v>0.070625</v>
      </c>
      <c r="P811" s="9"/>
      <c r="Q811" s="9">
        <f t="shared" si="3"/>
        <v>1406.85</v>
      </c>
      <c r="R811" s="1" t="str">
        <f t="shared" si="4"/>
        <v>ASL</v>
      </c>
      <c r="S811" s="1" t="str">
        <f>IF($D811="LEBL", IF(COUNTIF('Paises ECAC'!B:B, C811)&gt;0, "ECAC","NO ECAC"), "")</f>
        <v>ECAC</v>
      </c>
    </row>
    <row r="812" ht="14.25" customHeight="1">
      <c r="A812" s="1" t="s">
        <v>1377</v>
      </c>
      <c r="B812" s="1" t="s">
        <v>400</v>
      </c>
      <c r="C812" s="1" t="s">
        <v>1378</v>
      </c>
      <c r="D812" s="1" t="s">
        <v>21</v>
      </c>
      <c r="E812" s="1" t="s">
        <v>1379</v>
      </c>
      <c r="F812" s="1">
        <v>370.0</v>
      </c>
      <c r="G812" s="5">
        <v>0.6583333333333333</v>
      </c>
      <c r="H812" s="1">
        <v>6.0</v>
      </c>
      <c r="I812" s="5">
        <v>0.7291666666666666</v>
      </c>
      <c r="J812" s="1" t="str">
        <f t="array" ref="J812">XLOOKUP(B812,cat!B:B,cat!C:C)</f>
        <v>E</v>
      </c>
      <c r="K812" s="1">
        <f t="array" ref="K812">XLOOKUP(B812,cat!B:B,cat!D:D)</f>
        <v>104</v>
      </c>
      <c r="L812" s="7">
        <f t="shared" si="1"/>
        <v>0.07083333333</v>
      </c>
      <c r="M812" s="7">
        <f t="shared" si="2"/>
        <v>0.05395833333</v>
      </c>
      <c r="P812" s="9"/>
      <c r="Q812" s="9">
        <f t="shared" si="3"/>
        <v>582.75</v>
      </c>
      <c r="R812" s="1" t="str">
        <f t="shared" si="4"/>
        <v>CFE</v>
      </c>
      <c r="S812" s="1" t="str">
        <f>IF($D812="LEBL", IF(COUNTIF('Paises ECAC'!B:B, C812)&gt;0, "ECAC","NO ECAC"), "")</f>
        <v>ECAC</v>
      </c>
    </row>
    <row r="813" ht="14.25" customHeight="1">
      <c r="A813" s="1" t="s">
        <v>1380</v>
      </c>
      <c r="B813" s="1" t="s">
        <v>30</v>
      </c>
      <c r="C813" s="1" t="s">
        <v>21</v>
      </c>
      <c r="D813" s="1" t="s">
        <v>116</v>
      </c>
      <c r="E813" s="1" t="s">
        <v>83</v>
      </c>
      <c r="F813" s="1">
        <v>340.0</v>
      </c>
      <c r="G813" s="5">
        <v>0.7298611111111111</v>
      </c>
      <c r="H813" s="1">
        <v>11.0</v>
      </c>
      <c r="I813" s="5">
        <v>0.7847222222222222</v>
      </c>
      <c r="J813" s="1" t="str">
        <f t="array" ref="J813">XLOOKUP(B813,cat!B:B,cat!C:C)</f>
        <v>D</v>
      </c>
      <c r="K813" s="1">
        <f t="array" ref="K813">XLOOKUP(B813,cat!B:B,cat!D:D)</f>
        <v>173</v>
      </c>
      <c r="L813" s="7">
        <f t="shared" si="1"/>
        <v>0.05486111111</v>
      </c>
      <c r="M813" s="1" t="str">
        <f t="shared" si="2"/>
        <v/>
      </c>
      <c r="P813" s="9"/>
      <c r="Q813" s="9">
        <f t="shared" si="3"/>
        <v>0</v>
      </c>
      <c r="R813" s="1" t="str">
        <f t="shared" si="4"/>
        <v>VLG</v>
      </c>
      <c r="S813" s="1" t="str">
        <f>IF($D813="LEBL", IF(COUNTIF('Paises ECAC'!B:B, C813)&gt;0, "ECAC","NO ECAC"), "")</f>
        <v/>
      </c>
    </row>
    <row r="814" ht="14.25" customHeight="1">
      <c r="A814" s="1" t="s">
        <v>1381</v>
      </c>
      <c r="B814" s="1" t="s">
        <v>35</v>
      </c>
      <c r="C814" s="1" t="s">
        <v>20</v>
      </c>
      <c r="D814" s="1" t="s">
        <v>21</v>
      </c>
      <c r="E814" s="1" t="s">
        <v>172</v>
      </c>
      <c r="F814" s="1">
        <v>320.0</v>
      </c>
      <c r="G814" s="5">
        <v>0.6715277777777777</v>
      </c>
      <c r="H814" s="1">
        <v>12.0</v>
      </c>
      <c r="I814" s="5">
        <v>0.7291666666666666</v>
      </c>
      <c r="J814" s="1" t="str">
        <f t="array" ref="J814">XLOOKUP(B814,cat!B:B,cat!C:C)</f>
        <v>D</v>
      </c>
      <c r="K814" s="1">
        <f t="array" ref="K814">XLOOKUP(B814,cat!B:B,cat!D:D)</f>
        <v>207</v>
      </c>
      <c r="L814" s="7">
        <f t="shared" si="1"/>
        <v>0.05763888889</v>
      </c>
      <c r="M814" s="7">
        <f t="shared" si="2"/>
        <v>0.03659722222</v>
      </c>
      <c r="P814" s="9"/>
      <c r="Q814" s="9">
        <f t="shared" si="3"/>
        <v>729.0166667</v>
      </c>
      <c r="R814" s="1" t="str">
        <f t="shared" si="4"/>
        <v>VLG</v>
      </c>
      <c r="S814" s="1" t="str">
        <f>IF($D814="LEBL", IF(COUNTIF('Paises ECAC'!B:B, C814)&gt;0, "ECAC","NO ECAC"), "")</f>
        <v>ECAC</v>
      </c>
    </row>
    <row r="815" ht="14.25" customHeight="1">
      <c r="A815" s="1" t="s">
        <v>1382</v>
      </c>
      <c r="B815" s="1" t="s">
        <v>136</v>
      </c>
      <c r="C815" s="1" t="s">
        <v>21</v>
      </c>
      <c r="D815" s="1" t="s">
        <v>74</v>
      </c>
      <c r="E815" s="1" t="s">
        <v>370</v>
      </c>
      <c r="F815" s="1">
        <v>340.0</v>
      </c>
      <c r="G815" s="5">
        <v>0.7256944444444444</v>
      </c>
      <c r="H815" s="1">
        <v>11.0</v>
      </c>
      <c r="I815" s="5">
        <v>0.7847222222222222</v>
      </c>
      <c r="J815" s="1" t="str">
        <f t="array" ref="J815">XLOOKUP(B815,cat!B:B,cat!C:C)</f>
        <v>D</v>
      </c>
      <c r="K815" s="1">
        <f t="array" ref="K815">XLOOKUP(B815,cat!B:B,cat!D:D)</f>
        <v>144</v>
      </c>
      <c r="L815" s="7">
        <f t="shared" si="1"/>
        <v>0.05902777778</v>
      </c>
      <c r="M815" s="1" t="str">
        <f t="shared" si="2"/>
        <v/>
      </c>
      <c r="P815" s="9"/>
      <c r="Q815" s="9">
        <f t="shared" si="3"/>
        <v>0</v>
      </c>
      <c r="R815" s="1" t="str">
        <f t="shared" si="4"/>
        <v>VLG</v>
      </c>
      <c r="S815" s="1" t="str">
        <f>IF($D815="LEBL", IF(COUNTIF('Paises ECAC'!B:B, C815)&gt;0, "ECAC","NO ECAC"), "")</f>
        <v/>
      </c>
    </row>
    <row r="816" ht="14.25" customHeight="1">
      <c r="A816" s="1" t="s">
        <v>1383</v>
      </c>
      <c r="B816" s="1" t="s">
        <v>19</v>
      </c>
      <c r="C816" s="1" t="s">
        <v>156</v>
      </c>
      <c r="D816" s="1" t="s">
        <v>21</v>
      </c>
      <c r="E816" s="1" t="s">
        <v>1079</v>
      </c>
      <c r="F816" s="1">
        <v>180.0</v>
      </c>
      <c r="G816" s="5">
        <v>0.7090277777777778</v>
      </c>
      <c r="H816" s="1">
        <v>17.0</v>
      </c>
      <c r="I816" s="5">
        <v>0.7291666666666666</v>
      </c>
      <c r="J816" s="1" t="str">
        <f t="array" ref="J816">XLOOKUP(B816,cat!B:B,cat!C:C)</f>
        <v>D</v>
      </c>
      <c r="K816" s="1">
        <f t="array" ref="K816">XLOOKUP(B816,cat!B:B,cat!D:D)</f>
        <v>184</v>
      </c>
      <c r="L816" s="7">
        <f t="shared" si="1"/>
        <v>0.02013888889</v>
      </c>
      <c r="M816" s="7">
        <f t="shared" si="2"/>
        <v>0.008333333333</v>
      </c>
      <c r="P816" s="9"/>
      <c r="Q816" s="9">
        <f t="shared" si="3"/>
        <v>166</v>
      </c>
      <c r="R816" s="1" t="str">
        <f t="shared" si="4"/>
        <v>RYR</v>
      </c>
      <c r="S816" s="1" t="str">
        <f>IF($D816="LEBL", IF(COUNTIF('Paises ECAC'!B:B, C816)&gt;0, "ECAC","NO ECAC"), "")</f>
        <v>ECAC</v>
      </c>
    </row>
    <row r="817" ht="14.25" customHeight="1">
      <c r="A817" s="1" t="s">
        <v>1384</v>
      </c>
      <c r="B817" s="1" t="s">
        <v>35</v>
      </c>
      <c r="C817" s="1" t="s">
        <v>377</v>
      </c>
      <c r="D817" s="1" t="s">
        <v>21</v>
      </c>
      <c r="E817" s="1" t="s">
        <v>1385</v>
      </c>
      <c r="F817" s="1">
        <v>350.0</v>
      </c>
      <c r="G817" s="5">
        <v>0.6604166666666667</v>
      </c>
      <c r="H817" s="1">
        <v>9.0</v>
      </c>
      <c r="I817" s="5">
        <v>0.7326388888888888</v>
      </c>
      <c r="J817" s="1" t="str">
        <f t="array" ref="J817">XLOOKUP(B817,cat!B:B,cat!C:C)</f>
        <v>D</v>
      </c>
      <c r="K817" s="1">
        <f t="array" ref="K817">XLOOKUP(B817,cat!B:B,cat!D:D)</f>
        <v>207</v>
      </c>
      <c r="L817" s="7">
        <f t="shared" si="1"/>
        <v>0.07222222222</v>
      </c>
      <c r="M817" s="7">
        <f t="shared" si="2"/>
        <v>0.05326388889</v>
      </c>
      <c r="P817" s="9"/>
      <c r="Q817" s="9">
        <f t="shared" si="3"/>
        <v>1061.016667</v>
      </c>
      <c r="R817" s="1" t="str">
        <f t="shared" si="4"/>
        <v>AUA</v>
      </c>
      <c r="S817" s="1" t="str">
        <f>IF($D817="LEBL", IF(COUNTIF('Paises ECAC'!B:B, C817)&gt;0, "ECAC","NO ECAC"), "")</f>
        <v>ECAC</v>
      </c>
    </row>
    <row r="818" ht="14.25" customHeight="1">
      <c r="A818" s="1" t="s">
        <v>1386</v>
      </c>
      <c r="B818" s="1" t="s">
        <v>35</v>
      </c>
      <c r="C818" s="1" t="s">
        <v>21</v>
      </c>
      <c r="D818" s="1" t="s">
        <v>199</v>
      </c>
      <c r="E818" s="1" t="s">
        <v>269</v>
      </c>
      <c r="F818" s="1">
        <v>340.0</v>
      </c>
      <c r="G818" s="5">
        <v>0.7354166666666667</v>
      </c>
      <c r="H818" s="1">
        <v>12.0</v>
      </c>
      <c r="I818" s="5">
        <v>0.7986111111111112</v>
      </c>
      <c r="J818" s="1" t="str">
        <f t="array" ref="J818">XLOOKUP(B818,cat!B:B,cat!C:C)</f>
        <v>D</v>
      </c>
      <c r="K818" s="1">
        <f t="array" ref="K818">XLOOKUP(B818,cat!B:B,cat!D:D)</f>
        <v>207</v>
      </c>
      <c r="L818" s="7">
        <f t="shared" si="1"/>
        <v>0.06319444444</v>
      </c>
      <c r="M818" s="1" t="str">
        <f t="shared" si="2"/>
        <v/>
      </c>
      <c r="P818" s="9"/>
      <c r="Q818" s="9">
        <f t="shared" si="3"/>
        <v>0</v>
      </c>
      <c r="R818" s="1" t="str">
        <f t="shared" si="4"/>
        <v>VLG</v>
      </c>
      <c r="S818" s="1" t="str">
        <f>IF($D818="LEBL", IF(COUNTIF('Paises ECAC'!B:B, C818)&gt;0, "ECAC","NO ECAC"), "")</f>
        <v/>
      </c>
    </row>
    <row r="819" ht="14.25" customHeight="1">
      <c r="A819" s="1" t="s">
        <v>1387</v>
      </c>
      <c r="B819" s="1" t="s">
        <v>30</v>
      </c>
      <c r="C819" s="1" t="s">
        <v>1243</v>
      </c>
      <c r="D819" s="1" t="s">
        <v>21</v>
      </c>
      <c r="E819" s="1" t="s">
        <v>1388</v>
      </c>
      <c r="F819" s="1">
        <v>370.0</v>
      </c>
      <c r="G819" s="5">
        <v>0.6069444444444444</v>
      </c>
      <c r="H819" s="1">
        <v>9.0</v>
      </c>
      <c r="I819" s="5">
        <v>0.7326388888888888</v>
      </c>
      <c r="J819" s="1" t="str">
        <f t="array" ref="J819">XLOOKUP(B819,cat!B:B,cat!C:C)</f>
        <v>D</v>
      </c>
      <c r="K819" s="1">
        <f t="array" ref="K819">XLOOKUP(B819,cat!B:B,cat!D:D)</f>
        <v>173</v>
      </c>
      <c r="L819" s="7">
        <f t="shared" si="1"/>
        <v>0.1256944444</v>
      </c>
      <c r="M819" s="7">
        <f t="shared" si="2"/>
        <v>0.1067361111</v>
      </c>
      <c r="P819" s="9"/>
      <c r="Q819" s="9">
        <f t="shared" si="3"/>
        <v>2126.183333</v>
      </c>
      <c r="R819" s="1" t="str">
        <f t="shared" si="4"/>
        <v>NOZ</v>
      </c>
      <c r="S819" s="1" t="str">
        <f>IF($D819="LEBL", IF(COUNTIF('Paises ECAC'!B:B, C819)&gt;0, "ECAC","NO ECAC"), "")</f>
        <v>ECAC</v>
      </c>
    </row>
    <row r="820" ht="14.25" customHeight="1">
      <c r="A820" s="1" t="s">
        <v>1389</v>
      </c>
      <c r="B820" s="1" t="s">
        <v>136</v>
      </c>
      <c r="C820" s="1" t="s">
        <v>21</v>
      </c>
      <c r="D820" s="1" t="s">
        <v>107</v>
      </c>
      <c r="E820" s="1" t="s">
        <v>138</v>
      </c>
      <c r="F820" s="1">
        <v>390.0</v>
      </c>
      <c r="G820" s="5">
        <v>0.7194444444444444</v>
      </c>
      <c r="H820" s="1">
        <v>21.0</v>
      </c>
      <c r="I820" s="5">
        <v>0.8020833333333334</v>
      </c>
      <c r="J820" s="1" t="str">
        <f t="array" ref="J820">XLOOKUP(B820,cat!B:B,cat!C:C)</f>
        <v>D</v>
      </c>
      <c r="K820" s="1">
        <f t="array" ref="K820">XLOOKUP(B820,cat!B:B,cat!D:D)</f>
        <v>144</v>
      </c>
      <c r="L820" s="7">
        <f t="shared" si="1"/>
        <v>0.08263888889</v>
      </c>
      <c r="M820" s="1" t="str">
        <f t="shared" si="2"/>
        <v/>
      </c>
      <c r="P820" s="9"/>
      <c r="Q820" s="9">
        <f t="shared" si="3"/>
        <v>0</v>
      </c>
      <c r="R820" s="1" t="str">
        <f t="shared" si="4"/>
        <v>EJU</v>
      </c>
      <c r="S820" s="1" t="str">
        <f>IF($D820="LEBL", IF(COUNTIF('Paises ECAC'!B:B, C820)&gt;0, "ECAC","NO ECAC"), "")</f>
        <v/>
      </c>
    </row>
    <row r="821" ht="14.25" customHeight="1">
      <c r="A821" s="1" t="s">
        <v>1390</v>
      </c>
      <c r="B821" s="1" t="s">
        <v>25</v>
      </c>
      <c r="C821" s="1" t="s">
        <v>267</v>
      </c>
      <c r="D821" s="1" t="s">
        <v>21</v>
      </c>
      <c r="E821" s="1" t="s">
        <v>362</v>
      </c>
      <c r="F821" s="1">
        <v>390.0</v>
      </c>
      <c r="G821" s="5">
        <v>0.6798611111111111</v>
      </c>
      <c r="H821" s="1">
        <v>6.0</v>
      </c>
      <c r="I821" s="5">
        <v>0.7326388888888888</v>
      </c>
      <c r="J821" s="1" t="str">
        <f t="array" ref="J821">XLOOKUP(B821,cat!B:B,cat!C:C)</f>
        <v>D</v>
      </c>
      <c r="K821" s="1">
        <f t="array" ref="K821">XLOOKUP(B821,cat!B:B,cat!D:D)</f>
        <v>180</v>
      </c>
      <c r="L821" s="7">
        <f t="shared" si="1"/>
        <v>0.05277777778</v>
      </c>
      <c r="M821" s="7">
        <f t="shared" si="2"/>
        <v>0.03590277778</v>
      </c>
      <c r="P821" s="9"/>
      <c r="Q821" s="9">
        <f t="shared" si="3"/>
        <v>715.1833333</v>
      </c>
      <c r="R821" s="1" t="str">
        <f t="shared" si="4"/>
        <v>VLG</v>
      </c>
      <c r="S821" s="1" t="str">
        <f>IF($D821="LEBL", IF(COUNTIF('Paises ECAC'!B:B, C821)&gt;0, "ECAC","NO ECAC"), "")</f>
        <v>ECAC</v>
      </c>
    </row>
    <row r="822" ht="14.25" customHeight="1">
      <c r="A822" s="1" t="s">
        <v>1391</v>
      </c>
      <c r="B822" s="1" t="s">
        <v>136</v>
      </c>
      <c r="C822" s="1" t="s">
        <v>21</v>
      </c>
      <c r="D822" s="1" t="s">
        <v>258</v>
      </c>
      <c r="E822" s="1" t="s">
        <v>1302</v>
      </c>
      <c r="F822" s="1">
        <v>330.0</v>
      </c>
      <c r="G822" s="5">
        <v>0.7326388888888888</v>
      </c>
      <c r="H822" s="1">
        <v>20.0</v>
      </c>
      <c r="I822" s="5">
        <v>0.7847222222222222</v>
      </c>
      <c r="J822" s="1" t="str">
        <f t="array" ref="J822">XLOOKUP(B822,cat!B:B,cat!C:C)</f>
        <v>D</v>
      </c>
      <c r="K822" s="1">
        <f t="array" ref="K822">XLOOKUP(B822,cat!B:B,cat!D:D)</f>
        <v>144</v>
      </c>
      <c r="L822" s="7">
        <f t="shared" si="1"/>
        <v>0.05208333333</v>
      </c>
      <c r="M822" s="1" t="str">
        <f t="shared" si="2"/>
        <v/>
      </c>
      <c r="P822" s="9"/>
      <c r="Q822" s="9">
        <f t="shared" si="3"/>
        <v>0</v>
      </c>
      <c r="R822" s="1" t="str">
        <f t="shared" si="4"/>
        <v>VOE</v>
      </c>
      <c r="S822" s="1" t="str">
        <f>IF($D822="LEBL", IF(COUNTIF('Paises ECAC'!B:B, C822)&gt;0, "ECAC","NO ECAC"), "")</f>
        <v/>
      </c>
    </row>
    <row r="823" ht="14.25" customHeight="1">
      <c r="A823" s="1" t="s">
        <v>1392</v>
      </c>
      <c r="B823" s="1" t="s">
        <v>19</v>
      </c>
      <c r="C823" s="1" t="s">
        <v>53</v>
      </c>
      <c r="D823" s="1" t="s">
        <v>21</v>
      </c>
      <c r="E823" s="1" t="s">
        <v>1393</v>
      </c>
      <c r="F823" s="1">
        <v>370.0</v>
      </c>
      <c r="G823" s="5">
        <v>0.6625</v>
      </c>
      <c r="H823" s="1">
        <v>10.0</v>
      </c>
      <c r="I823" s="5">
        <v>0.7326388888888888</v>
      </c>
      <c r="J823" s="1" t="str">
        <f t="array" ref="J823">XLOOKUP(B823,cat!B:B,cat!C:C)</f>
        <v>D</v>
      </c>
      <c r="K823" s="1">
        <f t="array" ref="K823">XLOOKUP(B823,cat!B:B,cat!D:D)</f>
        <v>184</v>
      </c>
      <c r="L823" s="7">
        <f t="shared" si="1"/>
        <v>0.07013888889</v>
      </c>
      <c r="M823" s="7">
        <f t="shared" si="2"/>
        <v>0.05048611111</v>
      </c>
      <c r="P823" s="9"/>
      <c r="Q823" s="9">
        <f t="shared" si="3"/>
        <v>1005.683333</v>
      </c>
      <c r="R823" s="1" t="str">
        <f t="shared" si="4"/>
        <v>RYR</v>
      </c>
      <c r="S823" s="1" t="str">
        <f>IF($D823="LEBL", IF(COUNTIF('Paises ECAC'!B:B, C823)&gt;0, "ECAC","NO ECAC"), "")</f>
        <v>ECAC</v>
      </c>
    </row>
    <row r="824" ht="14.25" customHeight="1">
      <c r="A824" s="1" t="s">
        <v>1394</v>
      </c>
      <c r="B824" s="1" t="s">
        <v>30</v>
      </c>
      <c r="C824" s="1" t="s">
        <v>274</v>
      </c>
      <c r="D824" s="1" t="s">
        <v>21</v>
      </c>
      <c r="E824" s="1" t="s">
        <v>1395</v>
      </c>
      <c r="F824" s="1">
        <v>370.0</v>
      </c>
      <c r="G824" s="5">
        <v>0.6694444444444444</v>
      </c>
      <c r="H824" s="1">
        <v>24.0</v>
      </c>
      <c r="I824" s="5">
        <v>0.7361111111111112</v>
      </c>
      <c r="J824" s="1" t="str">
        <f t="array" ref="J824">XLOOKUP(B824,cat!B:B,cat!C:C)</f>
        <v>D</v>
      </c>
      <c r="K824" s="1">
        <f t="array" ref="K824">XLOOKUP(B824,cat!B:B,cat!D:D)</f>
        <v>173</v>
      </c>
      <c r="L824" s="7">
        <f t="shared" si="1"/>
        <v>0.06666666667</v>
      </c>
      <c r="M824" s="7">
        <f t="shared" si="2"/>
        <v>0.03729166667</v>
      </c>
      <c r="P824" s="9"/>
      <c r="Q824" s="9">
        <f t="shared" si="3"/>
        <v>742.85</v>
      </c>
      <c r="R824" s="1" t="str">
        <f t="shared" si="4"/>
        <v>BAW</v>
      </c>
      <c r="S824" s="1" t="str">
        <f>IF($D824="LEBL", IF(COUNTIF('Paises ECAC'!B:B, C824)&gt;0, "ECAC","NO ECAC"), "")</f>
        <v>ECAC</v>
      </c>
    </row>
    <row r="825" ht="14.25" customHeight="1">
      <c r="A825" s="1" t="s">
        <v>1396</v>
      </c>
      <c r="B825" s="1" t="s">
        <v>212</v>
      </c>
      <c r="C825" s="1" t="s">
        <v>21</v>
      </c>
      <c r="D825" s="1" t="s">
        <v>274</v>
      </c>
      <c r="E825" s="1" t="s">
        <v>1284</v>
      </c>
      <c r="F825" s="1">
        <v>360.0</v>
      </c>
      <c r="G825" s="5">
        <v>0.7375</v>
      </c>
      <c r="H825" s="1">
        <v>12.0</v>
      </c>
      <c r="I825" s="5">
        <v>0.8090277777777778</v>
      </c>
      <c r="J825" s="1" t="str">
        <f t="array" ref="J825">XLOOKUP(B825,cat!B:B,cat!C:C)</f>
        <v>D</v>
      </c>
      <c r="K825" s="1">
        <f t="array" ref="K825">XLOOKUP(B825,cat!B:B,cat!D:D)</f>
        <v>200</v>
      </c>
      <c r="L825" s="7">
        <f t="shared" si="1"/>
        <v>0.07152777778</v>
      </c>
      <c r="M825" s="1" t="str">
        <f t="shared" si="2"/>
        <v/>
      </c>
      <c r="P825" s="9"/>
      <c r="Q825" s="9">
        <f t="shared" si="3"/>
        <v>0</v>
      </c>
      <c r="R825" s="1" t="str">
        <f t="shared" si="4"/>
        <v>BAW</v>
      </c>
      <c r="S825" s="1" t="str">
        <f>IF($D825="LEBL", IF(COUNTIF('Paises ECAC'!B:B, C825)&gt;0, "ECAC","NO ECAC"), "")</f>
        <v/>
      </c>
    </row>
    <row r="826" ht="14.25" customHeight="1">
      <c r="A826" s="1" t="s">
        <v>1397</v>
      </c>
      <c r="B826" s="1" t="s">
        <v>30</v>
      </c>
      <c r="C826" s="1" t="s">
        <v>158</v>
      </c>
      <c r="D826" s="1" t="s">
        <v>21</v>
      </c>
      <c r="E826" s="1" t="s">
        <v>1398</v>
      </c>
      <c r="F826" s="1">
        <v>330.0</v>
      </c>
      <c r="G826" s="5">
        <v>0.6798611111111111</v>
      </c>
      <c r="H826" s="1">
        <v>12.0</v>
      </c>
      <c r="I826" s="5">
        <v>0.7361111111111112</v>
      </c>
      <c r="J826" s="1" t="str">
        <f t="array" ref="J826">XLOOKUP(B826,cat!B:B,cat!C:C)</f>
        <v>D</v>
      </c>
      <c r="K826" s="1">
        <f t="array" ref="K826">XLOOKUP(B826,cat!B:B,cat!D:D)</f>
        <v>173</v>
      </c>
      <c r="L826" s="7">
        <f t="shared" si="1"/>
        <v>0.05625</v>
      </c>
      <c r="M826" s="7">
        <f t="shared" si="2"/>
        <v>0.03520833333</v>
      </c>
      <c r="P826" s="9"/>
      <c r="Q826" s="9">
        <f t="shared" si="3"/>
        <v>701.35</v>
      </c>
      <c r="R826" s="1" t="str">
        <f t="shared" si="4"/>
        <v>SWR</v>
      </c>
      <c r="S826" s="1" t="str">
        <f>IF($D826="LEBL", IF(COUNTIF('Paises ECAC'!B:B, C826)&gt;0, "ECAC","NO ECAC"), "")</f>
        <v>ECAC</v>
      </c>
    </row>
    <row r="827" ht="14.25" customHeight="1">
      <c r="A827" s="1" t="s">
        <v>1399</v>
      </c>
      <c r="B827" s="1" t="s">
        <v>30</v>
      </c>
      <c r="C827" s="1" t="s">
        <v>21</v>
      </c>
      <c r="D827" s="1" t="s">
        <v>107</v>
      </c>
      <c r="E827" s="1" t="s">
        <v>356</v>
      </c>
      <c r="F827" s="1">
        <v>350.0</v>
      </c>
      <c r="G827" s="5">
        <v>0.7375</v>
      </c>
      <c r="H827" s="1">
        <v>10.0</v>
      </c>
      <c r="I827" s="5">
        <v>0.8055555555555556</v>
      </c>
      <c r="J827" s="1" t="str">
        <f t="array" ref="J827">XLOOKUP(B827,cat!B:B,cat!C:C)</f>
        <v>D</v>
      </c>
      <c r="K827" s="1">
        <f t="array" ref="K827">XLOOKUP(B827,cat!B:B,cat!D:D)</f>
        <v>173</v>
      </c>
      <c r="L827" s="7">
        <f t="shared" si="1"/>
        <v>0.06805555556</v>
      </c>
      <c r="M827" s="1" t="str">
        <f t="shared" si="2"/>
        <v/>
      </c>
      <c r="P827" s="9"/>
      <c r="Q827" s="9">
        <f t="shared" si="3"/>
        <v>0</v>
      </c>
      <c r="R827" s="1" t="str">
        <f t="shared" si="4"/>
        <v>VLG</v>
      </c>
      <c r="S827" s="1" t="str">
        <f>IF($D827="LEBL", IF(COUNTIF('Paises ECAC'!B:B, C827)&gt;0, "ECAC","NO ECAC"), "")</f>
        <v/>
      </c>
    </row>
    <row r="828" ht="14.25" customHeight="1">
      <c r="A828" s="1" t="s">
        <v>1400</v>
      </c>
      <c r="B828" s="1" t="s">
        <v>30</v>
      </c>
      <c r="C828" s="1" t="s">
        <v>105</v>
      </c>
      <c r="D828" s="1" t="s">
        <v>21</v>
      </c>
      <c r="E828" s="1" t="s">
        <v>537</v>
      </c>
      <c r="F828" s="1">
        <v>290.0</v>
      </c>
      <c r="G828" s="5">
        <v>0.7020833333333333</v>
      </c>
      <c r="H828" s="1">
        <v>5.0</v>
      </c>
      <c r="I828" s="5">
        <v>0.7395833333333334</v>
      </c>
      <c r="J828" s="1" t="str">
        <f t="array" ref="J828">XLOOKUP(B828,cat!B:B,cat!C:C)</f>
        <v>D</v>
      </c>
      <c r="K828" s="1">
        <f t="array" ref="K828">XLOOKUP(B828,cat!B:B,cat!D:D)</f>
        <v>173</v>
      </c>
      <c r="L828" s="7">
        <f t="shared" si="1"/>
        <v>0.0375</v>
      </c>
      <c r="M828" s="7">
        <f t="shared" si="2"/>
        <v>0.02131944444</v>
      </c>
      <c r="P828" s="9"/>
      <c r="Q828" s="9">
        <f t="shared" si="3"/>
        <v>424.6833333</v>
      </c>
      <c r="R828" s="1" t="str">
        <f t="shared" si="4"/>
        <v>VLG</v>
      </c>
      <c r="S828" s="1" t="str">
        <f>IF($D828="LEBL", IF(COUNTIF('Paises ECAC'!B:B, C828)&gt;0, "ECAC","NO ECAC"), "")</f>
        <v>ECAC</v>
      </c>
    </row>
    <row r="829" ht="14.25" customHeight="1">
      <c r="A829" s="1" t="s">
        <v>1306</v>
      </c>
      <c r="B829" s="1" t="s">
        <v>1307</v>
      </c>
      <c r="C829" s="1" t="s">
        <v>21</v>
      </c>
      <c r="D829" s="1" t="s">
        <v>245</v>
      </c>
      <c r="E829" s="1" t="s">
        <v>1308</v>
      </c>
      <c r="F829" s="1">
        <v>190.0</v>
      </c>
      <c r="G829" s="5">
        <v>0.7222222222222222</v>
      </c>
      <c r="H829" s="1">
        <v>20.0</v>
      </c>
      <c r="I829" s="5">
        <v>0.7777777777777778</v>
      </c>
      <c r="J829" s="1" t="str">
        <f t="array" ref="J829">XLOOKUP(B829,cat!B:B,cat!C:C)</f>
        <v>F</v>
      </c>
      <c r="K829" s="1">
        <f t="array" ref="K829">XLOOKUP(B829,cat!B:B,cat!D:D)</f>
        <v>8</v>
      </c>
      <c r="L829" s="7">
        <f t="shared" si="1"/>
        <v>0.05555555556</v>
      </c>
      <c r="M829" s="1" t="str">
        <f t="shared" si="2"/>
        <v/>
      </c>
      <c r="P829" s="9"/>
      <c r="Q829" s="9">
        <f t="shared" si="3"/>
        <v>0</v>
      </c>
      <c r="R829" s="1" t="str">
        <f t="shared" si="4"/>
        <v>AAO</v>
      </c>
      <c r="S829" s="1" t="str">
        <f>IF($D829="LEBL", IF(COUNTIF('Paises ECAC'!B:B, C829)&gt;0, "ECAC","NO ECAC"), "")</f>
        <v/>
      </c>
    </row>
    <row r="830" ht="14.25" customHeight="1">
      <c r="A830" s="1" t="s">
        <v>1401</v>
      </c>
      <c r="B830" s="1" t="s">
        <v>19</v>
      </c>
      <c r="C830" s="1" t="s">
        <v>21</v>
      </c>
      <c r="D830" s="1" t="s">
        <v>646</v>
      </c>
      <c r="E830" s="1" t="s">
        <v>1293</v>
      </c>
      <c r="F830" s="1">
        <v>380.0</v>
      </c>
      <c r="G830" s="5">
        <v>0.7444444444444445</v>
      </c>
      <c r="H830" s="1">
        <v>20.0</v>
      </c>
      <c r="I830" s="5">
        <v>0.8333333333333334</v>
      </c>
      <c r="J830" s="1" t="str">
        <f t="array" ref="J830">XLOOKUP(B830,cat!B:B,cat!C:C)</f>
        <v>D</v>
      </c>
      <c r="K830" s="1">
        <f t="array" ref="K830">XLOOKUP(B830,cat!B:B,cat!D:D)</f>
        <v>184</v>
      </c>
      <c r="L830" s="7">
        <f t="shared" si="1"/>
        <v>0.08888888889</v>
      </c>
      <c r="M830" s="1" t="str">
        <f t="shared" si="2"/>
        <v/>
      </c>
      <c r="P830" s="9"/>
      <c r="Q830" s="9">
        <f t="shared" si="3"/>
        <v>0</v>
      </c>
      <c r="R830" s="1" t="str">
        <f t="shared" si="4"/>
        <v>RYR</v>
      </c>
      <c r="S830" s="1" t="str">
        <f>IF($D830="LEBL", IF(COUNTIF('Paises ECAC'!B:B, C830)&gt;0, "ECAC","NO ECAC"), "")</f>
        <v/>
      </c>
    </row>
    <row r="831" ht="14.25" customHeight="1">
      <c r="A831" s="1" t="s">
        <v>1402</v>
      </c>
      <c r="B831" s="1" t="s">
        <v>30</v>
      </c>
      <c r="C831" s="1" t="s">
        <v>74</v>
      </c>
      <c r="D831" s="1" t="s">
        <v>21</v>
      </c>
      <c r="E831" s="1" t="s">
        <v>1403</v>
      </c>
      <c r="F831" s="1">
        <v>370.0</v>
      </c>
      <c r="G831" s="5">
        <v>0.6895833333333333</v>
      </c>
      <c r="H831" s="1">
        <v>8.0</v>
      </c>
      <c r="I831" s="5">
        <v>0.7395833333333334</v>
      </c>
      <c r="J831" s="1" t="str">
        <f t="array" ref="J831">XLOOKUP(B831,cat!B:B,cat!C:C)</f>
        <v>D</v>
      </c>
      <c r="K831" s="1">
        <f t="array" ref="K831">XLOOKUP(B831,cat!B:B,cat!D:D)</f>
        <v>173</v>
      </c>
      <c r="L831" s="7">
        <f t="shared" si="1"/>
        <v>0.05</v>
      </c>
      <c r="M831" s="7">
        <f t="shared" si="2"/>
        <v>0.03173611111</v>
      </c>
      <c r="P831" s="9"/>
      <c r="Q831" s="9">
        <f t="shared" si="3"/>
        <v>632.1833333</v>
      </c>
      <c r="R831" s="1" t="str">
        <f t="shared" si="4"/>
        <v>VLG</v>
      </c>
      <c r="S831" s="1" t="str">
        <f>IF($D831="LEBL", IF(COUNTIF('Paises ECAC'!B:B, C831)&gt;0, "ECAC","NO ECAC"), "")</f>
        <v>ECAC</v>
      </c>
    </row>
    <row r="832" ht="14.25" customHeight="1">
      <c r="A832" s="1" t="s">
        <v>1404</v>
      </c>
      <c r="B832" s="1" t="s">
        <v>35</v>
      </c>
      <c r="C832" s="1" t="s">
        <v>21</v>
      </c>
      <c r="D832" s="1" t="s">
        <v>97</v>
      </c>
      <c r="E832" s="1" t="s">
        <v>161</v>
      </c>
      <c r="F832" s="1">
        <v>300.0</v>
      </c>
      <c r="G832" s="5">
        <v>0.74375</v>
      </c>
      <c r="H832" s="1">
        <v>11.0</v>
      </c>
      <c r="I832" s="5">
        <v>0.7916666666666666</v>
      </c>
      <c r="J832" s="1" t="str">
        <f t="array" ref="J832">XLOOKUP(B832,cat!B:B,cat!C:C)</f>
        <v>D</v>
      </c>
      <c r="K832" s="1">
        <f t="array" ref="K832">XLOOKUP(B832,cat!B:B,cat!D:D)</f>
        <v>207</v>
      </c>
      <c r="L832" s="7">
        <f t="shared" si="1"/>
        <v>0.04791666667</v>
      </c>
      <c r="M832" s="1" t="str">
        <f t="shared" si="2"/>
        <v/>
      </c>
      <c r="P832" s="9"/>
      <c r="Q832" s="9">
        <f t="shared" si="3"/>
        <v>0</v>
      </c>
      <c r="R832" s="1" t="str">
        <f t="shared" si="4"/>
        <v>VLG</v>
      </c>
      <c r="S832" s="1" t="str">
        <f>IF($D832="LEBL", IF(COUNTIF('Paises ECAC'!B:B, C832)&gt;0, "ECAC","NO ECAC"), "")</f>
        <v/>
      </c>
    </row>
    <row r="833" ht="14.25" customHeight="1">
      <c r="A833" s="1" t="s">
        <v>1405</v>
      </c>
      <c r="B833" s="1" t="s">
        <v>19</v>
      </c>
      <c r="C833" s="1" t="s">
        <v>169</v>
      </c>
      <c r="D833" s="1" t="s">
        <v>21</v>
      </c>
      <c r="E833" s="1" t="s">
        <v>887</v>
      </c>
      <c r="F833" s="1">
        <v>390.0</v>
      </c>
      <c r="G833" s="5">
        <v>0.6645833333333333</v>
      </c>
      <c r="H833" s="1">
        <v>19.0</v>
      </c>
      <c r="I833" s="5">
        <v>0.7430555555555556</v>
      </c>
      <c r="J833" s="1" t="str">
        <f t="array" ref="J833">XLOOKUP(B833,cat!B:B,cat!C:C)</f>
        <v>D</v>
      </c>
      <c r="K833" s="1">
        <f t="array" ref="K833">XLOOKUP(B833,cat!B:B,cat!D:D)</f>
        <v>184</v>
      </c>
      <c r="L833" s="7">
        <f t="shared" si="1"/>
        <v>0.07847222222</v>
      </c>
      <c r="M833" s="7">
        <f t="shared" si="2"/>
        <v>0.05256944444</v>
      </c>
      <c r="P833" s="9"/>
      <c r="Q833" s="9">
        <f t="shared" si="3"/>
        <v>1047.183333</v>
      </c>
      <c r="R833" s="1" t="str">
        <f t="shared" si="4"/>
        <v>TRA</v>
      </c>
      <c r="S833" s="1" t="str">
        <f>IF($D833="LEBL", IF(COUNTIF('Paises ECAC'!B:B, C833)&gt;0, "ECAC","NO ECAC"), "")</f>
        <v>ECAC</v>
      </c>
    </row>
    <row r="834" ht="14.25" customHeight="1">
      <c r="A834" s="1" t="s">
        <v>1406</v>
      </c>
      <c r="B834" s="1" t="s">
        <v>19</v>
      </c>
      <c r="C834" s="1" t="s">
        <v>21</v>
      </c>
      <c r="D834" s="1" t="s">
        <v>1286</v>
      </c>
      <c r="E834" s="1" t="s">
        <v>1287</v>
      </c>
      <c r="F834" s="1">
        <v>380.0</v>
      </c>
      <c r="G834" s="5">
        <v>0.7458333333333333</v>
      </c>
      <c r="H834" s="1">
        <v>20.0</v>
      </c>
      <c r="I834" s="5">
        <v>0.8263888888888888</v>
      </c>
      <c r="J834" s="1" t="str">
        <f t="array" ref="J834">XLOOKUP(B834,cat!B:B,cat!C:C)</f>
        <v>D</v>
      </c>
      <c r="K834" s="1">
        <f t="array" ref="K834">XLOOKUP(B834,cat!B:B,cat!D:D)</f>
        <v>184</v>
      </c>
      <c r="L834" s="7">
        <f t="shared" si="1"/>
        <v>0.08055555556</v>
      </c>
      <c r="M834" s="1" t="str">
        <f t="shared" si="2"/>
        <v/>
      </c>
      <c r="P834" s="9"/>
      <c r="Q834" s="9">
        <f t="shared" si="3"/>
        <v>0</v>
      </c>
      <c r="R834" s="1" t="str">
        <f t="shared" si="4"/>
        <v>RYR</v>
      </c>
      <c r="S834" s="1" t="str">
        <f>IF($D834="LEBL", IF(COUNTIF('Paises ECAC'!B:B, C834)&gt;0, "ECAC","NO ECAC"), "")</f>
        <v/>
      </c>
    </row>
    <row r="835" ht="14.25" customHeight="1">
      <c r="A835" s="1" t="s">
        <v>1407</v>
      </c>
      <c r="B835" s="1" t="s">
        <v>25</v>
      </c>
      <c r="C835" s="1" t="s">
        <v>74</v>
      </c>
      <c r="D835" s="1" t="s">
        <v>21</v>
      </c>
      <c r="E835" s="1" t="s">
        <v>1408</v>
      </c>
      <c r="F835" s="1">
        <v>370.0</v>
      </c>
      <c r="G835" s="5">
        <v>0.6965277777777777</v>
      </c>
      <c r="H835" s="1">
        <v>6.0</v>
      </c>
      <c r="I835" s="5">
        <v>0.7430555555555556</v>
      </c>
      <c r="J835" s="1" t="str">
        <f t="array" ref="J835">XLOOKUP(B835,cat!B:B,cat!C:C)</f>
        <v>D</v>
      </c>
      <c r="K835" s="1">
        <f t="array" ref="K835">XLOOKUP(B835,cat!B:B,cat!D:D)</f>
        <v>180</v>
      </c>
      <c r="L835" s="7">
        <f t="shared" si="1"/>
        <v>0.04652777778</v>
      </c>
      <c r="M835" s="7">
        <f t="shared" si="2"/>
        <v>0.02965277778</v>
      </c>
      <c r="P835" s="9"/>
      <c r="Q835" s="9">
        <f t="shared" si="3"/>
        <v>590.6833333</v>
      </c>
      <c r="R835" s="1" t="str">
        <f t="shared" si="4"/>
        <v>TVF</v>
      </c>
      <c r="S835" s="1" t="str">
        <f>IF($D835="LEBL", IF(COUNTIF('Paises ECAC'!B:B, C835)&gt;0, "ECAC","NO ECAC"), "")</f>
        <v>ECAC</v>
      </c>
    </row>
    <row r="836" ht="14.25" customHeight="1">
      <c r="A836" s="1" t="s">
        <v>1409</v>
      </c>
      <c r="B836" s="1" t="s">
        <v>30</v>
      </c>
      <c r="C836" s="1" t="s">
        <v>21</v>
      </c>
      <c r="D836" s="1" t="s">
        <v>1229</v>
      </c>
      <c r="E836" s="1" t="s">
        <v>1230</v>
      </c>
      <c r="F836" s="1">
        <v>350.0</v>
      </c>
      <c r="G836" s="5">
        <v>0.7465277777777778</v>
      </c>
      <c r="H836" s="1">
        <v>20.0</v>
      </c>
      <c r="I836" s="5">
        <v>0.8541666666666666</v>
      </c>
      <c r="J836" s="1" t="str">
        <f t="array" ref="J836">XLOOKUP(B836,cat!B:B,cat!C:C)</f>
        <v>D</v>
      </c>
      <c r="K836" s="1">
        <f t="array" ref="K836">XLOOKUP(B836,cat!B:B,cat!D:D)</f>
        <v>173</v>
      </c>
      <c r="L836" s="7">
        <f t="shared" si="1"/>
        <v>0.1076388889</v>
      </c>
      <c r="M836" s="1" t="str">
        <f t="shared" si="2"/>
        <v/>
      </c>
      <c r="P836" s="9"/>
      <c r="Q836" s="9">
        <f t="shared" si="3"/>
        <v>0</v>
      </c>
      <c r="R836" s="1" t="str">
        <f t="shared" si="4"/>
        <v>DNA</v>
      </c>
      <c r="S836" s="1" t="str">
        <f>IF($D836="LEBL", IF(COUNTIF('Paises ECAC'!B:B, C836)&gt;0, "ECAC","NO ECAC"), "")</f>
        <v/>
      </c>
    </row>
    <row r="837" ht="14.25" customHeight="1">
      <c r="A837" s="1" t="s">
        <v>1410</v>
      </c>
      <c r="B837" s="1" t="s">
        <v>136</v>
      </c>
      <c r="C837" s="1" t="s">
        <v>267</v>
      </c>
      <c r="D837" s="1" t="s">
        <v>21</v>
      </c>
      <c r="E837" s="1" t="s">
        <v>1411</v>
      </c>
      <c r="F837" s="1">
        <v>350.0</v>
      </c>
      <c r="G837" s="5">
        <v>0.68125</v>
      </c>
      <c r="H837" s="1">
        <v>6.0</v>
      </c>
      <c r="I837" s="5">
        <v>0.7430555555555556</v>
      </c>
      <c r="J837" s="1" t="str">
        <f t="array" ref="J837">XLOOKUP(B837,cat!B:B,cat!C:C)</f>
        <v>D</v>
      </c>
      <c r="K837" s="1">
        <f t="array" ref="K837">XLOOKUP(B837,cat!B:B,cat!D:D)</f>
        <v>144</v>
      </c>
      <c r="L837" s="7">
        <f t="shared" si="1"/>
        <v>0.06180555556</v>
      </c>
      <c r="M837" s="7">
        <f t="shared" si="2"/>
        <v>0.04493055556</v>
      </c>
      <c r="P837" s="9"/>
      <c r="Q837" s="9">
        <f t="shared" si="3"/>
        <v>895.0166667</v>
      </c>
      <c r="R837" s="1" t="str">
        <f t="shared" si="4"/>
        <v>EWG</v>
      </c>
      <c r="S837" s="1" t="str">
        <f>IF($D837="LEBL", IF(COUNTIF('Paises ECAC'!B:B, C837)&gt;0, "ECAC","NO ECAC"), "")</f>
        <v>ECAC</v>
      </c>
    </row>
    <row r="838" ht="14.25" customHeight="1">
      <c r="A838" s="1" t="s">
        <v>1412</v>
      </c>
      <c r="B838" s="1" t="s">
        <v>40</v>
      </c>
      <c r="C838" s="1" t="s">
        <v>21</v>
      </c>
      <c r="D838" s="1" t="s">
        <v>374</v>
      </c>
      <c r="E838" s="1" t="s">
        <v>120</v>
      </c>
      <c r="F838" s="1">
        <v>390.0</v>
      </c>
      <c r="G838" s="5">
        <v>0.7458333333333333</v>
      </c>
      <c r="H838" s="1">
        <v>20.0</v>
      </c>
      <c r="I838" s="5">
        <v>0.8333333333333334</v>
      </c>
      <c r="J838" s="1" t="str">
        <f t="array" ref="J838">XLOOKUP(B838,cat!B:B,cat!C:C)</f>
        <v>D</v>
      </c>
      <c r="K838" s="1">
        <f t="array" ref="K838">XLOOKUP(B838,cat!B:B,cat!D:D)</f>
        <v>186</v>
      </c>
      <c r="L838" s="7">
        <f t="shared" si="1"/>
        <v>0.0875</v>
      </c>
      <c r="M838" s="1" t="str">
        <f t="shared" si="2"/>
        <v/>
      </c>
      <c r="P838" s="9"/>
      <c r="Q838" s="9">
        <f t="shared" si="3"/>
        <v>0</v>
      </c>
      <c r="R838" s="1" t="str">
        <f t="shared" si="4"/>
        <v>RYR</v>
      </c>
      <c r="S838" s="1" t="str">
        <f>IF($D838="LEBL", IF(COUNTIF('Paises ECAC'!B:B, C838)&gt;0, "ECAC","NO ECAC"), "")</f>
        <v/>
      </c>
    </row>
    <row r="839" ht="14.25" customHeight="1">
      <c r="A839" s="1" t="s">
        <v>1413</v>
      </c>
      <c r="B839" s="1" t="s">
        <v>19</v>
      </c>
      <c r="C839" s="1" t="s">
        <v>448</v>
      </c>
      <c r="D839" s="1" t="s">
        <v>21</v>
      </c>
      <c r="E839" s="1" t="s">
        <v>1414</v>
      </c>
      <c r="F839" s="1">
        <v>370.0</v>
      </c>
      <c r="G839" s="5">
        <v>0.6694444444444444</v>
      </c>
      <c r="H839" s="1">
        <v>10.0</v>
      </c>
      <c r="I839" s="5">
        <v>0.7430555555555556</v>
      </c>
      <c r="J839" s="1" t="str">
        <f t="array" ref="J839">XLOOKUP(B839,cat!B:B,cat!C:C)</f>
        <v>D</v>
      </c>
      <c r="K839" s="1">
        <f t="array" ref="K839">XLOOKUP(B839,cat!B:B,cat!D:D)</f>
        <v>184</v>
      </c>
      <c r="L839" s="7">
        <f t="shared" si="1"/>
        <v>0.07361111111</v>
      </c>
      <c r="M839" s="7">
        <f t="shared" si="2"/>
        <v>0.05395833333</v>
      </c>
      <c r="P839" s="9"/>
      <c r="Q839" s="9">
        <f t="shared" si="3"/>
        <v>1074.85</v>
      </c>
      <c r="R839" s="1" t="str">
        <f t="shared" si="4"/>
        <v>RYR</v>
      </c>
      <c r="S839" s="1" t="str">
        <f>IF($D839="LEBL", IF(COUNTIF('Paises ECAC'!B:B, C839)&gt;0, "ECAC","NO ECAC"), "")</f>
        <v>ECAC</v>
      </c>
    </row>
    <row r="840" ht="14.25" customHeight="1">
      <c r="A840" s="1" t="s">
        <v>1415</v>
      </c>
      <c r="B840" s="1" t="s">
        <v>19</v>
      </c>
      <c r="C840" s="1" t="s">
        <v>21</v>
      </c>
      <c r="D840" s="1" t="s">
        <v>448</v>
      </c>
      <c r="E840" s="1" t="s">
        <v>797</v>
      </c>
      <c r="F840" s="1">
        <v>360.0</v>
      </c>
      <c r="G840" s="5">
        <v>0.7430555555555556</v>
      </c>
      <c r="H840" s="1">
        <v>20.0</v>
      </c>
      <c r="I840" s="5">
        <v>0.8194444444444444</v>
      </c>
      <c r="J840" s="1" t="str">
        <f t="array" ref="J840">XLOOKUP(B840,cat!B:B,cat!C:C)</f>
        <v>D</v>
      </c>
      <c r="K840" s="1">
        <f t="array" ref="K840">XLOOKUP(B840,cat!B:B,cat!D:D)</f>
        <v>184</v>
      </c>
      <c r="L840" s="7">
        <f t="shared" si="1"/>
        <v>0.07638888889</v>
      </c>
      <c r="M840" s="1" t="str">
        <f t="shared" si="2"/>
        <v/>
      </c>
      <c r="P840" s="9"/>
      <c r="Q840" s="9">
        <f t="shared" si="3"/>
        <v>0</v>
      </c>
      <c r="R840" s="1" t="str">
        <f t="shared" si="4"/>
        <v>RYR</v>
      </c>
      <c r="S840" s="1" t="str">
        <f>IF($D840="LEBL", IF(COUNTIF('Paises ECAC'!B:B, C840)&gt;0, "ECAC","NO ECAC"), "")</f>
        <v/>
      </c>
    </row>
    <row r="841" ht="14.25" customHeight="1">
      <c r="A841" s="1" t="s">
        <v>1416</v>
      </c>
      <c r="B841" s="1" t="s">
        <v>30</v>
      </c>
      <c r="C841" s="1" t="s">
        <v>958</v>
      </c>
      <c r="D841" s="1" t="s">
        <v>21</v>
      </c>
      <c r="E841" s="1" t="s">
        <v>1417</v>
      </c>
      <c r="F841" s="1">
        <v>380.0</v>
      </c>
      <c r="G841" s="5">
        <v>0.6576388888888889</v>
      </c>
      <c r="H841" s="1">
        <v>10.0</v>
      </c>
      <c r="I841" s="5">
        <v>0.7465277777777778</v>
      </c>
      <c r="J841" s="1" t="str">
        <f t="array" ref="J841">XLOOKUP(B841,cat!B:B,cat!C:C)</f>
        <v>D</v>
      </c>
      <c r="K841" s="1">
        <f t="array" ref="K841">XLOOKUP(B841,cat!B:B,cat!D:D)</f>
        <v>173</v>
      </c>
      <c r="L841" s="7">
        <f t="shared" si="1"/>
        <v>0.08888888889</v>
      </c>
      <c r="M841" s="7">
        <f t="shared" si="2"/>
        <v>0.06923611111</v>
      </c>
      <c r="P841" s="9"/>
      <c r="Q841" s="9">
        <f t="shared" si="3"/>
        <v>1379.183333</v>
      </c>
      <c r="R841" s="1" t="str">
        <f t="shared" si="4"/>
        <v>MAC</v>
      </c>
      <c r="S841" s="1" t="str">
        <f>IF($D841="LEBL", IF(COUNTIF('Paises ECAC'!B:B, C841)&gt;0, "ECAC","NO ECAC"), "")</f>
        <v>NO ECAC</v>
      </c>
    </row>
    <row r="842" ht="14.25" customHeight="1">
      <c r="A842" s="1" t="s">
        <v>1418</v>
      </c>
      <c r="B842" s="1" t="s">
        <v>35</v>
      </c>
      <c r="C842" s="1" t="s">
        <v>21</v>
      </c>
      <c r="D842" s="1" t="s">
        <v>100</v>
      </c>
      <c r="E842" s="1" t="s">
        <v>305</v>
      </c>
      <c r="F842" s="1">
        <v>340.0</v>
      </c>
      <c r="G842" s="5">
        <v>0.7472222222222222</v>
      </c>
      <c r="H842" s="1">
        <v>11.0</v>
      </c>
      <c r="I842" s="5">
        <v>0.8090277777777778</v>
      </c>
      <c r="J842" s="1" t="str">
        <f t="array" ref="J842">XLOOKUP(B842,cat!B:B,cat!C:C)</f>
        <v>D</v>
      </c>
      <c r="K842" s="1">
        <f t="array" ref="K842">XLOOKUP(B842,cat!B:B,cat!D:D)</f>
        <v>207</v>
      </c>
      <c r="L842" s="7">
        <f t="shared" si="1"/>
        <v>0.06180555556</v>
      </c>
      <c r="M842" s="1" t="str">
        <f t="shared" si="2"/>
        <v/>
      </c>
      <c r="P842" s="9"/>
      <c r="Q842" s="9">
        <f t="shared" si="3"/>
        <v>0</v>
      </c>
      <c r="R842" s="1" t="str">
        <f t="shared" si="4"/>
        <v>VLG</v>
      </c>
      <c r="S842" s="1" t="str">
        <f>IF($D842="LEBL", IF(COUNTIF('Paises ECAC'!B:B, C842)&gt;0, "ECAC","NO ECAC"), "")</f>
        <v/>
      </c>
    </row>
    <row r="843" ht="14.25" customHeight="1">
      <c r="A843" s="1" t="s">
        <v>1419</v>
      </c>
      <c r="B843" s="1" t="s">
        <v>35</v>
      </c>
      <c r="C843" s="1" t="s">
        <v>504</v>
      </c>
      <c r="D843" s="1" t="s">
        <v>21</v>
      </c>
      <c r="E843" s="1" t="s">
        <v>617</v>
      </c>
      <c r="F843" s="1">
        <v>350.0</v>
      </c>
      <c r="G843" s="5">
        <v>0.5951388888888889</v>
      </c>
      <c r="H843" s="1">
        <v>9.0</v>
      </c>
      <c r="I843" s="5">
        <v>0.7465277777777778</v>
      </c>
      <c r="J843" s="1" t="str">
        <f t="array" ref="J843">XLOOKUP(B843,cat!B:B,cat!C:C)</f>
        <v>D</v>
      </c>
      <c r="K843" s="1">
        <f t="array" ref="K843">XLOOKUP(B843,cat!B:B,cat!D:D)</f>
        <v>207</v>
      </c>
      <c r="L843" s="7">
        <f t="shared" si="1"/>
        <v>0.1513888889</v>
      </c>
      <c r="M843" s="7">
        <f t="shared" si="2"/>
        <v>0.1324305556</v>
      </c>
      <c r="P843" s="9"/>
      <c r="Q843" s="9">
        <f t="shared" si="3"/>
        <v>2638.016667</v>
      </c>
      <c r="R843" s="1" t="str">
        <f t="shared" si="4"/>
        <v>FIN</v>
      </c>
      <c r="S843" s="1" t="str">
        <f>IF($D843="LEBL", IF(COUNTIF('Paises ECAC'!B:B, C843)&gt;0, "ECAC","NO ECAC"), "")</f>
        <v>ECAC</v>
      </c>
    </row>
    <row r="844" ht="14.25" customHeight="1">
      <c r="A844" s="1" t="s">
        <v>1420</v>
      </c>
      <c r="B844" s="1" t="s">
        <v>136</v>
      </c>
      <c r="C844" s="1" t="s">
        <v>21</v>
      </c>
      <c r="D844" s="1" t="s">
        <v>237</v>
      </c>
      <c r="E844" s="1" t="s">
        <v>232</v>
      </c>
      <c r="F844" s="1">
        <v>340.0</v>
      </c>
      <c r="G844" s="5">
        <v>0.7486111111111111</v>
      </c>
      <c r="H844" s="1">
        <v>20.0</v>
      </c>
      <c r="I844" s="5">
        <v>0.8055555555555556</v>
      </c>
      <c r="J844" s="1" t="str">
        <f t="array" ref="J844">XLOOKUP(B844,cat!B:B,cat!C:C)</f>
        <v>D</v>
      </c>
      <c r="K844" s="1">
        <f t="array" ref="K844">XLOOKUP(B844,cat!B:B,cat!D:D)</f>
        <v>144</v>
      </c>
      <c r="L844" s="7">
        <f t="shared" si="1"/>
        <v>0.05694444444</v>
      </c>
      <c r="M844" s="1" t="str">
        <f t="shared" si="2"/>
        <v/>
      </c>
      <c r="P844" s="9"/>
      <c r="Q844" s="9">
        <f t="shared" si="3"/>
        <v>0</v>
      </c>
      <c r="R844" s="1" t="str">
        <f t="shared" si="4"/>
        <v>EJU</v>
      </c>
      <c r="S844" s="1" t="str">
        <f>IF($D844="LEBL", IF(COUNTIF('Paises ECAC'!B:B, C844)&gt;0, "ECAC","NO ECAC"), "")</f>
        <v/>
      </c>
    </row>
    <row r="845" ht="14.25" customHeight="1">
      <c r="A845" s="1" t="s">
        <v>1421</v>
      </c>
      <c r="B845" s="1" t="s">
        <v>30</v>
      </c>
      <c r="C845" s="1" t="s">
        <v>245</v>
      </c>
      <c r="D845" s="1" t="s">
        <v>21</v>
      </c>
      <c r="E845" s="1" t="s">
        <v>641</v>
      </c>
      <c r="F845" s="1">
        <v>180.0</v>
      </c>
      <c r="G845" s="5">
        <v>0.7159722222222222</v>
      </c>
      <c r="H845" s="1">
        <v>10.0</v>
      </c>
      <c r="I845" s="5">
        <v>0.7465277777777778</v>
      </c>
      <c r="J845" s="1" t="str">
        <f t="array" ref="J845">XLOOKUP(B845,cat!B:B,cat!C:C)</f>
        <v>D</v>
      </c>
      <c r="K845" s="1">
        <f t="array" ref="K845">XLOOKUP(B845,cat!B:B,cat!D:D)</f>
        <v>173</v>
      </c>
      <c r="L845" s="7">
        <f t="shared" si="1"/>
        <v>0.03055555556</v>
      </c>
      <c r="M845" s="7">
        <f t="shared" si="2"/>
        <v>0.01090277778</v>
      </c>
      <c r="P845" s="9"/>
      <c r="Q845" s="9">
        <f t="shared" si="3"/>
        <v>217.1833333</v>
      </c>
      <c r="R845" s="1" t="str">
        <f t="shared" si="4"/>
        <v>VLG</v>
      </c>
      <c r="S845" s="1" t="str">
        <f>IF($D845="LEBL", IF(COUNTIF('Paises ECAC'!B:B, C845)&gt;0, "ECAC","NO ECAC"), "")</f>
        <v>ECAC</v>
      </c>
    </row>
    <row r="846" ht="14.25" customHeight="1">
      <c r="A846" s="1" t="s">
        <v>1422</v>
      </c>
      <c r="B846" s="1" t="s">
        <v>35</v>
      </c>
      <c r="C846" s="1" t="s">
        <v>21</v>
      </c>
      <c r="D846" s="1" t="s">
        <v>140</v>
      </c>
      <c r="E846" s="1" t="s">
        <v>190</v>
      </c>
      <c r="F846" s="1">
        <v>340.0</v>
      </c>
      <c r="G846" s="5">
        <v>0.7486111111111111</v>
      </c>
      <c r="H846" s="1">
        <v>13.0</v>
      </c>
      <c r="I846" s="5">
        <v>0.7986111111111112</v>
      </c>
      <c r="J846" s="1" t="str">
        <f t="array" ref="J846">XLOOKUP(B846,cat!B:B,cat!C:C)</f>
        <v>D</v>
      </c>
      <c r="K846" s="1">
        <f t="array" ref="K846">XLOOKUP(B846,cat!B:B,cat!D:D)</f>
        <v>207</v>
      </c>
      <c r="L846" s="7">
        <f t="shared" si="1"/>
        <v>0.05</v>
      </c>
      <c r="M846" s="1" t="str">
        <f t="shared" si="2"/>
        <v/>
      </c>
      <c r="P846" s="9"/>
      <c r="Q846" s="9">
        <f t="shared" si="3"/>
        <v>0</v>
      </c>
      <c r="R846" s="1" t="str">
        <f t="shared" si="4"/>
        <v>VLG</v>
      </c>
      <c r="S846" s="1" t="str">
        <f>IF($D846="LEBL", IF(COUNTIF('Paises ECAC'!B:B, C846)&gt;0, "ECAC","NO ECAC"), "")</f>
        <v/>
      </c>
    </row>
    <row r="847" ht="14.25" customHeight="1">
      <c r="A847" s="1" t="s">
        <v>1423</v>
      </c>
      <c r="B847" s="1" t="s">
        <v>136</v>
      </c>
      <c r="C847" s="1" t="s">
        <v>221</v>
      </c>
      <c r="D847" s="1" t="s">
        <v>21</v>
      </c>
      <c r="E847" s="1" t="s">
        <v>1424</v>
      </c>
      <c r="F847" s="1">
        <v>390.0</v>
      </c>
      <c r="G847" s="5">
        <v>0.6770833333333334</v>
      </c>
      <c r="H847" s="1">
        <v>22.0</v>
      </c>
      <c r="I847" s="5">
        <v>0.75</v>
      </c>
      <c r="J847" s="1" t="str">
        <f t="array" ref="J847">XLOOKUP(B847,cat!B:B,cat!C:C)</f>
        <v>D</v>
      </c>
      <c r="K847" s="1">
        <f t="array" ref="K847">XLOOKUP(B847,cat!B:B,cat!D:D)</f>
        <v>144</v>
      </c>
      <c r="L847" s="7">
        <f t="shared" si="1"/>
        <v>0.07291666667</v>
      </c>
      <c r="M847" s="7">
        <f t="shared" si="2"/>
        <v>0.04493055556</v>
      </c>
      <c r="P847" s="9"/>
      <c r="Q847" s="9">
        <f t="shared" si="3"/>
        <v>895.0166667</v>
      </c>
      <c r="R847" s="1" t="str">
        <f t="shared" si="4"/>
        <v>EZY</v>
      </c>
      <c r="S847" s="1" t="str">
        <f>IF($D847="LEBL", IF(COUNTIF('Paises ECAC'!B:B, C847)&gt;0, "ECAC","NO ECAC"), "")</f>
        <v>ECAC</v>
      </c>
    </row>
    <row r="848" ht="14.25" customHeight="1">
      <c r="A848" s="1" t="s">
        <v>1425</v>
      </c>
      <c r="B848" s="1" t="s">
        <v>35</v>
      </c>
      <c r="C848" s="1" t="s">
        <v>21</v>
      </c>
      <c r="D848" s="1" t="s">
        <v>245</v>
      </c>
      <c r="E848" s="1" t="s">
        <v>1426</v>
      </c>
      <c r="F848" s="1">
        <v>190.0</v>
      </c>
      <c r="G848" s="5">
        <v>0.7409722222222223</v>
      </c>
      <c r="H848" s="1">
        <v>17.0</v>
      </c>
      <c r="I848" s="5">
        <v>0.7708333333333334</v>
      </c>
      <c r="J848" s="1" t="str">
        <f t="array" ref="J848">XLOOKUP(B848,cat!B:B,cat!C:C)</f>
        <v>D</v>
      </c>
      <c r="K848" s="1">
        <f t="array" ref="K848">XLOOKUP(B848,cat!B:B,cat!D:D)</f>
        <v>207</v>
      </c>
      <c r="L848" s="7">
        <f t="shared" si="1"/>
        <v>0.02986111111</v>
      </c>
      <c r="M848" s="1" t="str">
        <f t="shared" si="2"/>
        <v/>
      </c>
      <c r="P848" s="9"/>
      <c r="Q848" s="9">
        <f t="shared" si="3"/>
        <v>0</v>
      </c>
      <c r="R848" s="1" t="str">
        <f t="shared" si="4"/>
        <v>VLG</v>
      </c>
      <c r="S848" s="1" t="str">
        <f>IF($D848="LEBL", IF(COUNTIF('Paises ECAC'!B:B, C848)&gt;0, "ECAC","NO ECAC"), "")</f>
        <v/>
      </c>
    </row>
    <row r="849" ht="14.25" customHeight="1">
      <c r="A849" s="1" t="s">
        <v>1427</v>
      </c>
      <c r="B849" s="1" t="s">
        <v>35</v>
      </c>
      <c r="C849" s="1" t="s">
        <v>21</v>
      </c>
      <c r="D849" s="1" t="s">
        <v>271</v>
      </c>
      <c r="E849" s="1" t="s">
        <v>263</v>
      </c>
      <c r="F849" s="1">
        <v>360.0</v>
      </c>
      <c r="G849" s="5">
        <v>0.7472222222222222</v>
      </c>
      <c r="H849" s="1">
        <v>10.0</v>
      </c>
      <c r="I849" s="5">
        <v>0.8125</v>
      </c>
      <c r="J849" s="1" t="str">
        <f t="array" ref="J849">XLOOKUP(B849,cat!B:B,cat!C:C)</f>
        <v>D</v>
      </c>
      <c r="K849" s="1">
        <f t="array" ref="K849">XLOOKUP(B849,cat!B:B,cat!D:D)</f>
        <v>207</v>
      </c>
      <c r="L849" s="7">
        <f t="shared" si="1"/>
        <v>0.06527777778</v>
      </c>
      <c r="M849" s="1" t="str">
        <f t="shared" si="2"/>
        <v/>
      </c>
      <c r="P849" s="9"/>
      <c r="Q849" s="9">
        <f t="shared" si="3"/>
        <v>0</v>
      </c>
      <c r="R849" s="1" t="str">
        <f t="shared" si="4"/>
        <v>VLG</v>
      </c>
      <c r="S849" s="1" t="str">
        <f>IF($D849="LEBL", IF(COUNTIF('Paises ECAC'!B:B, C849)&gt;0, "ECAC","NO ECAC"), "")</f>
        <v/>
      </c>
    </row>
    <row r="850" ht="14.25" customHeight="1">
      <c r="A850" s="1" t="s">
        <v>1428</v>
      </c>
      <c r="B850" s="1" t="s">
        <v>25</v>
      </c>
      <c r="C850" s="1" t="s">
        <v>21</v>
      </c>
      <c r="D850" s="1" t="s">
        <v>369</v>
      </c>
      <c r="E850" s="1" t="s">
        <v>89</v>
      </c>
      <c r="F850" s="1">
        <v>300.0</v>
      </c>
      <c r="G850" s="5">
        <v>0.7465277777777778</v>
      </c>
      <c r="H850" s="1">
        <v>10.0</v>
      </c>
      <c r="I850" s="5">
        <v>0.8055555555555556</v>
      </c>
      <c r="J850" s="1" t="str">
        <f t="array" ref="J850">XLOOKUP(B850,cat!B:B,cat!C:C)</f>
        <v>D</v>
      </c>
      <c r="K850" s="1">
        <f t="array" ref="K850">XLOOKUP(B850,cat!B:B,cat!D:D)</f>
        <v>180</v>
      </c>
      <c r="L850" s="7">
        <f t="shared" si="1"/>
        <v>0.05902777778</v>
      </c>
      <c r="M850" s="1" t="str">
        <f t="shared" si="2"/>
        <v/>
      </c>
      <c r="P850" s="9"/>
      <c r="Q850" s="9">
        <f t="shared" si="3"/>
        <v>0</v>
      </c>
      <c r="R850" s="1" t="str">
        <f t="shared" si="4"/>
        <v>VLG</v>
      </c>
      <c r="S850" s="1" t="str">
        <f>IF($D850="LEBL", IF(COUNTIF('Paises ECAC'!B:B, C850)&gt;0, "ECAC","NO ECAC"), "")</f>
        <v/>
      </c>
    </row>
    <row r="851" ht="14.25" customHeight="1">
      <c r="A851" s="1" t="s">
        <v>1429</v>
      </c>
      <c r="B851" s="1" t="s">
        <v>30</v>
      </c>
      <c r="C851" s="1" t="s">
        <v>1430</v>
      </c>
      <c r="D851" s="1" t="s">
        <v>21</v>
      </c>
      <c r="E851" s="1" t="s">
        <v>1431</v>
      </c>
      <c r="F851" s="1">
        <v>350.0</v>
      </c>
      <c r="G851" s="5">
        <v>0.6527777777777778</v>
      </c>
      <c r="H851" s="1">
        <v>13.0</v>
      </c>
      <c r="I851" s="5">
        <v>0.75</v>
      </c>
      <c r="J851" s="1" t="str">
        <f t="array" ref="J851">XLOOKUP(B851,cat!B:B,cat!C:C)</f>
        <v>D</v>
      </c>
      <c r="K851" s="1">
        <f t="array" ref="K851">XLOOKUP(B851,cat!B:B,cat!D:D)</f>
        <v>173</v>
      </c>
      <c r="L851" s="7">
        <f t="shared" si="1"/>
        <v>0.09722222222</v>
      </c>
      <c r="M851" s="7">
        <f t="shared" si="2"/>
        <v>0.07548611111</v>
      </c>
      <c r="P851" s="9"/>
      <c r="Q851" s="9">
        <f t="shared" si="3"/>
        <v>1503.683333</v>
      </c>
      <c r="R851" s="1" t="str">
        <f t="shared" si="4"/>
        <v>WZZ</v>
      </c>
      <c r="S851" s="1" t="str">
        <f>IF($D851="LEBL", IF(COUNTIF('Paises ECAC'!B:B, C851)&gt;0, "ECAC","NO ECAC"), "")</f>
        <v>ECAC</v>
      </c>
    </row>
    <row r="852" ht="14.25" customHeight="1">
      <c r="A852" s="1" t="s">
        <v>1432</v>
      </c>
      <c r="B852" s="1" t="s">
        <v>19</v>
      </c>
      <c r="C852" s="1" t="s">
        <v>21</v>
      </c>
      <c r="D852" s="1" t="s">
        <v>169</v>
      </c>
      <c r="E852" s="1" t="s">
        <v>1313</v>
      </c>
      <c r="F852" s="1">
        <v>360.0</v>
      </c>
      <c r="G852" s="5">
        <v>0.7527777777777778</v>
      </c>
      <c r="H852" s="1">
        <v>10.0</v>
      </c>
      <c r="I852" s="5">
        <v>0.8263888888888888</v>
      </c>
      <c r="J852" s="1" t="str">
        <f t="array" ref="J852">XLOOKUP(B852,cat!B:B,cat!C:C)</f>
        <v>D</v>
      </c>
      <c r="K852" s="1">
        <f t="array" ref="K852">XLOOKUP(B852,cat!B:B,cat!D:D)</f>
        <v>184</v>
      </c>
      <c r="L852" s="7">
        <f t="shared" si="1"/>
        <v>0.07361111111</v>
      </c>
      <c r="M852" s="1" t="str">
        <f t="shared" si="2"/>
        <v/>
      </c>
      <c r="P852" s="9"/>
      <c r="Q852" s="9">
        <f t="shared" si="3"/>
        <v>0</v>
      </c>
      <c r="R852" s="1" t="str">
        <f t="shared" si="4"/>
        <v>KLM</v>
      </c>
      <c r="S852" s="1" t="str">
        <f>IF($D852="LEBL", IF(COUNTIF('Paises ECAC'!B:B, C852)&gt;0, "ECAC","NO ECAC"), "")</f>
        <v/>
      </c>
    </row>
    <row r="853" ht="14.25" customHeight="1">
      <c r="A853" s="1" t="s">
        <v>1433</v>
      </c>
      <c r="B853" s="1" t="s">
        <v>30</v>
      </c>
      <c r="C853" s="1" t="s">
        <v>126</v>
      </c>
      <c r="D853" s="1" t="s">
        <v>21</v>
      </c>
      <c r="E853" s="1" t="s">
        <v>259</v>
      </c>
      <c r="F853" s="1">
        <v>380.0</v>
      </c>
      <c r="G853" s="5">
        <v>0.6298611111111111</v>
      </c>
      <c r="H853" s="1">
        <v>13.0</v>
      </c>
      <c r="I853" s="5">
        <v>0.7534722222222222</v>
      </c>
      <c r="J853" s="1" t="str">
        <f t="array" ref="J853">XLOOKUP(B853,cat!B:B,cat!C:C)</f>
        <v>D</v>
      </c>
      <c r="K853" s="1">
        <f t="array" ref="K853">XLOOKUP(B853,cat!B:B,cat!D:D)</f>
        <v>173</v>
      </c>
      <c r="L853" s="7">
        <f t="shared" si="1"/>
        <v>0.1236111111</v>
      </c>
      <c r="M853" s="7">
        <f t="shared" si="2"/>
        <v>0.101875</v>
      </c>
      <c r="P853" s="9"/>
      <c r="Q853" s="9">
        <f t="shared" si="3"/>
        <v>2029.35</v>
      </c>
      <c r="R853" s="1" t="str">
        <f t="shared" si="4"/>
        <v>VLG</v>
      </c>
      <c r="S853" s="1" t="str">
        <f>IF($D853="LEBL", IF(COUNTIF('Paises ECAC'!B:B, C853)&gt;0, "ECAC","NO ECAC"), "")</f>
        <v>ECAC</v>
      </c>
    </row>
    <row r="854" ht="14.25" customHeight="1">
      <c r="A854" s="1" t="s">
        <v>1434</v>
      </c>
      <c r="B854" s="1" t="s">
        <v>30</v>
      </c>
      <c r="C854" s="1" t="s">
        <v>21</v>
      </c>
      <c r="D854" s="1" t="s">
        <v>166</v>
      </c>
      <c r="E854" s="1" t="s">
        <v>1329</v>
      </c>
      <c r="F854" s="1">
        <v>370.0</v>
      </c>
      <c r="G854" s="5">
        <v>0.7576388888888889</v>
      </c>
      <c r="H854" s="1">
        <v>11.0</v>
      </c>
      <c r="I854" s="5">
        <v>0.8715277777777778</v>
      </c>
      <c r="J854" s="1" t="str">
        <f t="array" ref="J854">XLOOKUP(B854,cat!B:B,cat!C:C)</f>
        <v>D</v>
      </c>
      <c r="K854" s="1">
        <f t="array" ref="K854">XLOOKUP(B854,cat!B:B,cat!D:D)</f>
        <v>173</v>
      </c>
      <c r="L854" s="7">
        <f t="shared" si="1"/>
        <v>0.1138888889</v>
      </c>
      <c r="M854" s="1" t="str">
        <f t="shared" si="2"/>
        <v/>
      </c>
      <c r="P854" s="9"/>
      <c r="Q854" s="9">
        <f t="shared" si="3"/>
        <v>0</v>
      </c>
      <c r="R854" s="1" t="str">
        <f t="shared" si="4"/>
        <v>VLG</v>
      </c>
      <c r="S854" s="1" t="str">
        <f>IF($D854="LEBL", IF(COUNTIF('Paises ECAC'!B:B, C854)&gt;0, "ECAC","NO ECAC"), "")</f>
        <v/>
      </c>
    </row>
    <row r="855" ht="14.25" customHeight="1">
      <c r="A855" s="1" t="s">
        <v>1435</v>
      </c>
      <c r="B855" s="1" t="s">
        <v>57</v>
      </c>
      <c r="C855" s="1" t="s">
        <v>21</v>
      </c>
      <c r="D855" s="1" t="s">
        <v>196</v>
      </c>
      <c r="E855" s="1" t="s">
        <v>1074</v>
      </c>
      <c r="F855" s="1">
        <v>390.0</v>
      </c>
      <c r="G855" s="5">
        <v>0.6944444444444444</v>
      </c>
      <c r="H855" s="1">
        <v>10.0</v>
      </c>
      <c r="I855" s="5">
        <v>0.04513888888888889</v>
      </c>
      <c r="J855" s="1" t="str">
        <f t="array" ref="J855">XLOOKUP(B855,cat!B:B,cat!C:C)</f>
        <v>B</v>
      </c>
      <c r="K855" s="1">
        <f t="array" ref="K855">XLOOKUP(B855,cat!B:B,cat!D:D)</f>
        <v>281</v>
      </c>
      <c r="L855" s="7">
        <f t="shared" si="1"/>
        <v>0.3506944444</v>
      </c>
      <c r="M855" s="1" t="str">
        <f t="shared" si="2"/>
        <v/>
      </c>
      <c r="P855" s="9"/>
      <c r="Q855" s="9">
        <f t="shared" si="3"/>
        <v>0</v>
      </c>
      <c r="R855" s="1" t="str">
        <f t="shared" si="4"/>
        <v>IBE</v>
      </c>
      <c r="S855" s="1" t="str">
        <f>IF($D855="LEBL", IF(COUNTIF('Paises ECAC'!B:B, C855)&gt;0, "ECAC","NO ECAC"), "")</f>
        <v/>
      </c>
    </row>
    <row r="856" ht="14.25" customHeight="1">
      <c r="A856" s="1" t="s">
        <v>1436</v>
      </c>
      <c r="B856" s="1" t="s">
        <v>30</v>
      </c>
      <c r="C856" s="1" t="s">
        <v>1437</v>
      </c>
      <c r="D856" s="1" t="s">
        <v>21</v>
      </c>
      <c r="E856" s="1" t="s">
        <v>1438</v>
      </c>
      <c r="F856" s="1">
        <v>390.0</v>
      </c>
      <c r="G856" s="5">
        <v>0.6451388888888889</v>
      </c>
      <c r="H856" s="1">
        <v>11.0</v>
      </c>
      <c r="I856" s="5">
        <v>0.7534722222222222</v>
      </c>
      <c r="J856" s="1" t="str">
        <f t="array" ref="J856">XLOOKUP(B856,cat!B:B,cat!C:C)</f>
        <v>D</v>
      </c>
      <c r="K856" s="1">
        <f t="array" ref="K856">XLOOKUP(B856,cat!B:B,cat!D:D)</f>
        <v>173</v>
      </c>
      <c r="L856" s="7">
        <f t="shared" si="1"/>
        <v>0.1083333333</v>
      </c>
      <c r="M856" s="7">
        <f t="shared" si="2"/>
        <v>0.08798611111</v>
      </c>
      <c r="P856" s="9"/>
      <c r="Q856" s="9">
        <f t="shared" si="3"/>
        <v>1752.683333</v>
      </c>
      <c r="R856" s="1" t="str">
        <f t="shared" si="4"/>
        <v>WMT</v>
      </c>
      <c r="S856" s="1" t="str">
        <f>IF($D856="LEBL", IF(COUNTIF('Paises ECAC'!B:B, C856)&gt;0, "ECAC","NO ECAC"), "")</f>
        <v>ECAC</v>
      </c>
    </row>
    <row r="857" ht="14.25" customHeight="1">
      <c r="A857" s="1" t="s">
        <v>1439</v>
      </c>
      <c r="B857" s="1" t="s">
        <v>19</v>
      </c>
      <c r="C857" s="1" t="s">
        <v>21</v>
      </c>
      <c r="D857" s="1" t="s">
        <v>97</v>
      </c>
      <c r="E857" s="1" t="s">
        <v>691</v>
      </c>
      <c r="F857" s="1">
        <v>300.0</v>
      </c>
      <c r="G857" s="5">
        <v>0.7576388888888889</v>
      </c>
      <c r="H857" s="1">
        <v>17.0</v>
      </c>
      <c r="I857" s="5">
        <v>0.8090277777777778</v>
      </c>
      <c r="J857" s="1" t="str">
        <f t="array" ref="J857">XLOOKUP(B857,cat!B:B,cat!C:C)</f>
        <v>D</v>
      </c>
      <c r="K857" s="1">
        <f t="array" ref="K857">XLOOKUP(B857,cat!B:B,cat!D:D)</f>
        <v>184</v>
      </c>
      <c r="L857" s="7">
        <f t="shared" si="1"/>
        <v>0.05138888889</v>
      </c>
      <c r="M857" s="1" t="str">
        <f t="shared" si="2"/>
        <v/>
      </c>
      <c r="P857" s="9"/>
      <c r="Q857" s="9">
        <f t="shared" si="3"/>
        <v>0</v>
      </c>
      <c r="R857" s="1" t="str">
        <f t="shared" si="4"/>
        <v>ABR</v>
      </c>
      <c r="S857" s="1" t="str">
        <f>IF($D857="LEBL", IF(COUNTIF('Paises ECAC'!B:B, C857)&gt;0, "ECAC","NO ECAC"), "")</f>
        <v/>
      </c>
    </row>
    <row r="858" ht="14.25" customHeight="1">
      <c r="A858" s="1" t="s">
        <v>1440</v>
      </c>
      <c r="B858" s="1" t="s">
        <v>35</v>
      </c>
      <c r="C858" s="1" t="s">
        <v>97</v>
      </c>
      <c r="D858" s="1" t="s">
        <v>21</v>
      </c>
      <c r="E858" s="1" t="s">
        <v>256</v>
      </c>
      <c r="F858" s="1">
        <v>310.0</v>
      </c>
      <c r="G858" s="5">
        <v>0.7111111111111111</v>
      </c>
      <c r="H858" s="1">
        <v>13.0</v>
      </c>
      <c r="I858" s="5">
        <v>0.7569444444444444</v>
      </c>
      <c r="J858" s="1" t="str">
        <f t="array" ref="J858">XLOOKUP(B858,cat!B:B,cat!C:C)</f>
        <v>D</v>
      </c>
      <c r="K858" s="1">
        <f t="array" ref="K858">XLOOKUP(B858,cat!B:B,cat!D:D)</f>
        <v>207</v>
      </c>
      <c r="L858" s="7">
        <f t="shared" si="1"/>
        <v>0.04583333333</v>
      </c>
      <c r="M858" s="7">
        <f t="shared" si="2"/>
        <v>0.02409722222</v>
      </c>
      <c r="P858" s="9"/>
      <c r="Q858" s="9">
        <f t="shared" si="3"/>
        <v>480.0166667</v>
      </c>
      <c r="R858" s="1" t="str">
        <f t="shared" si="4"/>
        <v>VLG</v>
      </c>
      <c r="S858" s="1" t="str">
        <f>IF($D858="LEBL", IF(COUNTIF('Paises ECAC'!B:B, C858)&gt;0, "ECAC","NO ECAC"), "")</f>
        <v>ECAC</v>
      </c>
    </row>
    <row r="859" ht="14.25" customHeight="1">
      <c r="A859" s="1" t="s">
        <v>1441</v>
      </c>
      <c r="B859" s="1" t="s">
        <v>30</v>
      </c>
      <c r="C859" s="1" t="s">
        <v>21</v>
      </c>
      <c r="D859" s="1" t="s">
        <v>169</v>
      </c>
      <c r="E859" s="1" t="s">
        <v>92</v>
      </c>
      <c r="F859" s="1">
        <v>300.0</v>
      </c>
      <c r="G859" s="5">
        <v>0.7555555555555555</v>
      </c>
      <c r="H859" s="1">
        <v>11.0</v>
      </c>
      <c r="I859" s="5">
        <v>0.8368055555555556</v>
      </c>
      <c r="J859" s="1" t="str">
        <f t="array" ref="J859">XLOOKUP(B859,cat!B:B,cat!C:C)</f>
        <v>D</v>
      </c>
      <c r="K859" s="1">
        <f t="array" ref="K859">XLOOKUP(B859,cat!B:B,cat!D:D)</f>
        <v>173</v>
      </c>
      <c r="L859" s="7">
        <f t="shared" si="1"/>
        <v>0.08125</v>
      </c>
      <c r="M859" s="1" t="str">
        <f t="shared" si="2"/>
        <v/>
      </c>
      <c r="P859" s="9"/>
      <c r="Q859" s="9">
        <f t="shared" si="3"/>
        <v>0</v>
      </c>
      <c r="R859" s="1" t="str">
        <f t="shared" si="4"/>
        <v>VLG</v>
      </c>
      <c r="S859" s="1" t="str">
        <f>IF($D859="LEBL", IF(COUNTIF('Paises ECAC'!B:B, C859)&gt;0, "ECAC","NO ECAC"), "")</f>
        <v/>
      </c>
    </row>
    <row r="860" ht="14.25" customHeight="1">
      <c r="A860" s="1" t="s">
        <v>1442</v>
      </c>
      <c r="B860" s="1" t="s">
        <v>30</v>
      </c>
      <c r="C860" s="1" t="s">
        <v>485</v>
      </c>
      <c r="D860" s="1" t="s">
        <v>21</v>
      </c>
      <c r="E860" s="1" t="s">
        <v>1443</v>
      </c>
      <c r="F860" s="1">
        <v>390.0</v>
      </c>
      <c r="G860" s="5">
        <v>0.6875</v>
      </c>
      <c r="H860" s="1">
        <v>22.0</v>
      </c>
      <c r="I860" s="5">
        <v>0.7569444444444444</v>
      </c>
      <c r="J860" s="1" t="str">
        <f t="array" ref="J860">XLOOKUP(B860,cat!B:B,cat!C:C)</f>
        <v>D</v>
      </c>
      <c r="K860" s="1">
        <f t="array" ref="K860">XLOOKUP(B860,cat!B:B,cat!D:D)</f>
        <v>173</v>
      </c>
      <c r="L860" s="7">
        <f t="shared" si="1"/>
        <v>0.06944444444</v>
      </c>
      <c r="M860" s="7">
        <f t="shared" si="2"/>
        <v>0.04145833333</v>
      </c>
      <c r="P860" s="9"/>
      <c r="Q860" s="9">
        <f t="shared" si="3"/>
        <v>825.85</v>
      </c>
      <c r="R860" s="1" t="str">
        <f t="shared" si="4"/>
        <v>EWG</v>
      </c>
      <c r="S860" s="1" t="str">
        <f>IF($D860="LEBL", IF(COUNTIF('Paises ECAC'!B:B, C860)&gt;0, "ECAC","NO ECAC"), "")</f>
        <v>ECAC</v>
      </c>
    </row>
    <row r="861" ht="14.25" customHeight="1">
      <c r="A861" s="1" t="s">
        <v>1444</v>
      </c>
      <c r="B861" s="1" t="s">
        <v>30</v>
      </c>
      <c r="C861" s="1" t="s">
        <v>682</v>
      </c>
      <c r="D861" s="1" t="s">
        <v>21</v>
      </c>
      <c r="E861" s="1" t="s">
        <v>103</v>
      </c>
      <c r="F861" s="1">
        <v>290.0</v>
      </c>
      <c r="G861" s="5">
        <v>0.7194444444444444</v>
      </c>
      <c r="H861" s="1">
        <v>11.0</v>
      </c>
      <c r="I861" s="5">
        <v>0.7569444444444444</v>
      </c>
      <c r="J861" s="1" t="str">
        <f t="array" ref="J861">XLOOKUP(B861,cat!B:B,cat!C:C)</f>
        <v>D</v>
      </c>
      <c r="K861" s="1">
        <f t="array" ref="K861">XLOOKUP(B861,cat!B:B,cat!D:D)</f>
        <v>173</v>
      </c>
      <c r="L861" s="7">
        <f t="shared" si="1"/>
        <v>0.0375</v>
      </c>
      <c r="M861" s="7">
        <f t="shared" si="2"/>
        <v>0.01715277778</v>
      </c>
      <c r="P861" s="9"/>
      <c r="Q861" s="9">
        <f t="shared" si="3"/>
        <v>341.6833333</v>
      </c>
      <c r="R861" s="1" t="str">
        <f t="shared" si="4"/>
        <v>VLG</v>
      </c>
      <c r="S861" s="1" t="str">
        <f>IF($D861="LEBL", IF(COUNTIF('Paises ECAC'!B:B, C861)&gt;0, "ECAC","NO ECAC"), "")</f>
        <v>ECAC</v>
      </c>
    </row>
    <row r="862" ht="14.25" customHeight="1">
      <c r="A862" s="1" t="s">
        <v>1445</v>
      </c>
      <c r="B862" s="1" t="s">
        <v>212</v>
      </c>
      <c r="C862" s="1" t="s">
        <v>21</v>
      </c>
      <c r="D862" s="1" t="s">
        <v>444</v>
      </c>
      <c r="E862" s="1" t="s">
        <v>1269</v>
      </c>
      <c r="F862" s="1">
        <v>354.0</v>
      </c>
      <c r="G862" s="5">
        <v>0.7583333333333333</v>
      </c>
      <c r="H862" s="1">
        <v>12.0</v>
      </c>
      <c r="I862" s="5">
        <v>0.9131944444444444</v>
      </c>
      <c r="J862" s="1" t="str">
        <f t="array" ref="J862">XLOOKUP(B862,cat!B:B,cat!C:C)</f>
        <v>D</v>
      </c>
      <c r="K862" s="1">
        <f t="array" ref="K862">XLOOKUP(B862,cat!B:B,cat!D:D)</f>
        <v>200</v>
      </c>
      <c r="L862" s="7">
        <f t="shared" si="1"/>
        <v>0.1548611111</v>
      </c>
      <c r="M862" s="1" t="str">
        <f t="shared" si="2"/>
        <v/>
      </c>
      <c r="P862" s="9"/>
      <c r="Q862" s="9">
        <f t="shared" si="3"/>
        <v>0</v>
      </c>
      <c r="R862" s="1" t="str">
        <f t="shared" si="4"/>
        <v>AIZ</v>
      </c>
      <c r="S862" s="1" t="str">
        <f>IF($D862="LEBL", IF(COUNTIF('Paises ECAC'!B:B, C862)&gt;0, "ECAC","NO ECAC"), "")</f>
        <v/>
      </c>
    </row>
    <row r="863" ht="14.25" customHeight="1">
      <c r="A863" s="1" t="s">
        <v>1446</v>
      </c>
      <c r="B863" s="1" t="s">
        <v>25</v>
      </c>
      <c r="C863" s="1" t="s">
        <v>1243</v>
      </c>
      <c r="D863" s="1" t="s">
        <v>21</v>
      </c>
      <c r="E863" s="1" t="s">
        <v>1447</v>
      </c>
      <c r="F863" s="1">
        <v>390.0</v>
      </c>
      <c r="G863" s="5">
        <v>0.6430555555555556</v>
      </c>
      <c r="H863" s="1">
        <v>14.0</v>
      </c>
      <c r="I863" s="5">
        <v>0.7604166666666666</v>
      </c>
      <c r="J863" s="1" t="str">
        <f t="array" ref="J863">XLOOKUP(B863,cat!B:B,cat!C:C)</f>
        <v>D</v>
      </c>
      <c r="K863" s="1">
        <f t="array" ref="K863">XLOOKUP(B863,cat!B:B,cat!D:D)</f>
        <v>180</v>
      </c>
      <c r="L863" s="7">
        <f t="shared" si="1"/>
        <v>0.1173611111</v>
      </c>
      <c r="M863" s="7">
        <f t="shared" si="2"/>
        <v>0.09493055556</v>
      </c>
      <c r="P863" s="9"/>
      <c r="Q863" s="9">
        <f t="shared" si="3"/>
        <v>1891.016667</v>
      </c>
      <c r="R863" s="1" t="str">
        <f t="shared" si="4"/>
        <v>SAS</v>
      </c>
      <c r="S863" s="1" t="str">
        <f>IF($D863="LEBL", IF(COUNTIF('Paises ECAC'!B:B, C863)&gt;0, "ECAC","NO ECAC"), "")</f>
        <v>ECAC</v>
      </c>
    </row>
    <row r="864" ht="14.25" customHeight="1">
      <c r="A864" s="1" t="s">
        <v>1448</v>
      </c>
      <c r="B864" s="1" t="s">
        <v>25</v>
      </c>
      <c r="C864" s="1" t="s">
        <v>234</v>
      </c>
      <c r="D864" s="1" t="s">
        <v>21</v>
      </c>
      <c r="E864" s="1" t="s">
        <v>1449</v>
      </c>
      <c r="F864" s="1">
        <v>300.0</v>
      </c>
      <c r="G864" s="5">
        <v>0.7270833333333333</v>
      </c>
      <c r="H864" s="1">
        <v>16.0</v>
      </c>
      <c r="I864" s="5">
        <v>0.7604166666666666</v>
      </c>
      <c r="J864" s="1" t="str">
        <f t="array" ref="J864">XLOOKUP(B864,cat!B:B,cat!C:C)</f>
        <v>D</v>
      </c>
      <c r="K864" s="1">
        <f t="array" ref="K864">XLOOKUP(B864,cat!B:B,cat!D:D)</f>
        <v>180</v>
      </c>
      <c r="L864" s="7">
        <f t="shared" si="1"/>
        <v>0.03333333333</v>
      </c>
      <c r="M864" s="7">
        <f t="shared" si="2"/>
        <v>0.009513888889</v>
      </c>
      <c r="P864" s="9"/>
      <c r="Q864" s="9">
        <f t="shared" si="3"/>
        <v>189.5166667</v>
      </c>
      <c r="R864" s="1" t="str">
        <f t="shared" si="4"/>
        <v>IBE</v>
      </c>
      <c r="S864" s="1" t="str">
        <f>IF($D864="LEBL", IF(COUNTIF('Paises ECAC'!B:B, C864)&gt;0, "ECAC","NO ECAC"), "")</f>
        <v>ECAC</v>
      </c>
    </row>
    <row r="865" ht="14.25" customHeight="1">
      <c r="A865" s="1" t="s">
        <v>1450</v>
      </c>
      <c r="B865" s="1" t="s">
        <v>19</v>
      </c>
      <c r="C865" s="1" t="s">
        <v>21</v>
      </c>
      <c r="D865" s="1" t="s">
        <v>41</v>
      </c>
      <c r="E865" s="1" t="s">
        <v>146</v>
      </c>
      <c r="F865" s="1">
        <v>380.0</v>
      </c>
      <c r="G865" s="5">
        <v>0.7618055555555555</v>
      </c>
      <c r="H865" s="1">
        <v>20.0</v>
      </c>
      <c r="I865" s="5">
        <v>0.8472222222222222</v>
      </c>
      <c r="J865" s="1" t="str">
        <f t="array" ref="J865">XLOOKUP(B865,cat!B:B,cat!C:C)</f>
        <v>D</v>
      </c>
      <c r="K865" s="1">
        <f t="array" ref="K865">XLOOKUP(B865,cat!B:B,cat!D:D)</f>
        <v>184</v>
      </c>
      <c r="L865" s="7">
        <f t="shared" si="1"/>
        <v>0.08541666667</v>
      </c>
      <c r="M865" s="1" t="str">
        <f t="shared" si="2"/>
        <v/>
      </c>
      <c r="P865" s="9"/>
      <c r="Q865" s="9">
        <f t="shared" si="3"/>
        <v>0</v>
      </c>
      <c r="R865" s="1" t="str">
        <f t="shared" si="4"/>
        <v>RYR</v>
      </c>
      <c r="S865" s="1" t="str">
        <f>IF($D865="LEBL", IF(COUNTIF('Paises ECAC'!B:B, C865)&gt;0, "ECAC","NO ECAC"), "")</f>
        <v/>
      </c>
    </row>
    <row r="866" ht="14.25" customHeight="1">
      <c r="A866" s="1" t="s">
        <v>1451</v>
      </c>
      <c r="B866" s="1" t="s">
        <v>136</v>
      </c>
      <c r="C866" s="1" t="s">
        <v>310</v>
      </c>
      <c r="D866" s="1" t="s">
        <v>21</v>
      </c>
      <c r="E866" s="1" t="s">
        <v>311</v>
      </c>
      <c r="F866" s="1">
        <v>280.0</v>
      </c>
      <c r="G866" s="5">
        <v>0.7159722222222222</v>
      </c>
      <c r="H866" s="1">
        <v>7.0</v>
      </c>
      <c r="I866" s="5">
        <v>0.7604166666666666</v>
      </c>
      <c r="J866" s="1" t="str">
        <f t="array" ref="J866">XLOOKUP(B866,cat!B:B,cat!C:C)</f>
        <v>D</v>
      </c>
      <c r="K866" s="1">
        <f t="array" ref="K866">XLOOKUP(B866,cat!B:B,cat!D:D)</f>
        <v>144</v>
      </c>
      <c r="L866" s="7">
        <f t="shared" si="1"/>
        <v>0.04444444444</v>
      </c>
      <c r="M866" s="7">
        <f t="shared" si="2"/>
        <v>0.026875</v>
      </c>
      <c r="P866" s="9"/>
      <c r="Q866" s="9">
        <f t="shared" si="3"/>
        <v>535.35</v>
      </c>
      <c r="R866" s="1" t="str">
        <f t="shared" si="4"/>
        <v>VLG</v>
      </c>
      <c r="S866" s="1" t="str">
        <f>IF($D866="LEBL", IF(COUNTIF('Paises ECAC'!B:B, C866)&gt;0, "ECAC","NO ECAC"), "")</f>
        <v>NO ECAC</v>
      </c>
    </row>
    <row r="867" ht="14.25" customHeight="1">
      <c r="A867" s="1" t="s">
        <v>1452</v>
      </c>
      <c r="B867" s="1" t="s">
        <v>544</v>
      </c>
      <c r="C867" s="1" t="s">
        <v>1453</v>
      </c>
      <c r="D867" s="1" t="s">
        <v>21</v>
      </c>
      <c r="E867" s="1" t="s">
        <v>1454</v>
      </c>
      <c r="F867" s="1">
        <v>370.0</v>
      </c>
      <c r="G867" s="5">
        <v>0.6909722222222222</v>
      </c>
      <c r="H867" s="1">
        <v>10.0</v>
      </c>
      <c r="I867" s="5">
        <v>0.7604166666666666</v>
      </c>
      <c r="J867" s="1" t="str">
        <f t="array" ref="J867">XLOOKUP(B867,cat!B:B,cat!C:C)</f>
        <v>D</v>
      </c>
      <c r="K867" s="1">
        <f t="array" ref="K867">XLOOKUP(B867,cat!B:B,cat!D:D)</f>
        <v>148</v>
      </c>
      <c r="L867" s="7">
        <f t="shared" si="1"/>
        <v>0.06944444444</v>
      </c>
      <c r="M867" s="7">
        <f t="shared" si="2"/>
        <v>0.04979166667</v>
      </c>
      <c r="P867" s="9"/>
      <c r="Q867" s="9">
        <f t="shared" si="3"/>
        <v>991.85</v>
      </c>
      <c r="R867" s="1" t="str">
        <f t="shared" si="4"/>
        <v>CTN</v>
      </c>
      <c r="S867" s="1" t="str">
        <f>IF($D867="LEBL", IF(COUNTIF('Paises ECAC'!B:B, C867)&gt;0, "ECAC","NO ECAC"), "")</f>
        <v>ECAC</v>
      </c>
    </row>
    <row r="868" ht="14.25" customHeight="1">
      <c r="A868" s="1" t="s">
        <v>1455</v>
      </c>
      <c r="B868" s="1" t="s">
        <v>35</v>
      </c>
      <c r="C868" s="1" t="s">
        <v>21</v>
      </c>
      <c r="D868" s="1" t="s">
        <v>221</v>
      </c>
      <c r="E868" s="1" t="s">
        <v>193</v>
      </c>
      <c r="F868" s="1">
        <v>341.0</v>
      </c>
      <c r="G868" s="5">
        <v>0.7555555555555555</v>
      </c>
      <c r="H868" s="1">
        <v>12.0</v>
      </c>
      <c r="I868" s="5">
        <v>0.8333333333333334</v>
      </c>
      <c r="J868" s="1" t="str">
        <f t="array" ref="J868">XLOOKUP(B868,cat!B:B,cat!C:C)</f>
        <v>D</v>
      </c>
      <c r="K868" s="1">
        <f t="array" ref="K868">XLOOKUP(B868,cat!B:B,cat!D:D)</f>
        <v>207</v>
      </c>
      <c r="L868" s="7">
        <f t="shared" si="1"/>
        <v>0.07777777778</v>
      </c>
      <c r="M868" s="1" t="str">
        <f t="shared" si="2"/>
        <v/>
      </c>
      <c r="P868" s="9"/>
      <c r="Q868" s="9">
        <f t="shared" si="3"/>
        <v>0</v>
      </c>
      <c r="R868" s="1" t="str">
        <f t="shared" si="4"/>
        <v>VLG</v>
      </c>
      <c r="S868" s="1" t="str">
        <f>IF($D868="LEBL", IF(COUNTIF('Paises ECAC'!B:B, C868)&gt;0, "ECAC","NO ECAC"), "")</f>
        <v/>
      </c>
    </row>
    <row r="869" ht="14.25" customHeight="1">
      <c r="A869" s="1" t="s">
        <v>1456</v>
      </c>
      <c r="B869" s="1" t="s">
        <v>30</v>
      </c>
      <c r="C869" s="1" t="s">
        <v>1087</v>
      </c>
      <c r="D869" s="1" t="s">
        <v>21</v>
      </c>
      <c r="E869" s="1" t="s">
        <v>302</v>
      </c>
      <c r="F869" s="1">
        <v>310.0</v>
      </c>
      <c r="G869" s="5">
        <v>0.7006944444444444</v>
      </c>
      <c r="H869" s="1">
        <v>10.0</v>
      </c>
      <c r="I869" s="5">
        <v>0.7638888888888888</v>
      </c>
      <c r="J869" s="1" t="str">
        <f t="array" ref="J869">XLOOKUP(B869,cat!B:B,cat!C:C)</f>
        <v>D</v>
      </c>
      <c r="K869" s="1">
        <f t="array" ref="K869">XLOOKUP(B869,cat!B:B,cat!D:D)</f>
        <v>173</v>
      </c>
      <c r="L869" s="7">
        <f t="shared" si="1"/>
        <v>0.06319444444</v>
      </c>
      <c r="M869" s="7">
        <f t="shared" si="2"/>
        <v>0.04354166667</v>
      </c>
      <c r="P869" s="9"/>
      <c r="Q869" s="9">
        <f t="shared" si="3"/>
        <v>867.35</v>
      </c>
      <c r="R869" s="1" t="str">
        <f t="shared" si="4"/>
        <v>VLG</v>
      </c>
      <c r="S869" s="1" t="str">
        <f>IF($D869="LEBL", IF(COUNTIF('Paises ECAC'!B:B, C869)&gt;0, "ECAC","NO ECAC"), "")</f>
        <v>NO ECAC</v>
      </c>
    </row>
    <row r="870" ht="14.25" customHeight="1">
      <c r="A870" s="1" t="s">
        <v>1457</v>
      </c>
      <c r="B870" s="1" t="s">
        <v>30</v>
      </c>
      <c r="C870" s="1" t="s">
        <v>21</v>
      </c>
      <c r="D870" s="1" t="s">
        <v>509</v>
      </c>
      <c r="E870" s="1" t="s">
        <v>1316</v>
      </c>
      <c r="F870" s="1">
        <v>340.0</v>
      </c>
      <c r="G870" s="5">
        <v>0.7680555555555556</v>
      </c>
      <c r="H870" s="1">
        <v>20.0</v>
      </c>
      <c r="I870" s="5">
        <v>0.8333333333333334</v>
      </c>
      <c r="J870" s="1" t="str">
        <f t="array" ref="J870">XLOOKUP(B870,cat!B:B,cat!C:C)</f>
        <v>D</v>
      </c>
      <c r="K870" s="1">
        <f t="array" ref="K870">XLOOKUP(B870,cat!B:B,cat!D:D)</f>
        <v>173</v>
      </c>
      <c r="L870" s="7">
        <f t="shared" si="1"/>
        <v>0.06527777778</v>
      </c>
      <c r="M870" s="1" t="str">
        <f t="shared" si="2"/>
        <v/>
      </c>
      <c r="P870" s="9"/>
      <c r="Q870" s="9">
        <f t="shared" si="3"/>
        <v>0</v>
      </c>
      <c r="R870" s="1" t="str">
        <f t="shared" si="4"/>
        <v>EWG</v>
      </c>
      <c r="S870" s="1" t="str">
        <f>IF($D870="LEBL", IF(COUNTIF('Paises ECAC'!B:B, C870)&gt;0, "ECAC","NO ECAC"), "")</f>
        <v/>
      </c>
    </row>
    <row r="871" ht="14.25" customHeight="1">
      <c r="A871" s="1" t="s">
        <v>1458</v>
      </c>
      <c r="B871" s="1" t="s">
        <v>1459</v>
      </c>
      <c r="C871" s="1" t="s">
        <v>163</v>
      </c>
      <c r="D871" s="1" t="s">
        <v>21</v>
      </c>
      <c r="E871" s="1" t="s">
        <v>1460</v>
      </c>
      <c r="F871" s="1">
        <v>370.0</v>
      </c>
      <c r="G871" s="5">
        <v>0.6895833333333333</v>
      </c>
      <c r="H871" s="1">
        <v>10.0</v>
      </c>
      <c r="I871" s="5">
        <v>0.7638888888888888</v>
      </c>
      <c r="J871" s="1" t="str">
        <f t="array" ref="J871">XLOOKUP(B871,cat!B:B,cat!C:C)</f>
        <v>D</v>
      </c>
      <c r="K871" s="1">
        <f t="array" ref="K871">XLOOKUP(B871,cat!B:B,cat!D:D)</f>
        <v>145</v>
      </c>
      <c r="L871" s="7">
        <f t="shared" si="1"/>
        <v>0.07430555556</v>
      </c>
      <c r="M871" s="7">
        <f t="shared" si="2"/>
        <v>0.05465277778</v>
      </c>
      <c r="P871" s="9"/>
      <c r="Q871" s="9">
        <f t="shared" si="3"/>
        <v>1088.683333</v>
      </c>
      <c r="R871" s="1" t="str">
        <f t="shared" si="4"/>
        <v>LGL</v>
      </c>
      <c r="S871" s="1" t="str">
        <f>IF($D871="LEBL", IF(COUNTIF('Paises ECAC'!B:B, C871)&gt;0, "ECAC","NO ECAC"), "")</f>
        <v>ECAC</v>
      </c>
    </row>
    <row r="872" ht="14.25" customHeight="1">
      <c r="A872" s="1" t="s">
        <v>1461</v>
      </c>
      <c r="B872" s="1" t="s">
        <v>30</v>
      </c>
      <c r="C872" s="1" t="s">
        <v>21</v>
      </c>
      <c r="D872" s="1" t="s">
        <v>1189</v>
      </c>
      <c r="E872" s="1" t="s">
        <v>127</v>
      </c>
      <c r="F872" s="1">
        <v>330.0</v>
      </c>
      <c r="G872" s="5">
        <v>0.7611111111111111</v>
      </c>
      <c r="H872" s="1">
        <v>11.0</v>
      </c>
      <c r="I872" s="5">
        <v>0.8194444444444444</v>
      </c>
      <c r="J872" s="1" t="str">
        <f t="array" ref="J872">XLOOKUP(B872,cat!B:B,cat!C:C)</f>
        <v>D</v>
      </c>
      <c r="K872" s="1">
        <f t="array" ref="K872">XLOOKUP(B872,cat!B:B,cat!D:D)</f>
        <v>173</v>
      </c>
      <c r="L872" s="7">
        <f t="shared" si="1"/>
        <v>0.05833333333</v>
      </c>
      <c r="M872" s="1" t="str">
        <f t="shared" si="2"/>
        <v/>
      </c>
      <c r="P872" s="9"/>
      <c r="Q872" s="9">
        <f t="shared" si="3"/>
        <v>0</v>
      </c>
      <c r="R872" s="1" t="str">
        <f t="shared" si="4"/>
        <v>VLG</v>
      </c>
      <c r="S872" s="1" t="str">
        <f>IF($D872="LEBL", IF(COUNTIF('Paises ECAC'!B:B, C872)&gt;0, "ECAC","NO ECAC"), "")</f>
        <v/>
      </c>
    </row>
    <row r="873" ht="14.25" customHeight="1">
      <c r="A873" s="1" t="s">
        <v>1462</v>
      </c>
      <c r="B873" s="1" t="s">
        <v>30</v>
      </c>
      <c r="C873" s="1" t="s">
        <v>245</v>
      </c>
      <c r="D873" s="1" t="s">
        <v>21</v>
      </c>
      <c r="E873" s="1" t="s">
        <v>265</v>
      </c>
      <c r="F873" s="1">
        <v>180.0</v>
      </c>
      <c r="G873" s="5">
        <v>0.7444444444444445</v>
      </c>
      <c r="H873" s="1">
        <v>11.0</v>
      </c>
      <c r="I873" s="5">
        <v>0.7638888888888888</v>
      </c>
      <c r="J873" s="1" t="str">
        <f t="array" ref="J873">XLOOKUP(B873,cat!B:B,cat!C:C)</f>
        <v>D</v>
      </c>
      <c r="K873" s="1">
        <f t="array" ref="K873">XLOOKUP(B873,cat!B:B,cat!D:D)</f>
        <v>173</v>
      </c>
      <c r="L873" s="7">
        <f t="shared" si="1"/>
        <v>0.01944444444</v>
      </c>
      <c r="M873" s="7">
        <f t="shared" si="2"/>
        <v>0.01180555556</v>
      </c>
      <c r="P873" s="9"/>
      <c r="Q873" s="9">
        <f t="shared" si="3"/>
        <v>235.1666667</v>
      </c>
      <c r="R873" s="1" t="str">
        <f t="shared" si="4"/>
        <v>VLG</v>
      </c>
      <c r="S873" s="1" t="str">
        <f>IF($D873="LEBL", IF(COUNTIF('Paises ECAC'!B:B, C873)&gt;0, "ECAC","NO ECAC"), "")</f>
        <v>ECAC</v>
      </c>
    </row>
    <row r="874" ht="14.25" customHeight="1">
      <c r="A874" s="1" t="s">
        <v>1463</v>
      </c>
      <c r="B874" s="1" t="s">
        <v>19</v>
      </c>
      <c r="C874" s="1" t="s">
        <v>199</v>
      </c>
      <c r="D874" s="1" t="s">
        <v>21</v>
      </c>
      <c r="E874" s="1" t="s">
        <v>144</v>
      </c>
      <c r="F874" s="1">
        <v>370.0</v>
      </c>
      <c r="G874" s="5">
        <v>0.7013888888888888</v>
      </c>
      <c r="H874" s="1">
        <v>9.0</v>
      </c>
      <c r="I874" s="5">
        <v>0.7673611111111112</v>
      </c>
      <c r="J874" s="1" t="str">
        <f t="array" ref="J874">XLOOKUP(B874,cat!B:B,cat!C:C)</f>
        <v>D</v>
      </c>
      <c r="K874" s="1">
        <f t="array" ref="K874">XLOOKUP(B874,cat!B:B,cat!D:D)</f>
        <v>184</v>
      </c>
      <c r="L874" s="7">
        <f t="shared" si="1"/>
        <v>0.06597222222</v>
      </c>
      <c r="M874" s="7">
        <f t="shared" si="2"/>
        <v>0.04701388889</v>
      </c>
      <c r="P874" s="9"/>
      <c r="Q874" s="9">
        <f t="shared" si="3"/>
        <v>936.5166667</v>
      </c>
      <c r="R874" s="1" t="str">
        <f t="shared" si="4"/>
        <v>RYR</v>
      </c>
      <c r="S874" s="1" t="str">
        <f>IF($D874="LEBL", IF(COUNTIF('Paises ECAC'!B:B, C874)&gt;0, "ECAC","NO ECAC"), "")</f>
        <v>ECAC</v>
      </c>
    </row>
    <row r="875" ht="14.25" customHeight="1">
      <c r="A875" s="1" t="s">
        <v>1464</v>
      </c>
      <c r="B875" s="1" t="s">
        <v>35</v>
      </c>
      <c r="C875" s="1" t="s">
        <v>21</v>
      </c>
      <c r="D875" s="1" t="s">
        <v>107</v>
      </c>
      <c r="E875" s="1" t="s">
        <v>219</v>
      </c>
      <c r="F875" s="1">
        <v>350.0</v>
      </c>
      <c r="G875" s="5">
        <v>0.7708333333333334</v>
      </c>
      <c r="H875" s="1">
        <v>10.0</v>
      </c>
      <c r="I875" s="5">
        <v>0.8298611111111112</v>
      </c>
      <c r="J875" s="1" t="str">
        <f t="array" ref="J875">XLOOKUP(B875,cat!B:B,cat!C:C)</f>
        <v>D</v>
      </c>
      <c r="K875" s="1">
        <f t="array" ref="K875">XLOOKUP(B875,cat!B:B,cat!D:D)</f>
        <v>207</v>
      </c>
      <c r="L875" s="7">
        <f t="shared" si="1"/>
        <v>0.05902777778</v>
      </c>
      <c r="M875" s="1" t="str">
        <f t="shared" si="2"/>
        <v/>
      </c>
      <c r="P875" s="9"/>
      <c r="Q875" s="9">
        <f t="shared" si="3"/>
        <v>0</v>
      </c>
      <c r="R875" s="1" t="str">
        <f t="shared" si="4"/>
        <v>VLG</v>
      </c>
      <c r="S875" s="1" t="str">
        <f>IF($D875="LEBL", IF(COUNTIF('Paises ECAC'!B:B, C875)&gt;0, "ECAC","NO ECAC"), "")</f>
        <v/>
      </c>
    </row>
    <row r="876" ht="14.25" customHeight="1">
      <c r="A876" s="1" t="s">
        <v>1465</v>
      </c>
      <c r="B876" s="1" t="s">
        <v>19</v>
      </c>
      <c r="C876" s="1" t="s">
        <v>1217</v>
      </c>
      <c r="D876" s="1" t="s">
        <v>21</v>
      </c>
      <c r="E876" s="1" t="s">
        <v>164</v>
      </c>
      <c r="F876" s="1">
        <v>330.0</v>
      </c>
      <c r="G876" s="5">
        <v>0.7270833333333333</v>
      </c>
      <c r="H876" s="1">
        <v>5.0</v>
      </c>
      <c r="I876" s="5">
        <v>0.7673611111111112</v>
      </c>
      <c r="J876" s="1" t="str">
        <f t="array" ref="J876">XLOOKUP(B876,cat!B:B,cat!C:C)</f>
        <v>D</v>
      </c>
      <c r="K876" s="1">
        <f t="array" ref="K876">XLOOKUP(B876,cat!B:B,cat!D:D)</f>
        <v>184</v>
      </c>
      <c r="L876" s="7">
        <f t="shared" si="1"/>
        <v>0.04027777778</v>
      </c>
      <c r="M876" s="7">
        <f t="shared" si="2"/>
        <v>0.02409722222</v>
      </c>
      <c r="P876" s="9"/>
      <c r="Q876" s="9">
        <f t="shared" si="3"/>
        <v>480.0166667</v>
      </c>
      <c r="R876" s="1" t="str">
        <f t="shared" si="4"/>
        <v>RYR</v>
      </c>
      <c r="S876" s="1" t="str">
        <f>IF($D876="LEBL", IF(COUNTIF('Paises ECAC'!B:B, C876)&gt;0, "ECAC","NO ECAC"), "")</f>
        <v>NO ECAC</v>
      </c>
    </row>
    <row r="877" ht="14.25" customHeight="1">
      <c r="A877" s="1" t="s">
        <v>1466</v>
      </c>
      <c r="B877" s="1" t="s">
        <v>35</v>
      </c>
      <c r="C877" s="1" t="s">
        <v>290</v>
      </c>
      <c r="D877" s="1" t="s">
        <v>21</v>
      </c>
      <c r="E877" s="1" t="s">
        <v>1467</v>
      </c>
      <c r="F877" s="1">
        <v>350.0</v>
      </c>
      <c r="G877" s="5">
        <v>0.6597222222222222</v>
      </c>
      <c r="H877" s="1">
        <v>10.0</v>
      </c>
      <c r="I877" s="5">
        <v>0.7673611111111112</v>
      </c>
      <c r="J877" s="1" t="str">
        <f t="array" ref="J877">XLOOKUP(B877,cat!B:B,cat!C:C)</f>
        <v>D</v>
      </c>
      <c r="K877" s="1">
        <f t="array" ref="K877">XLOOKUP(B877,cat!B:B,cat!D:D)</f>
        <v>207</v>
      </c>
      <c r="L877" s="7">
        <f t="shared" si="1"/>
        <v>0.1076388889</v>
      </c>
      <c r="M877" s="7">
        <f t="shared" si="2"/>
        <v>0.08798611111</v>
      </c>
      <c r="P877" s="9"/>
      <c r="Q877" s="9">
        <f t="shared" si="3"/>
        <v>1752.683333</v>
      </c>
      <c r="R877" s="1" t="str">
        <f t="shared" si="4"/>
        <v>WMT</v>
      </c>
      <c r="S877" s="1" t="str">
        <f>IF($D877="LEBL", IF(COUNTIF('Paises ECAC'!B:B, C877)&gt;0, "ECAC","NO ECAC"), "")</f>
        <v>ECAC</v>
      </c>
    </row>
    <row r="878" ht="14.25" customHeight="1">
      <c r="A878" s="1" t="s">
        <v>1468</v>
      </c>
      <c r="B878" s="1" t="s">
        <v>25</v>
      </c>
      <c r="C878" s="1" t="s">
        <v>274</v>
      </c>
      <c r="D878" s="1" t="s">
        <v>21</v>
      </c>
      <c r="E878" s="1" t="s">
        <v>1469</v>
      </c>
      <c r="F878" s="1">
        <v>390.0</v>
      </c>
      <c r="G878" s="5">
        <v>0.7097222222222223</v>
      </c>
      <c r="H878" s="1">
        <v>27.0</v>
      </c>
      <c r="I878" s="5">
        <v>0.7708333333333334</v>
      </c>
      <c r="J878" s="1" t="str">
        <f t="array" ref="J878">XLOOKUP(B878,cat!B:B,cat!C:C)</f>
        <v>D</v>
      </c>
      <c r="K878" s="1">
        <f t="array" ref="K878">XLOOKUP(B878,cat!B:B,cat!D:D)</f>
        <v>180</v>
      </c>
      <c r="L878" s="7">
        <f t="shared" si="1"/>
        <v>0.06111111111</v>
      </c>
      <c r="M878" s="7">
        <f t="shared" si="2"/>
        <v>0.02965277778</v>
      </c>
      <c r="P878" s="9"/>
      <c r="Q878" s="9">
        <f t="shared" si="3"/>
        <v>590.6833333</v>
      </c>
      <c r="R878" s="1" t="str">
        <f t="shared" si="4"/>
        <v>BAW</v>
      </c>
      <c r="S878" s="1" t="str">
        <f>IF($D878="LEBL", IF(COUNTIF('Paises ECAC'!B:B, C878)&gt;0, "ECAC","NO ECAC"), "")</f>
        <v>ECAC</v>
      </c>
    </row>
    <row r="879" ht="14.25" customHeight="1">
      <c r="A879" s="1" t="s">
        <v>1470</v>
      </c>
      <c r="B879" s="1" t="s">
        <v>400</v>
      </c>
      <c r="C879" s="1" t="s">
        <v>21</v>
      </c>
      <c r="D879" s="1" t="s">
        <v>1378</v>
      </c>
      <c r="E879" s="1" t="s">
        <v>1379</v>
      </c>
      <c r="F879" s="1">
        <v>380.0</v>
      </c>
      <c r="G879" s="5">
        <v>0.7673611111111112</v>
      </c>
      <c r="H879" s="1">
        <v>12.0</v>
      </c>
      <c r="I879" s="5">
        <v>0.8472222222222222</v>
      </c>
      <c r="J879" s="1" t="str">
        <f t="array" ref="J879">XLOOKUP(B879,cat!B:B,cat!C:C)</f>
        <v>E</v>
      </c>
      <c r="K879" s="1">
        <f t="array" ref="K879">XLOOKUP(B879,cat!B:B,cat!D:D)</f>
        <v>104</v>
      </c>
      <c r="L879" s="7">
        <f t="shared" si="1"/>
        <v>0.07986111111</v>
      </c>
      <c r="M879" s="1" t="str">
        <f t="shared" si="2"/>
        <v/>
      </c>
      <c r="P879" s="9"/>
      <c r="Q879" s="9">
        <f t="shared" si="3"/>
        <v>0</v>
      </c>
      <c r="R879" s="1" t="str">
        <f t="shared" si="4"/>
        <v>CFE</v>
      </c>
      <c r="S879" s="1" t="str">
        <f>IF($D879="LEBL", IF(COUNTIF('Paises ECAC'!B:B, C879)&gt;0, "ECAC","NO ECAC"), "")</f>
        <v/>
      </c>
    </row>
    <row r="880" ht="14.25" customHeight="1">
      <c r="A880" s="1" t="s">
        <v>1471</v>
      </c>
      <c r="B880" s="1" t="s">
        <v>212</v>
      </c>
      <c r="C880" s="1" t="s">
        <v>199</v>
      </c>
      <c r="D880" s="1" t="s">
        <v>21</v>
      </c>
      <c r="E880" s="1" t="s">
        <v>213</v>
      </c>
      <c r="F880" s="1">
        <v>350.0</v>
      </c>
      <c r="G880" s="5">
        <v>0.7076388888888889</v>
      </c>
      <c r="H880" s="1">
        <v>9.0</v>
      </c>
      <c r="I880" s="5">
        <v>0.7708333333333334</v>
      </c>
      <c r="J880" s="1" t="str">
        <f t="array" ref="J880">XLOOKUP(B880,cat!B:B,cat!C:C)</f>
        <v>D</v>
      </c>
      <c r="K880" s="1">
        <f t="array" ref="K880">XLOOKUP(B880,cat!B:B,cat!D:D)</f>
        <v>200</v>
      </c>
      <c r="L880" s="7">
        <f t="shared" si="1"/>
        <v>0.06319444444</v>
      </c>
      <c r="M880" s="7">
        <f t="shared" si="2"/>
        <v>0.04423611111</v>
      </c>
      <c r="P880" s="9"/>
      <c r="Q880" s="9">
        <f t="shared" si="3"/>
        <v>881.1833333</v>
      </c>
      <c r="R880" s="1" t="str">
        <f t="shared" si="4"/>
        <v>VLG</v>
      </c>
      <c r="S880" s="1" t="str">
        <f>IF($D880="LEBL", IF(COUNTIF('Paises ECAC'!B:B, C880)&gt;0, "ECAC","NO ECAC"), "")</f>
        <v>ECAC</v>
      </c>
    </row>
    <row r="881" ht="14.25" customHeight="1">
      <c r="A881" s="1" t="s">
        <v>1472</v>
      </c>
      <c r="B881" s="1" t="s">
        <v>212</v>
      </c>
      <c r="C881" s="1" t="s">
        <v>21</v>
      </c>
      <c r="D881" s="1" t="s">
        <v>374</v>
      </c>
      <c r="E881" s="1" t="s">
        <v>1333</v>
      </c>
      <c r="F881" s="1">
        <v>370.0</v>
      </c>
      <c r="G881" s="5">
        <v>0.7673611111111112</v>
      </c>
      <c r="H881" s="1">
        <v>20.0</v>
      </c>
      <c r="I881" s="5">
        <v>0.8645833333333334</v>
      </c>
      <c r="J881" s="1" t="str">
        <f t="array" ref="J881">XLOOKUP(B881,cat!B:B,cat!C:C)</f>
        <v>D</v>
      </c>
      <c r="K881" s="1">
        <f t="array" ref="K881">XLOOKUP(B881,cat!B:B,cat!D:D)</f>
        <v>200</v>
      </c>
      <c r="L881" s="7">
        <f t="shared" si="1"/>
        <v>0.09722222222</v>
      </c>
      <c r="M881" s="1" t="str">
        <f t="shared" si="2"/>
        <v/>
      </c>
      <c r="P881" s="9"/>
      <c r="Q881" s="9">
        <f t="shared" si="3"/>
        <v>0</v>
      </c>
      <c r="R881" s="1" t="str">
        <f t="shared" si="4"/>
        <v>WZZ</v>
      </c>
      <c r="S881" s="1" t="str">
        <f>IF($D881="LEBL", IF(COUNTIF('Paises ECAC'!B:B, C881)&gt;0, "ECAC","NO ECAC"), "")</f>
        <v/>
      </c>
    </row>
    <row r="882" ht="14.25" customHeight="1">
      <c r="A882" s="1" t="s">
        <v>1473</v>
      </c>
      <c r="B882" s="1" t="s">
        <v>40</v>
      </c>
      <c r="C882" s="1" t="s">
        <v>21</v>
      </c>
      <c r="D882" s="1" t="s">
        <v>485</v>
      </c>
      <c r="E882" s="1" t="s">
        <v>1342</v>
      </c>
      <c r="F882" s="1">
        <v>360.0</v>
      </c>
      <c r="G882" s="5">
        <v>0.7756944444444445</v>
      </c>
      <c r="H882" s="1">
        <v>20.0</v>
      </c>
      <c r="I882" s="5">
        <v>0.8472222222222222</v>
      </c>
      <c r="J882" s="1" t="str">
        <f t="array" ref="J882">XLOOKUP(B882,cat!B:B,cat!C:C)</f>
        <v>D</v>
      </c>
      <c r="K882" s="1">
        <f t="array" ref="K882">XLOOKUP(B882,cat!B:B,cat!D:D)</f>
        <v>186</v>
      </c>
      <c r="L882" s="7">
        <f t="shared" si="1"/>
        <v>0.07152777778</v>
      </c>
      <c r="M882" s="1" t="str">
        <f t="shared" si="2"/>
        <v/>
      </c>
      <c r="P882" s="9"/>
      <c r="Q882" s="9">
        <f t="shared" si="3"/>
        <v>0</v>
      </c>
      <c r="R882" s="1" t="str">
        <f t="shared" si="4"/>
        <v>RYR</v>
      </c>
      <c r="S882" s="1" t="str">
        <f>IF($D882="LEBL", IF(COUNTIF('Paises ECAC'!B:B, C882)&gt;0, "ECAC","NO ECAC"), "")</f>
        <v/>
      </c>
    </row>
    <row r="883" ht="14.25" customHeight="1">
      <c r="A883" s="1" t="s">
        <v>1474</v>
      </c>
      <c r="B883" s="1" t="s">
        <v>212</v>
      </c>
      <c r="C883" s="1" t="s">
        <v>140</v>
      </c>
      <c r="D883" s="1" t="s">
        <v>21</v>
      </c>
      <c r="E883" s="1" t="s">
        <v>1475</v>
      </c>
      <c r="F883" s="1">
        <v>350.0</v>
      </c>
      <c r="G883" s="5">
        <v>0.7243055555555555</v>
      </c>
      <c r="H883" s="1">
        <v>14.0</v>
      </c>
      <c r="I883" s="5">
        <v>0.7743055555555556</v>
      </c>
      <c r="J883" s="1" t="str">
        <f t="array" ref="J883">XLOOKUP(B883,cat!B:B,cat!C:C)</f>
        <v>D</v>
      </c>
      <c r="K883" s="1">
        <f t="array" ref="K883">XLOOKUP(B883,cat!B:B,cat!D:D)</f>
        <v>200</v>
      </c>
      <c r="L883" s="7">
        <f t="shared" si="1"/>
        <v>0.05</v>
      </c>
      <c r="M883" s="7">
        <f t="shared" si="2"/>
        <v>0.02756944444</v>
      </c>
      <c r="P883" s="9"/>
      <c r="Q883" s="9">
        <f t="shared" si="3"/>
        <v>549.1833333</v>
      </c>
      <c r="R883" s="1" t="str">
        <f t="shared" si="4"/>
        <v>WMT</v>
      </c>
      <c r="S883" s="1" t="str">
        <f>IF($D883="LEBL", IF(COUNTIF('Paises ECAC'!B:B, C883)&gt;0, "ECAC","NO ECAC"), "")</f>
        <v>ECAC</v>
      </c>
    </row>
    <row r="884" ht="14.25" customHeight="1">
      <c r="A884" s="1" t="s">
        <v>1476</v>
      </c>
      <c r="B884" s="1" t="s">
        <v>25</v>
      </c>
      <c r="C884" s="1" t="s">
        <v>107</v>
      </c>
      <c r="D884" s="1" t="s">
        <v>21</v>
      </c>
      <c r="E884" s="1" t="s">
        <v>1477</v>
      </c>
      <c r="F884" s="1">
        <v>340.0</v>
      </c>
      <c r="G884" s="5">
        <v>0.7076388888888889</v>
      </c>
      <c r="H884" s="1">
        <v>20.0</v>
      </c>
      <c r="I884" s="5">
        <v>0.7743055555555556</v>
      </c>
      <c r="J884" s="1" t="str">
        <f t="array" ref="J884">XLOOKUP(B884,cat!B:B,cat!C:C)</f>
        <v>D</v>
      </c>
      <c r="K884" s="1">
        <f t="array" ref="K884">XLOOKUP(B884,cat!B:B,cat!D:D)</f>
        <v>180</v>
      </c>
      <c r="L884" s="7">
        <f t="shared" si="1"/>
        <v>0.06666666667</v>
      </c>
      <c r="M884" s="7">
        <f t="shared" si="2"/>
        <v>0.04006944444</v>
      </c>
      <c r="P884" s="9"/>
      <c r="Q884" s="9">
        <f t="shared" si="3"/>
        <v>798.1833333</v>
      </c>
      <c r="R884" s="1" t="str">
        <f t="shared" si="4"/>
        <v>TAP</v>
      </c>
      <c r="S884" s="1" t="str">
        <f>IF($D884="LEBL", IF(COUNTIF('Paises ECAC'!B:B, C884)&gt;0, "ECAC","NO ECAC"), "")</f>
        <v>ECAC</v>
      </c>
    </row>
    <row r="885" ht="14.25" customHeight="1">
      <c r="A885" s="1" t="s">
        <v>1478</v>
      </c>
      <c r="B885" s="1" t="s">
        <v>19</v>
      </c>
      <c r="C885" s="1" t="s">
        <v>21</v>
      </c>
      <c r="D885" s="1" t="s">
        <v>88</v>
      </c>
      <c r="E885" s="1" t="s">
        <v>1323</v>
      </c>
      <c r="F885" s="1">
        <v>370.0</v>
      </c>
      <c r="G885" s="5">
        <v>0.7736111111111111</v>
      </c>
      <c r="H885" s="1">
        <v>20.0</v>
      </c>
      <c r="I885" s="5">
        <v>0.8819444444444444</v>
      </c>
      <c r="J885" s="1" t="str">
        <f t="array" ref="J885">XLOOKUP(B885,cat!B:B,cat!C:C)</f>
        <v>D</v>
      </c>
      <c r="K885" s="1">
        <f t="array" ref="K885">XLOOKUP(B885,cat!B:B,cat!D:D)</f>
        <v>184</v>
      </c>
      <c r="L885" s="7">
        <f t="shared" si="1"/>
        <v>0.1083333333</v>
      </c>
      <c r="M885" s="1" t="str">
        <f t="shared" si="2"/>
        <v/>
      </c>
      <c r="P885" s="9"/>
      <c r="Q885" s="9">
        <f t="shared" si="3"/>
        <v>0</v>
      </c>
      <c r="R885" s="1" t="str">
        <f t="shared" si="4"/>
        <v>NSZ</v>
      </c>
      <c r="S885" s="1" t="str">
        <f>IF($D885="LEBL", IF(COUNTIF('Paises ECAC'!B:B, C885)&gt;0, "ECAC","NO ECAC"), "")</f>
        <v/>
      </c>
    </row>
    <row r="886" ht="14.25" customHeight="1">
      <c r="A886" s="1" t="s">
        <v>1479</v>
      </c>
      <c r="B886" s="1" t="s">
        <v>19</v>
      </c>
      <c r="C886" s="1" t="s">
        <v>21</v>
      </c>
      <c r="D886" s="1" t="s">
        <v>153</v>
      </c>
      <c r="E886" s="1" t="s">
        <v>928</v>
      </c>
      <c r="F886" s="1">
        <v>340.0</v>
      </c>
      <c r="G886" s="5">
        <v>0.7770833333333333</v>
      </c>
      <c r="H886" s="1">
        <v>20.0</v>
      </c>
      <c r="I886" s="5">
        <v>0.8333333333333334</v>
      </c>
      <c r="J886" s="1" t="str">
        <f t="array" ref="J886">XLOOKUP(B886,cat!B:B,cat!C:C)</f>
        <v>D</v>
      </c>
      <c r="K886" s="1">
        <f t="array" ref="K886">XLOOKUP(B886,cat!B:B,cat!D:D)</f>
        <v>184</v>
      </c>
      <c r="L886" s="7">
        <f t="shared" si="1"/>
        <v>0.05625</v>
      </c>
      <c r="M886" s="1" t="str">
        <f t="shared" si="2"/>
        <v/>
      </c>
      <c r="P886" s="9"/>
      <c r="Q886" s="9">
        <f t="shared" si="3"/>
        <v>0</v>
      </c>
      <c r="R886" s="1" t="str">
        <f t="shared" si="4"/>
        <v>RYR</v>
      </c>
      <c r="S886" s="1" t="str">
        <f>IF($D886="LEBL", IF(COUNTIF('Paises ECAC'!B:B, C886)&gt;0, "ECAC","NO ECAC"), "")</f>
        <v/>
      </c>
    </row>
    <row r="887" ht="14.25" customHeight="1">
      <c r="A887" s="1" t="s">
        <v>1480</v>
      </c>
      <c r="B887" s="1" t="s">
        <v>30</v>
      </c>
      <c r="C887" s="1" t="s">
        <v>199</v>
      </c>
      <c r="D887" s="1" t="s">
        <v>21</v>
      </c>
      <c r="E887" s="1" t="s">
        <v>924</v>
      </c>
      <c r="F887" s="1">
        <v>390.0</v>
      </c>
      <c r="G887" s="5">
        <v>0.7104166666666667</v>
      </c>
      <c r="H887" s="1">
        <v>10.0</v>
      </c>
      <c r="I887" s="5">
        <v>0.7743055555555556</v>
      </c>
      <c r="J887" s="1" t="str">
        <f t="array" ref="J887">XLOOKUP(B887,cat!B:B,cat!C:C)</f>
        <v>D</v>
      </c>
      <c r="K887" s="1">
        <f t="array" ref="K887">XLOOKUP(B887,cat!B:B,cat!D:D)</f>
        <v>173</v>
      </c>
      <c r="L887" s="7">
        <f t="shared" si="1"/>
        <v>0.06388888889</v>
      </c>
      <c r="M887" s="7">
        <f t="shared" si="2"/>
        <v>0.04423611111</v>
      </c>
      <c r="P887" s="9"/>
      <c r="Q887" s="9">
        <f t="shared" si="3"/>
        <v>881.1833333</v>
      </c>
      <c r="R887" s="1" t="str">
        <f t="shared" si="4"/>
        <v>BEL</v>
      </c>
      <c r="S887" s="1" t="str">
        <f>IF($D887="LEBL", IF(COUNTIF('Paises ECAC'!B:B, C887)&gt;0, "ECAC","NO ECAC"), "")</f>
        <v>ECAC</v>
      </c>
    </row>
    <row r="888" ht="14.25" customHeight="1">
      <c r="A888" s="1" t="s">
        <v>1481</v>
      </c>
      <c r="B888" s="1" t="s">
        <v>30</v>
      </c>
      <c r="C888" s="1" t="s">
        <v>156</v>
      </c>
      <c r="D888" s="1" t="s">
        <v>21</v>
      </c>
      <c r="E888" s="1" t="s">
        <v>1209</v>
      </c>
      <c r="F888" s="1">
        <v>180.0</v>
      </c>
      <c r="G888" s="5">
        <v>0.7513888888888889</v>
      </c>
      <c r="H888" s="1">
        <v>17.0</v>
      </c>
      <c r="I888" s="5">
        <v>0.7777777777777778</v>
      </c>
      <c r="J888" s="1" t="str">
        <f t="array" ref="J888">XLOOKUP(B888,cat!B:B,cat!C:C)</f>
        <v>D</v>
      </c>
      <c r="K888" s="1">
        <f t="array" ref="K888">XLOOKUP(B888,cat!B:B,cat!D:D)</f>
        <v>173</v>
      </c>
      <c r="L888" s="7">
        <f t="shared" si="1"/>
        <v>0.02638888889</v>
      </c>
      <c r="M888" s="7">
        <f t="shared" si="2"/>
        <v>0.001875</v>
      </c>
      <c r="P888" s="9"/>
      <c r="Q888" s="9">
        <f t="shared" si="3"/>
        <v>37.35</v>
      </c>
      <c r="R888" s="1" t="str">
        <f t="shared" si="4"/>
        <v>VLG</v>
      </c>
      <c r="S888" s="1" t="str">
        <f>IF($D888="LEBL", IF(COUNTIF('Paises ECAC'!B:B, C888)&gt;0, "ECAC","NO ECAC"), "")</f>
        <v>ECAC</v>
      </c>
    </row>
    <row r="889" ht="14.25" customHeight="1">
      <c r="A889" s="1" t="s">
        <v>1482</v>
      </c>
      <c r="B889" s="1" t="s">
        <v>30</v>
      </c>
      <c r="C889" s="1" t="s">
        <v>21</v>
      </c>
      <c r="D889" s="1" t="s">
        <v>322</v>
      </c>
      <c r="E889" s="1" t="s">
        <v>154</v>
      </c>
      <c r="F889" s="1">
        <v>330.0</v>
      </c>
      <c r="G889" s="5">
        <v>0.7826388888888889</v>
      </c>
      <c r="H889" s="1">
        <v>11.0</v>
      </c>
      <c r="I889" s="5">
        <v>0.8229166666666666</v>
      </c>
      <c r="J889" s="1" t="str">
        <f t="array" ref="J889">XLOOKUP(B889,cat!B:B,cat!C:C)</f>
        <v>D</v>
      </c>
      <c r="K889" s="1">
        <f t="array" ref="K889">XLOOKUP(B889,cat!B:B,cat!D:D)</f>
        <v>173</v>
      </c>
      <c r="L889" s="7">
        <f t="shared" si="1"/>
        <v>0.04027777778</v>
      </c>
      <c r="M889" s="1" t="str">
        <f t="shared" si="2"/>
        <v/>
      </c>
      <c r="P889" s="9"/>
      <c r="Q889" s="9">
        <f t="shared" si="3"/>
        <v>0</v>
      </c>
      <c r="R889" s="1" t="str">
        <f t="shared" si="4"/>
        <v>VLG</v>
      </c>
      <c r="S889" s="1" t="str">
        <f>IF($D889="LEBL", IF(COUNTIF('Paises ECAC'!B:B, C889)&gt;0, "ECAC","NO ECAC"), "")</f>
        <v/>
      </c>
    </row>
    <row r="890" ht="14.25" customHeight="1">
      <c r="A890" s="1" t="s">
        <v>1483</v>
      </c>
      <c r="B890" s="1" t="s">
        <v>30</v>
      </c>
      <c r="C890" s="1" t="s">
        <v>192</v>
      </c>
      <c r="D890" s="1" t="s">
        <v>21</v>
      </c>
      <c r="E890" s="1" t="s">
        <v>98</v>
      </c>
      <c r="F890" s="1">
        <v>380.0</v>
      </c>
      <c r="G890" s="5">
        <v>0.7236111111111111</v>
      </c>
      <c r="H890" s="1">
        <v>16.0</v>
      </c>
      <c r="I890" s="5">
        <v>0.7777777777777778</v>
      </c>
      <c r="J890" s="1" t="str">
        <f t="array" ref="J890">XLOOKUP(B890,cat!B:B,cat!C:C)</f>
        <v>D</v>
      </c>
      <c r="K890" s="1">
        <f t="array" ref="K890">XLOOKUP(B890,cat!B:B,cat!D:D)</f>
        <v>173</v>
      </c>
      <c r="L890" s="7">
        <f t="shared" si="1"/>
        <v>0.05416666667</v>
      </c>
      <c r="M890" s="7">
        <f t="shared" si="2"/>
        <v>0.03034722222</v>
      </c>
      <c r="P890" s="9"/>
      <c r="Q890" s="9">
        <f t="shared" si="3"/>
        <v>604.5166667</v>
      </c>
      <c r="R890" s="1" t="str">
        <f t="shared" si="4"/>
        <v>VLG</v>
      </c>
      <c r="S890" s="1" t="str">
        <f>IF($D890="LEBL", IF(COUNTIF('Paises ECAC'!B:B, C890)&gt;0, "ECAC","NO ECAC"), "")</f>
        <v>ECAC</v>
      </c>
    </row>
    <row r="891" ht="14.25" customHeight="1">
      <c r="A891" s="1" t="s">
        <v>1484</v>
      </c>
      <c r="B891" s="1" t="s">
        <v>212</v>
      </c>
      <c r="C891" s="1" t="s">
        <v>21</v>
      </c>
      <c r="D891" s="1" t="s">
        <v>68</v>
      </c>
      <c r="E891" s="1" t="s">
        <v>1340</v>
      </c>
      <c r="F891" s="1">
        <v>370.0</v>
      </c>
      <c r="G891" s="5">
        <v>0.7791666666666667</v>
      </c>
      <c r="H891" s="1">
        <v>20.0</v>
      </c>
      <c r="I891" s="5">
        <v>0.8854166666666666</v>
      </c>
      <c r="J891" s="1" t="str">
        <f t="array" ref="J891">XLOOKUP(B891,cat!B:B,cat!C:C)</f>
        <v>D</v>
      </c>
      <c r="K891" s="1">
        <f t="array" ref="K891">XLOOKUP(B891,cat!B:B,cat!D:D)</f>
        <v>200</v>
      </c>
      <c r="L891" s="7">
        <f t="shared" si="1"/>
        <v>0.10625</v>
      </c>
      <c r="M891" s="1" t="str">
        <f t="shared" si="2"/>
        <v/>
      </c>
      <c r="P891" s="9"/>
      <c r="Q891" s="9">
        <f t="shared" si="3"/>
        <v>0</v>
      </c>
      <c r="R891" s="1" t="str">
        <f t="shared" si="4"/>
        <v>WZZ</v>
      </c>
      <c r="S891" s="1" t="str">
        <f>IF($D891="LEBL", IF(COUNTIF('Paises ECAC'!B:B, C891)&gt;0, "ECAC","NO ECAC"), "")</f>
        <v/>
      </c>
    </row>
    <row r="892" ht="14.25" customHeight="1">
      <c r="A892" s="1" t="s">
        <v>1485</v>
      </c>
      <c r="B892" s="1" t="s">
        <v>19</v>
      </c>
      <c r="C892" s="1" t="s">
        <v>21</v>
      </c>
      <c r="D892" s="1" t="s">
        <v>245</v>
      </c>
      <c r="E892" s="1" t="s">
        <v>1079</v>
      </c>
      <c r="F892" s="1">
        <v>190.0</v>
      </c>
      <c r="G892" s="5">
        <v>0.7743055555555556</v>
      </c>
      <c r="H892" s="1">
        <v>20.0</v>
      </c>
      <c r="I892" s="5">
        <v>0.8055555555555556</v>
      </c>
      <c r="J892" s="1" t="str">
        <f t="array" ref="J892">XLOOKUP(B892,cat!B:B,cat!C:C)</f>
        <v>D</v>
      </c>
      <c r="K892" s="1">
        <f t="array" ref="K892">XLOOKUP(B892,cat!B:B,cat!D:D)</f>
        <v>184</v>
      </c>
      <c r="L892" s="7">
        <f t="shared" si="1"/>
        <v>0.03125</v>
      </c>
      <c r="M892" s="1" t="str">
        <f t="shared" si="2"/>
        <v/>
      </c>
      <c r="P892" s="9"/>
      <c r="Q892" s="9">
        <f t="shared" si="3"/>
        <v>0</v>
      </c>
      <c r="R892" s="1" t="str">
        <f t="shared" si="4"/>
        <v>RYR</v>
      </c>
      <c r="S892" s="1" t="str">
        <f>IF($D892="LEBL", IF(COUNTIF('Paises ECAC'!B:B, C892)&gt;0, "ECAC","NO ECAC"), "")</f>
        <v/>
      </c>
    </row>
    <row r="893" ht="14.25" customHeight="1">
      <c r="A893" s="1" t="s">
        <v>1486</v>
      </c>
      <c r="B893" s="1" t="s">
        <v>30</v>
      </c>
      <c r="C893" s="1" t="s">
        <v>21</v>
      </c>
      <c r="D893" s="1" t="s">
        <v>678</v>
      </c>
      <c r="E893" s="1" t="s">
        <v>275</v>
      </c>
      <c r="F893" s="1">
        <v>390.0</v>
      </c>
      <c r="G893" s="5">
        <v>0.7777777777777778</v>
      </c>
      <c r="H893" s="1">
        <v>10.0</v>
      </c>
      <c r="I893" s="5">
        <v>0.8368055555555556</v>
      </c>
      <c r="J893" s="1" t="str">
        <f t="array" ref="J893">XLOOKUP(B893,cat!B:B,cat!C:C)</f>
        <v>D</v>
      </c>
      <c r="K893" s="1">
        <f t="array" ref="K893">XLOOKUP(B893,cat!B:B,cat!D:D)</f>
        <v>173</v>
      </c>
      <c r="L893" s="7">
        <f t="shared" si="1"/>
        <v>0.05902777778</v>
      </c>
      <c r="M893" s="1" t="str">
        <f t="shared" si="2"/>
        <v/>
      </c>
      <c r="P893" s="9"/>
      <c r="Q893" s="9">
        <f t="shared" si="3"/>
        <v>0</v>
      </c>
      <c r="R893" s="1" t="str">
        <f t="shared" si="4"/>
        <v>VLG</v>
      </c>
      <c r="S893" s="1" t="str">
        <f>IF($D893="LEBL", IF(COUNTIF('Paises ECAC'!B:B, C893)&gt;0, "ECAC","NO ECAC"), "")</f>
        <v/>
      </c>
    </row>
    <row r="894" ht="14.25" customHeight="1">
      <c r="A894" s="1" t="s">
        <v>1487</v>
      </c>
      <c r="B894" s="1" t="s">
        <v>30</v>
      </c>
      <c r="C894" s="1" t="s">
        <v>1286</v>
      </c>
      <c r="D894" s="1" t="s">
        <v>21</v>
      </c>
      <c r="E894" s="1" t="s">
        <v>1488</v>
      </c>
      <c r="F894" s="1">
        <v>390.0</v>
      </c>
      <c r="G894" s="5">
        <v>0.7055555555555556</v>
      </c>
      <c r="H894" s="1">
        <v>10.0</v>
      </c>
      <c r="I894" s="5">
        <v>0.78125</v>
      </c>
      <c r="J894" s="1" t="str">
        <f t="array" ref="J894">XLOOKUP(B894,cat!B:B,cat!C:C)</f>
        <v>D</v>
      </c>
      <c r="K894" s="1">
        <f t="array" ref="K894">XLOOKUP(B894,cat!B:B,cat!D:D)</f>
        <v>173</v>
      </c>
      <c r="L894" s="7">
        <f t="shared" si="1"/>
        <v>0.07569444444</v>
      </c>
      <c r="M894" s="7">
        <f t="shared" si="2"/>
        <v>0.05604166667</v>
      </c>
      <c r="P894" s="9"/>
      <c r="Q894" s="9">
        <f t="shared" si="3"/>
        <v>1116.35</v>
      </c>
      <c r="R894" s="1" t="str">
        <f t="shared" si="4"/>
        <v>EZY</v>
      </c>
      <c r="S894" s="1" t="str">
        <f>IF($D894="LEBL", IF(COUNTIF('Paises ECAC'!B:B, C894)&gt;0, "ECAC","NO ECAC"), "")</f>
        <v>ECAC</v>
      </c>
    </row>
    <row r="895" ht="14.25" customHeight="1">
      <c r="A895" s="1" t="s">
        <v>1489</v>
      </c>
      <c r="B895" s="1" t="s">
        <v>19</v>
      </c>
      <c r="C895" s="1" t="s">
        <v>21</v>
      </c>
      <c r="D895" s="1" t="s">
        <v>958</v>
      </c>
      <c r="E895" s="1" t="s">
        <v>1355</v>
      </c>
      <c r="F895" s="1">
        <v>390.0</v>
      </c>
      <c r="G895" s="5">
        <v>0.7729166666666667</v>
      </c>
      <c r="H895" s="1">
        <v>12.0</v>
      </c>
      <c r="I895" s="5">
        <v>0.8506944444444444</v>
      </c>
      <c r="J895" s="1" t="str">
        <f t="array" ref="J895">XLOOKUP(B895,cat!B:B,cat!C:C)</f>
        <v>D</v>
      </c>
      <c r="K895" s="1">
        <f t="array" ref="K895">XLOOKUP(B895,cat!B:B,cat!D:D)</f>
        <v>184</v>
      </c>
      <c r="L895" s="7">
        <f t="shared" si="1"/>
        <v>0.07777777778</v>
      </c>
      <c r="M895" s="1" t="str">
        <f t="shared" si="2"/>
        <v/>
      </c>
      <c r="P895" s="9"/>
      <c r="Q895" s="9">
        <f t="shared" si="3"/>
        <v>0</v>
      </c>
      <c r="R895" s="1" t="str">
        <f t="shared" si="4"/>
        <v>RAM</v>
      </c>
      <c r="S895" s="1" t="str">
        <f>IF($D895="LEBL", IF(COUNTIF('Paises ECAC'!B:B, C895)&gt;0, "ECAC","NO ECAC"), "")</f>
        <v/>
      </c>
    </row>
    <row r="896" ht="14.25" customHeight="1">
      <c r="A896" s="1" t="s">
        <v>1490</v>
      </c>
      <c r="B896" s="1" t="s">
        <v>25</v>
      </c>
      <c r="C896" s="1" t="s">
        <v>369</v>
      </c>
      <c r="D896" s="1" t="s">
        <v>21</v>
      </c>
      <c r="E896" s="1" t="s">
        <v>64</v>
      </c>
      <c r="F896" s="1">
        <v>310.0</v>
      </c>
      <c r="G896" s="5">
        <v>0.7368055555555556</v>
      </c>
      <c r="H896" s="1">
        <v>20.0</v>
      </c>
      <c r="I896" s="5">
        <v>0.78125</v>
      </c>
      <c r="J896" s="1" t="str">
        <f t="array" ref="J896">XLOOKUP(B896,cat!B:B,cat!C:C)</f>
        <v>D</v>
      </c>
      <c r="K896" s="1">
        <f t="array" ref="K896">XLOOKUP(B896,cat!B:B,cat!D:D)</f>
        <v>180</v>
      </c>
      <c r="L896" s="7">
        <f t="shared" si="1"/>
        <v>0.04444444444</v>
      </c>
      <c r="M896" s="7">
        <f t="shared" si="2"/>
        <v>0.01784722222</v>
      </c>
      <c r="P896" s="9"/>
      <c r="Q896" s="9">
        <f t="shared" si="3"/>
        <v>355.5166667</v>
      </c>
      <c r="R896" s="1" t="str">
        <f t="shared" si="4"/>
        <v>VLG</v>
      </c>
      <c r="S896" s="1" t="str">
        <f>IF($D896="LEBL", IF(COUNTIF('Paises ECAC'!B:B, C896)&gt;0, "ECAC","NO ECAC"), "")</f>
        <v>ECAC</v>
      </c>
    </row>
    <row r="897" ht="14.25" customHeight="1">
      <c r="A897" s="1" t="s">
        <v>1491</v>
      </c>
      <c r="B897" s="1" t="s">
        <v>35</v>
      </c>
      <c r="C897" s="1" t="s">
        <v>21</v>
      </c>
      <c r="D897" s="1" t="s">
        <v>20</v>
      </c>
      <c r="E897" s="1" t="s">
        <v>172</v>
      </c>
      <c r="F897" s="1">
        <v>330.0</v>
      </c>
      <c r="G897" s="5">
        <v>0.7756944444444445</v>
      </c>
      <c r="H897" s="1">
        <v>12.0</v>
      </c>
      <c r="I897" s="5">
        <v>0.8368055555555556</v>
      </c>
      <c r="J897" s="1" t="str">
        <f t="array" ref="J897">XLOOKUP(B897,cat!B:B,cat!C:C)</f>
        <v>D</v>
      </c>
      <c r="K897" s="1">
        <f t="array" ref="K897">XLOOKUP(B897,cat!B:B,cat!D:D)</f>
        <v>207</v>
      </c>
      <c r="L897" s="7">
        <f t="shared" si="1"/>
        <v>0.06111111111</v>
      </c>
      <c r="M897" s="1" t="str">
        <f t="shared" si="2"/>
        <v/>
      </c>
      <c r="P897" s="9"/>
      <c r="Q897" s="9">
        <f t="shared" si="3"/>
        <v>0</v>
      </c>
      <c r="R897" s="1" t="str">
        <f t="shared" si="4"/>
        <v>VLG</v>
      </c>
      <c r="S897" s="1" t="str">
        <f>IF($D897="LEBL", IF(COUNTIF('Paises ECAC'!B:B, C897)&gt;0, "ECAC","NO ECAC"), "")</f>
        <v/>
      </c>
    </row>
    <row r="898" ht="14.25" customHeight="1">
      <c r="A898" s="1" t="s">
        <v>1492</v>
      </c>
      <c r="B898" s="1" t="s">
        <v>19</v>
      </c>
      <c r="C898" s="1" t="s">
        <v>21</v>
      </c>
      <c r="D898" s="1" t="s">
        <v>448</v>
      </c>
      <c r="E898" s="1" t="s">
        <v>1393</v>
      </c>
      <c r="F898" s="1">
        <v>380.0</v>
      </c>
      <c r="G898" s="5">
        <v>0.78125</v>
      </c>
      <c r="H898" s="1">
        <v>20.0</v>
      </c>
      <c r="I898" s="5">
        <v>0.8576388888888888</v>
      </c>
      <c r="J898" s="1" t="str">
        <f t="array" ref="J898">XLOOKUP(B898,cat!B:B,cat!C:C)</f>
        <v>D</v>
      </c>
      <c r="K898" s="1">
        <f t="array" ref="K898">XLOOKUP(B898,cat!B:B,cat!D:D)</f>
        <v>184</v>
      </c>
      <c r="L898" s="7">
        <f t="shared" si="1"/>
        <v>0.07638888889</v>
      </c>
      <c r="M898" s="1" t="str">
        <f t="shared" si="2"/>
        <v/>
      </c>
      <c r="P898" s="9"/>
      <c r="Q898" s="9">
        <f t="shared" si="3"/>
        <v>0</v>
      </c>
      <c r="R898" s="1" t="str">
        <f t="shared" si="4"/>
        <v>RYR</v>
      </c>
      <c r="S898" s="1" t="str">
        <f>IF($D898="LEBL", IF(COUNTIF('Paises ECAC'!B:B, C898)&gt;0, "ECAC","NO ECAC"), "")</f>
        <v/>
      </c>
    </row>
    <row r="899" ht="14.25" customHeight="1">
      <c r="A899" s="1" t="s">
        <v>1493</v>
      </c>
      <c r="B899" s="1" t="s">
        <v>30</v>
      </c>
      <c r="C899" s="1" t="s">
        <v>221</v>
      </c>
      <c r="D899" s="1" t="s">
        <v>21</v>
      </c>
      <c r="E899" s="1" t="s">
        <v>1494</v>
      </c>
      <c r="F899" s="1">
        <v>390.0</v>
      </c>
      <c r="G899" s="5">
        <v>0.7152777777777778</v>
      </c>
      <c r="H899" s="1">
        <v>23.0</v>
      </c>
      <c r="I899" s="5">
        <v>0.78125</v>
      </c>
      <c r="J899" s="1" t="str">
        <f t="array" ref="J899">XLOOKUP(B899,cat!B:B,cat!C:C)</f>
        <v>D</v>
      </c>
      <c r="K899" s="1">
        <f t="array" ref="K899">XLOOKUP(B899,cat!B:B,cat!D:D)</f>
        <v>173</v>
      </c>
      <c r="L899" s="7">
        <f t="shared" si="1"/>
        <v>0.06597222222</v>
      </c>
      <c r="M899" s="7">
        <f t="shared" si="2"/>
        <v>0.03729166667</v>
      </c>
      <c r="P899" s="9"/>
      <c r="Q899" s="9">
        <f t="shared" si="3"/>
        <v>742.85</v>
      </c>
      <c r="R899" s="1" t="str">
        <f t="shared" si="4"/>
        <v>EZY</v>
      </c>
      <c r="S899" s="1" t="str">
        <f>IF($D899="LEBL", IF(COUNTIF('Paises ECAC'!B:B, C899)&gt;0, "ECAC","NO ECAC"), "")</f>
        <v>ECAC</v>
      </c>
    </row>
    <row r="900" ht="14.25" customHeight="1">
      <c r="A900" s="1" t="s">
        <v>1495</v>
      </c>
      <c r="B900" s="1" t="s">
        <v>25</v>
      </c>
      <c r="C900" s="1" t="s">
        <v>221</v>
      </c>
      <c r="D900" s="1" t="s">
        <v>21</v>
      </c>
      <c r="E900" s="1" t="s">
        <v>1496</v>
      </c>
      <c r="F900" s="1">
        <v>390.0</v>
      </c>
      <c r="G900" s="5">
        <v>0.7173611111111111</v>
      </c>
      <c r="H900" s="1">
        <v>15.0</v>
      </c>
      <c r="I900" s="5">
        <v>0.7847222222222222</v>
      </c>
      <c r="J900" s="1" t="str">
        <f t="array" ref="J900">XLOOKUP(B900,cat!B:B,cat!C:C)</f>
        <v>D</v>
      </c>
      <c r="K900" s="1">
        <f t="array" ref="K900">XLOOKUP(B900,cat!B:B,cat!D:D)</f>
        <v>180</v>
      </c>
      <c r="L900" s="7">
        <f t="shared" si="1"/>
        <v>0.06736111111</v>
      </c>
      <c r="M900" s="7">
        <f t="shared" si="2"/>
        <v>0.04423611111</v>
      </c>
      <c r="P900" s="9"/>
      <c r="Q900" s="9">
        <f t="shared" si="3"/>
        <v>881.1833333</v>
      </c>
      <c r="R900" s="1" t="str">
        <f t="shared" si="4"/>
        <v>VLG</v>
      </c>
      <c r="S900" s="1" t="str">
        <f>IF($D900="LEBL", IF(COUNTIF('Paises ECAC'!B:B, C900)&gt;0, "ECAC","NO ECAC"), "")</f>
        <v>ECAC</v>
      </c>
    </row>
    <row r="901" ht="14.25" customHeight="1">
      <c r="A901" s="1" t="s">
        <v>1497</v>
      </c>
      <c r="B901" s="1" t="s">
        <v>35</v>
      </c>
      <c r="C901" s="1" t="s">
        <v>169</v>
      </c>
      <c r="D901" s="1" t="s">
        <v>21</v>
      </c>
      <c r="E901" s="1" t="s">
        <v>188</v>
      </c>
      <c r="F901" s="1">
        <v>330.0</v>
      </c>
      <c r="G901" s="5">
        <v>0.7138888888888889</v>
      </c>
      <c r="H901" s="1">
        <v>20.0</v>
      </c>
      <c r="I901" s="5">
        <v>0.7847222222222222</v>
      </c>
      <c r="J901" s="1" t="str">
        <f t="array" ref="J901">XLOOKUP(B901,cat!B:B,cat!C:C)</f>
        <v>D</v>
      </c>
      <c r="K901" s="1">
        <f t="array" ref="K901">XLOOKUP(B901,cat!B:B,cat!D:D)</f>
        <v>207</v>
      </c>
      <c r="L901" s="7">
        <f t="shared" si="1"/>
        <v>0.07083333333</v>
      </c>
      <c r="M901" s="7">
        <f t="shared" si="2"/>
        <v>0.04423611111</v>
      </c>
      <c r="P901" s="9"/>
      <c r="Q901" s="9">
        <f t="shared" si="3"/>
        <v>881.1833333</v>
      </c>
      <c r="R901" s="1" t="str">
        <f t="shared" si="4"/>
        <v>VLG</v>
      </c>
      <c r="S901" s="1" t="str">
        <f>IF($D901="LEBL", IF(COUNTIF('Paises ECAC'!B:B, C901)&gt;0, "ECAC","NO ECAC"), "")</f>
        <v>ECAC</v>
      </c>
    </row>
    <row r="902" ht="14.25" customHeight="1">
      <c r="A902" s="1" t="s">
        <v>1498</v>
      </c>
      <c r="B902" s="1" t="s">
        <v>25</v>
      </c>
      <c r="C902" s="1" t="s">
        <v>21</v>
      </c>
      <c r="D902" s="1" t="s">
        <v>156</v>
      </c>
      <c r="E902" s="1" t="s">
        <v>362</v>
      </c>
      <c r="F902" s="1">
        <v>170.0</v>
      </c>
      <c r="G902" s="5">
        <v>0.7916666666666666</v>
      </c>
      <c r="H902" s="1">
        <v>10.0</v>
      </c>
      <c r="I902" s="5">
        <v>0.8020833333333334</v>
      </c>
      <c r="J902" s="1" t="str">
        <f t="array" ref="J902">XLOOKUP(B902,cat!B:B,cat!C:C)</f>
        <v>D</v>
      </c>
      <c r="K902" s="1">
        <f t="array" ref="K902">XLOOKUP(B902,cat!B:B,cat!D:D)</f>
        <v>180</v>
      </c>
      <c r="L902" s="7">
        <f t="shared" si="1"/>
        <v>0.01041666667</v>
      </c>
      <c r="M902" s="1" t="str">
        <f t="shared" si="2"/>
        <v/>
      </c>
      <c r="P902" s="9"/>
      <c r="Q902" s="9">
        <f t="shared" si="3"/>
        <v>0</v>
      </c>
      <c r="R902" s="1" t="str">
        <f t="shared" si="4"/>
        <v>VLG</v>
      </c>
      <c r="S902" s="1" t="str">
        <f>IF($D902="LEBL", IF(COUNTIF('Paises ECAC'!B:B, C902)&gt;0, "ECAC","NO ECAC"), "")</f>
        <v/>
      </c>
    </row>
    <row r="903" ht="14.25" customHeight="1">
      <c r="A903" s="1" t="s">
        <v>1499</v>
      </c>
      <c r="B903" s="1" t="s">
        <v>30</v>
      </c>
      <c r="C903" s="1" t="s">
        <v>21</v>
      </c>
      <c r="D903" s="1" t="s">
        <v>274</v>
      </c>
      <c r="E903" s="1" t="s">
        <v>1395</v>
      </c>
      <c r="F903" s="1">
        <v>360.0</v>
      </c>
      <c r="G903" s="5">
        <v>0.7881944444444444</v>
      </c>
      <c r="H903" s="1">
        <v>12.0</v>
      </c>
      <c r="I903" s="5">
        <v>0.8576388888888888</v>
      </c>
      <c r="J903" s="1" t="str">
        <f t="array" ref="J903">XLOOKUP(B903,cat!B:B,cat!C:C)</f>
        <v>D</v>
      </c>
      <c r="K903" s="1">
        <f t="array" ref="K903">XLOOKUP(B903,cat!B:B,cat!D:D)</f>
        <v>173</v>
      </c>
      <c r="L903" s="7">
        <f t="shared" si="1"/>
        <v>0.06944444444</v>
      </c>
      <c r="M903" s="1" t="str">
        <f t="shared" si="2"/>
        <v/>
      </c>
      <c r="P903" s="9"/>
      <c r="Q903" s="9">
        <f t="shared" si="3"/>
        <v>0</v>
      </c>
      <c r="R903" s="1" t="str">
        <f t="shared" si="4"/>
        <v>BAW</v>
      </c>
      <c r="S903" s="1" t="str">
        <f>IF($D903="LEBL", IF(COUNTIF('Paises ECAC'!B:B, C903)&gt;0, "ECAC","NO ECAC"), "")</f>
        <v/>
      </c>
    </row>
    <row r="904" ht="14.25" customHeight="1">
      <c r="A904" s="1" t="s">
        <v>1500</v>
      </c>
      <c r="B904" s="1" t="s">
        <v>1501</v>
      </c>
      <c r="C904" s="1" t="s">
        <v>1502</v>
      </c>
      <c r="D904" s="1" t="s">
        <v>21</v>
      </c>
      <c r="E904" s="1" t="s">
        <v>1503</v>
      </c>
      <c r="F904" s="1">
        <v>370.0</v>
      </c>
      <c r="G904" s="5">
        <v>0.7263888888888889</v>
      </c>
      <c r="H904" s="1">
        <v>15.0</v>
      </c>
      <c r="I904" s="5">
        <v>0.7847222222222222</v>
      </c>
      <c r="J904" s="1" t="str">
        <f t="array" ref="J904">XLOOKUP(B904,cat!B:B,cat!C:C)</f>
        <v>E</v>
      </c>
      <c r="K904" s="1">
        <f t="array" ref="K904">XLOOKUP(B904,cat!B:B,cat!D:D)</f>
        <v>13</v>
      </c>
      <c r="L904" s="7">
        <f t="shared" si="1"/>
        <v>0.05833333333</v>
      </c>
      <c r="M904" s="7">
        <f t="shared" si="2"/>
        <v>0.03520833333</v>
      </c>
      <c r="P904" s="9"/>
      <c r="Q904" s="9">
        <f t="shared" si="3"/>
        <v>380.25</v>
      </c>
      <c r="R904" s="1" t="str">
        <f t="shared" si="4"/>
        <v>VJH</v>
      </c>
      <c r="S904" s="1" t="str">
        <f>IF($D904="LEBL", IF(COUNTIF('Paises ECAC'!B:B, C904)&gt;0, "ECAC","NO ECAC"), "")</f>
        <v>ECAC</v>
      </c>
    </row>
    <row r="905" ht="14.25" customHeight="1">
      <c r="A905" s="1" t="s">
        <v>1504</v>
      </c>
      <c r="B905" s="1" t="s">
        <v>136</v>
      </c>
      <c r="C905" s="1" t="s">
        <v>21</v>
      </c>
      <c r="D905" s="1" t="s">
        <v>221</v>
      </c>
      <c r="E905" s="1" t="s">
        <v>1424</v>
      </c>
      <c r="F905" s="1">
        <v>380.0</v>
      </c>
      <c r="G905" s="5">
        <v>0.7888888888888889</v>
      </c>
      <c r="H905" s="1">
        <v>21.0</v>
      </c>
      <c r="I905" s="5">
        <v>0.8611111111111112</v>
      </c>
      <c r="J905" s="1" t="str">
        <f t="array" ref="J905">XLOOKUP(B905,cat!B:B,cat!C:C)</f>
        <v>D</v>
      </c>
      <c r="K905" s="1">
        <f t="array" ref="K905">XLOOKUP(B905,cat!B:B,cat!D:D)</f>
        <v>144</v>
      </c>
      <c r="L905" s="7">
        <f t="shared" si="1"/>
        <v>0.07222222222</v>
      </c>
      <c r="M905" s="1" t="str">
        <f t="shared" si="2"/>
        <v/>
      </c>
      <c r="P905" s="9"/>
      <c r="Q905" s="9">
        <f t="shared" si="3"/>
        <v>0</v>
      </c>
      <c r="R905" s="1" t="str">
        <f t="shared" si="4"/>
        <v>EZY</v>
      </c>
      <c r="S905" s="1" t="str">
        <f>IF($D905="LEBL", IF(COUNTIF('Paises ECAC'!B:B, C905)&gt;0, "ECAC","NO ECAC"), "")</f>
        <v/>
      </c>
    </row>
    <row r="906" ht="14.25" customHeight="1">
      <c r="A906" s="1" t="s">
        <v>1505</v>
      </c>
      <c r="B906" s="1" t="s">
        <v>544</v>
      </c>
      <c r="C906" s="1" t="s">
        <v>116</v>
      </c>
      <c r="D906" s="1" t="s">
        <v>21</v>
      </c>
      <c r="E906" s="1" t="s">
        <v>1506</v>
      </c>
      <c r="F906" s="1">
        <v>390.0</v>
      </c>
      <c r="G906" s="5">
        <v>0.7388888888888889</v>
      </c>
      <c r="H906" s="1">
        <v>11.0</v>
      </c>
      <c r="I906" s="5">
        <v>0.7881944444444444</v>
      </c>
      <c r="J906" s="1" t="str">
        <f t="array" ref="J906">XLOOKUP(B906,cat!B:B,cat!C:C)</f>
        <v>D</v>
      </c>
      <c r="K906" s="1">
        <f t="array" ref="K906">XLOOKUP(B906,cat!B:B,cat!D:D)</f>
        <v>148</v>
      </c>
      <c r="L906" s="7">
        <f t="shared" si="1"/>
        <v>0.04930555556</v>
      </c>
      <c r="M906" s="7">
        <f t="shared" si="2"/>
        <v>0.02895833333</v>
      </c>
      <c r="P906" s="9"/>
      <c r="Q906" s="9">
        <f t="shared" si="3"/>
        <v>576.85</v>
      </c>
      <c r="R906" s="1" t="str">
        <f t="shared" si="4"/>
        <v>AFR</v>
      </c>
      <c r="S906" s="1" t="str">
        <f>IF($D906="LEBL", IF(COUNTIF('Paises ECAC'!B:B, C906)&gt;0, "ECAC","NO ECAC"), "")</f>
        <v>ECAC</v>
      </c>
    </row>
    <row r="907" ht="14.25" customHeight="1">
      <c r="A907" s="1" t="s">
        <v>1507</v>
      </c>
      <c r="B907" s="1" t="s">
        <v>30</v>
      </c>
      <c r="C907" s="1" t="s">
        <v>731</v>
      </c>
      <c r="D907" s="1" t="s">
        <v>21</v>
      </c>
      <c r="E907" s="1" t="s">
        <v>180</v>
      </c>
      <c r="F907" s="1">
        <v>350.0</v>
      </c>
      <c r="G907" s="5">
        <v>0.7097222222222223</v>
      </c>
      <c r="H907" s="1">
        <v>8.0</v>
      </c>
      <c r="I907" s="5">
        <v>0.7881944444444444</v>
      </c>
      <c r="J907" s="1" t="str">
        <f t="array" ref="J907">XLOOKUP(B907,cat!B:B,cat!C:C)</f>
        <v>D</v>
      </c>
      <c r="K907" s="1">
        <f t="array" ref="K907">XLOOKUP(B907,cat!B:B,cat!D:D)</f>
        <v>173</v>
      </c>
      <c r="L907" s="7">
        <f t="shared" si="1"/>
        <v>0.07847222222</v>
      </c>
      <c r="M907" s="7">
        <f t="shared" si="2"/>
        <v>0.06020833333</v>
      </c>
      <c r="P907" s="9"/>
      <c r="Q907" s="9">
        <f t="shared" si="3"/>
        <v>1199.35</v>
      </c>
      <c r="R907" s="1" t="str">
        <f t="shared" si="4"/>
        <v>VLG</v>
      </c>
      <c r="S907" s="1" t="str">
        <f>IF($D907="LEBL", IF(COUNTIF('Paises ECAC'!B:B, C907)&gt;0, "ECAC","NO ECAC"), "")</f>
        <v>ECAC</v>
      </c>
    </row>
    <row r="908" ht="14.25" customHeight="1">
      <c r="A908" s="1" t="s">
        <v>1508</v>
      </c>
      <c r="B908" s="1" t="s">
        <v>19</v>
      </c>
      <c r="C908" s="1" t="s">
        <v>21</v>
      </c>
      <c r="D908" s="1" t="s">
        <v>1371</v>
      </c>
      <c r="E908" s="1" t="s">
        <v>1372</v>
      </c>
      <c r="F908" s="1">
        <v>380.0</v>
      </c>
      <c r="G908" s="5">
        <v>0.7944444444444444</v>
      </c>
      <c r="H908" s="1">
        <v>20.0</v>
      </c>
      <c r="I908" s="5">
        <v>0.8680555555555556</v>
      </c>
      <c r="J908" s="1" t="str">
        <f t="array" ref="J908">XLOOKUP(B908,cat!B:B,cat!C:C)</f>
        <v>D</v>
      </c>
      <c r="K908" s="1">
        <f t="array" ref="K908">XLOOKUP(B908,cat!B:B,cat!D:D)</f>
        <v>184</v>
      </c>
      <c r="L908" s="7">
        <f t="shared" si="1"/>
        <v>0.07361111111</v>
      </c>
      <c r="M908" s="1" t="str">
        <f t="shared" si="2"/>
        <v/>
      </c>
      <c r="P908" s="9"/>
      <c r="Q908" s="9">
        <f t="shared" si="3"/>
        <v>0</v>
      </c>
      <c r="R908" s="1" t="str">
        <f t="shared" si="4"/>
        <v>TRA</v>
      </c>
      <c r="S908" s="1" t="str">
        <f>IF($D908="LEBL", IF(COUNTIF('Paises ECAC'!B:B, C908)&gt;0, "ECAC","NO ECAC"), "")</f>
        <v/>
      </c>
    </row>
    <row r="909" ht="14.25" customHeight="1">
      <c r="A909" s="1" t="s">
        <v>1509</v>
      </c>
      <c r="B909" s="1" t="s">
        <v>30</v>
      </c>
      <c r="C909" s="1" t="s">
        <v>21</v>
      </c>
      <c r="D909" s="1" t="s">
        <v>74</v>
      </c>
      <c r="E909" s="1" t="s">
        <v>1403</v>
      </c>
      <c r="F909" s="1">
        <v>340.0</v>
      </c>
      <c r="G909" s="5">
        <v>0.7881944444444444</v>
      </c>
      <c r="H909" s="1">
        <v>10.0</v>
      </c>
      <c r="I909" s="5">
        <v>0.8472222222222222</v>
      </c>
      <c r="J909" s="1" t="str">
        <f t="array" ref="J909">XLOOKUP(B909,cat!B:B,cat!C:C)</f>
        <v>D</v>
      </c>
      <c r="K909" s="1">
        <f t="array" ref="K909">XLOOKUP(B909,cat!B:B,cat!D:D)</f>
        <v>173</v>
      </c>
      <c r="L909" s="7">
        <f t="shared" si="1"/>
        <v>0.05902777778</v>
      </c>
      <c r="M909" s="1" t="str">
        <f t="shared" si="2"/>
        <v/>
      </c>
      <c r="P909" s="9"/>
      <c r="Q909" s="9">
        <f t="shared" si="3"/>
        <v>0</v>
      </c>
      <c r="R909" s="1" t="str">
        <f t="shared" si="4"/>
        <v>VLG</v>
      </c>
      <c r="S909" s="1" t="str">
        <f>IF($D909="LEBL", IF(COUNTIF('Paises ECAC'!B:B, C909)&gt;0, "ECAC","NO ECAC"), "")</f>
        <v/>
      </c>
    </row>
    <row r="910" ht="14.25" customHeight="1">
      <c r="A910" s="1" t="s">
        <v>1510</v>
      </c>
      <c r="B910" s="1" t="s">
        <v>19</v>
      </c>
      <c r="C910" s="1" t="s">
        <v>41</v>
      </c>
      <c r="D910" s="1" t="s">
        <v>21</v>
      </c>
      <c r="E910" s="1" t="s">
        <v>95</v>
      </c>
      <c r="F910" s="1">
        <v>370.0</v>
      </c>
      <c r="G910" s="5">
        <v>0.7069444444444445</v>
      </c>
      <c r="H910" s="1">
        <v>18.0</v>
      </c>
      <c r="I910" s="5">
        <v>0.7916666666666666</v>
      </c>
      <c r="J910" s="1" t="str">
        <f t="array" ref="J910">XLOOKUP(B910,cat!B:B,cat!C:C)</f>
        <v>D</v>
      </c>
      <c r="K910" s="1">
        <f t="array" ref="K910">XLOOKUP(B910,cat!B:B,cat!D:D)</f>
        <v>184</v>
      </c>
      <c r="L910" s="7">
        <f t="shared" si="1"/>
        <v>0.08472222222</v>
      </c>
      <c r="M910" s="7">
        <f t="shared" si="2"/>
        <v>0.05951388889</v>
      </c>
      <c r="P910" s="9"/>
      <c r="Q910" s="9">
        <f t="shared" si="3"/>
        <v>1185.516667</v>
      </c>
      <c r="R910" s="1" t="str">
        <f t="shared" si="4"/>
        <v>RYR</v>
      </c>
      <c r="S910" s="1" t="str">
        <f>IF($D910="LEBL", IF(COUNTIF('Paises ECAC'!B:B, C910)&gt;0, "ECAC","NO ECAC"), "")</f>
        <v>ECAC</v>
      </c>
    </row>
    <row r="911" ht="14.25" customHeight="1">
      <c r="A911" s="1" t="s">
        <v>1511</v>
      </c>
      <c r="B911" s="1" t="s">
        <v>19</v>
      </c>
      <c r="C911" s="1" t="s">
        <v>21</v>
      </c>
      <c r="D911" s="1" t="s">
        <v>1362</v>
      </c>
      <c r="E911" s="1" t="s">
        <v>1363</v>
      </c>
      <c r="F911" s="1">
        <v>330.0</v>
      </c>
      <c r="G911" s="5">
        <v>0.7902777777777777</v>
      </c>
      <c r="H911" s="1">
        <v>13.0</v>
      </c>
      <c r="I911" s="5">
        <v>0.8298611111111112</v>
      </c>
      <c r="J911" s="1" t="str">
        <f t="array" ref="J911">XLOOKUP(B911,cat!B:B,cat!C:C)</f>
        <v>D</v>
      </c>
      <c r="K911" s="1">
        <f t="array" ref="K911">XLOOKUP(B911,cat!B:B,cat!D:D)</f>
        <v>184</v>
      </c>
      <c r="L911" s="7">
        <f t="shared" si="1"/>
        <v>0.03958333333</v>
      </c>
      <c r="M911" s="1" t="str">
        <f t="shared" si="2"/>
        <v/>
      </c>
      <c r="P911" s="9"/>
      <c r="Q911" s="9">
        <f t="shared" si="3"/>
        <v>0</v>
      </c>
      <c r="R911" s="1" t="str">
        <f t="shared" si="4"/>
        <v>DAH</v>
      </c>
      <c r="S911" s="1" t="str">
        <f>IF($D911="LEBL", IF(COUNTIF('Paises ECAC'!B:B, C911)&gt;0, "ECAC","NO ECAC"), "")</f>
        <v/>
      </c>
    </row>
    <row r="912" ht="14.25" customHeight="1">
      <c r="A912" s="1" t="s">
        <v>1512</v>
      </c>
      <c r="B912" s="1" t="s">
        <v>182</v>
      </c>
      <c r="C912" s="1" t="s">
        <v>183</v>
      </c>
      <c r="D912" s="1" t="s">
        <v>21</v>
      </c>
      <c r="E912" s="1" t="s">
        <v>1513</v>
      </c>
      <c r="F912" s="1">
        <v>400.0</v>
      </c>
      <c r="G912" s="5">
        <v>0.5416666666666666</v>
      </c>
      <c r="H912" s="1">
        <v>10.0</v>
      </c>
      <c r="I912" s="5">
        <v>0.7916666666666666</v>
      </c>
      <c r="J912" s="1" t="str">
        <f t="array" ref="J912">XLOOKUP(B912,cat!B:B,cat!C:C)</f>
        <v>B</v>
      </c>
      <c r="K912" s="1">
        <f t="array" ref="K912">XLOOKUP(B912,cat!B:B,cat!D:D)</f>
        <v>284</v>
      </c>
      <c r="L912" s="7">
        <f t="shared" si="1"/>
        <v>0.25</v>
      </c>
      <c r="M912" s="7">
        <f t="shared" si="2"/>
        <v>0.2303472222</v>
      </c>
      <c r="P912" s="9"/>
      <c r="Q912" s="9">
        <f t="shared" si="3"/>
        <v>4975.5</v>
      </c>
      <c r="R912" s="1" t="str">
        <f t="shared" si="4"/>
        <v>QTR</v>
      </c>
      <c r="S912" s="1" t="str">
        <f>IF($D912="LEBL", IF(COUNTIF('Paises ECAC'!B:B, C912)&gt;0, "ECAC","NO ECAC"), "")</f>
        <v>NO ECAC</v>
      </c>
    </row>
    <row r="913" ht="14.25" customHeight="1">
      <c r="A913" s="1" t="s">
        <v>1514</v>
      </c>
      <c r="B913" s="1" t="s">
        <v>136</v>
      </c>
      <c r="C913" s="1" t="s">
        <v>21</v>
      </c>
      <c r="D913" s="1" t="s">
        <v>267</v>
      </c>
      <c r="E913" s="1" t="s">
        <v>1411</v>
      </c>
      <c r="F913" s="1">
        <v>340.0</v>
      </c>
      <c r="G913" s="5">
        <v>0.7958333333333333</v>
      </c>
      <c r="H913" s="1">
        <v>20.0</v>
      </c>
      <c r="I913" s="5">
        <v>0.8576388888888888</v>
      </c>
      <c r="J913" s="1" t="str">
        <f t="array" ref="J913">XLOOKUP(B913,cat!B:B,cat!C:C)</f>
        <v>D</v>
      </c>
      <c r="K913" s="1">
        <f t="array" ref="K913">XLOOKUP(B913,cat!B:B,cat!D:D)</f>
        <v>144</v>
      </c>
      <c r="L913" s="7">
        <f t="shared" si="1"/>
        <v>0.06180555556</v>
      </c>
      <c r="M913" s="1" t="str">
        <f t="shared" si="2"/>
        <v/>
      </c>
      <c r="P913" s="9"/>
      <c r="Q913" s="9">
        <f t="shared" si="3"/>
        <v>0</v>
      </c>
      <c r="R913" s="1" t="str">
        <f t="shared" si="4"/>
        <v>EWG</v>
      </c>
      <c r="S913" s="1" t="str">
        <f>IF($D913="LEBL", IF(COUNTIF('Paises ECAC'!B:B, C913)&gt;0, "ECAC","NO ECAC"), "")</f>
        <v/>
      </c>
    </row>
    <row r="914" ht="14.25" customHeight="1">
      <c r="A914" s="1" t="s">
        <v>1515</v>
      </c>
      <c r="B914" s="1" t="s">
        <v>19</v>
      </c>
      <c r="C914" s="1" t="s">
        <v>97</v>
      </c>
      <c r="D914" s="1" t="s">
        <v>21</v>
      </c>
      <c r="E914" s="1" t="s">
        <v>111</v>
      </c>
      <c r="F914" s="1">
        <v>330.0</v>
      </c>
      <c r="G914" s="5">
        <v>0.7479166666666667</v>
      </c>
      <c r="H914" s="1">
        <v>13.0</v>
      </c>
      <c r="I914" s="5">
        <v>0.7916666666666666</v>
      </c>
      <c r="J914" s="1" t="str">
        <f t="array" ref="J914">XLOOKUP(B914,cat!B:B,cat!C:C)</f>
        <v>D</v>
      </c>
      <c r="K914" s="1">
        <f t="array" ref="K914">XLOOKUP(B914,cat!B:B,cat!D:D)</f>
        <v>184</v>
      </c>
      <c r="L914" s="7">
        <f t="shared" si="1"/>
        <v>0.04375</v>
      </c>
      <c r="M914" s="7">
        <f t="shared" si="2"/>
        <v>0.02201388889</v>
      </c>
      <c r="P914" s="9"/>
      <c r="Q914" s="9">
        <f t="shared" si="3"/>
        <v>438.5166667</v>
      </c>
      <c r="R914" s="1" t="str">
        <f t="shared" si="4"/>
        <v>RYR</v>
      </c>
      <c r="S914" s="1" t="str">
        <f>IF($D914="LEBL", IF(COUNTIF('Paises ECAC'!B:B, C914)&gt;0, "ECAC","NO ECAC"), "")</f>
        <v>ECAC</v>
      </c>
    </row>
    <row r="915" ht="14.25" customHeight="1">
      <c r="A915" s="1" t="s">
        <v>1516</v>
      </c>
      <c r="B915" s="1" t="s">
        <v>182</v>
      </c>
      <c r="C915" s="1" t="s">
        <v>21</v>
      </c>
      <c r="D915" s="1" t="s">
        <v>234</v>
      </c>
      <c r="E915" s="1" t="s">
        <v>1178</v>
      </c>
      <c r="F915" s="1">
        <v>290.0</v>
      </c>
      <c r="G915" s="5">
        <v>0.7784722222222222</v>
      </c>
      <c r="H915" s="1">
        <v>11.0</v>
      </c>
      <c r="I915" s="5">
        <v>0.8298611111111112</v>
      </c>
      <c r="J915" s="1" t="str">
        <f t="array" ref="J915">XLOOKUP(B915,cat!B:B,cat!C:C)</f>
        <v>B</v>
      </c>
      <c r="K915" s="1">
        <f t="array" ref="K915">XLOOKUP(B915,cat!B:B,cat!D:D)</f>
        <v>284</v>
      </c>
      <c r="L915" s="7">
        <f t="shared" si="1"/>
        <v>0.05138888889</v>
      </c>
      <c r="M915" s="1" t="str">
        <f t="shared" si="2"/>
        <v/>
      </c>
      <c r="P915" s="9"/>
      <c r="Q915" s="9">
        <f t="shared" si="3"/>
        <v>0</v>
      </c>
      <c r="R915" s="1" t="str">
        <f t="shared" si="4"/>
        <v>AEA</v>
      </c>
      <c r="S915" s="1" t="str">
        <f>IF($D915="LEBL", IF(COUNTIF('Paises ECAC'!B:B, C915)&gt;0, "ECAC","NO ECAC"), "")</f>
        <v/>
      </c>
    </row>
    <row r="916" ht="14.25" customHeight="1">
      <c r="A916" s="1" t="s">
        <v>1517</v>
      </c>
      <c r="B916" s="1" t="s">
        <v>30</v>
      </c>
      <c r="C916" s="1" t="s">
        <v>343</v>
      </c>
      <c r="D916" s="1" t="s">
        <v>21</v>
      </c>
      <c r="E916" s="1" t="s">
        <v>285</v>
      </c>
      <c r="F916" s="1">
        <v>360.0</v>
      </c>
      <c r="G916" s="5">
        <v>0.66875</v>
      </c>
      <c r="H916" s="1">
        <v>20.0</v>
      </c>
      <c r="I916" s="5">
        <v>0.7951388888888888</v>
      </c>
      <c r="J916" s="1" t="str">
        <f t="array" ref="J916">XLOOKUP(B916,cat!B:B,cat!C:C)</f>
        <v>D</v>
      </c>
      <c r="K916" s="1">
        <f t="array" ref="K916">XLOOKUP(B916,cat!B:B,cat!D:D)</f>
        <v>173</v>
      </c>
      <c r="L916" s="7">
        <f t="shared" si="1"/>
        <v>0.1263888889</v>
      </c>
      <c r="M916" s="7">
        <f t="shared" si="2"/>
        <v>0.09979166667</v>
      </c>
      <c r="P916" s="9"/>
      <c r="Q916" s="9">
        <f t="shared" si="3"/>
        <v>1987.85</v>
      </c>
      <c r="R916" s="1" t="str">
        <f t="shared" si="4"/>
        <v>VLG</v>
      </c>
      <c r="S916" s="1" t="str">
        <f>IF($D916="LEBL", IF(COUNTIF('Paises ECAC'!B:B, C916)&gt;0, "ECAC","NO ECAC"), "")</f>
        <v>ECAC</v>
      </c>
    </row>
    <row r="917" ht="14.25" customHeight="1">
      <c r="A917" s="1" t="s">
        <v>1518</v>
      </c>
      <c r="B917" s="1" t="s">
        <v>30</v>
      </c>
      <c r="C917" s="1" t="s">
        <v>107</v>
      </c>
      <c r="D917" s="1" t="s">
        <v>21</v>
      </c>
      <c r="E917" s="1" t="s">
        <v>1005</v>
      </c>
      <c r="F917" s="1">
        <v>402.0</v>
      </c>
      <c r="G917" s="5">
        <v>0.7333333333333333</v>
      </c>
      <c r="H917" s="1">
        <v>19.0</v>
      </c>
      <c r="I917" s="5">
        <v>0.7951388888888888</v>
      </c>
      <c r="J917" s="1" t="str">
        <f t="array" ref="J917">XLOOKUP(B917,cat!B:B,cat!C:C)</f>
        <v>D</v>
      </c>
      <c r="K917" s="1">
        <f t="array" ref="K917">XLOOKUP(B917,cat!B:B,cat!D:D)</f>
        <v>173</v>
      </c>
      <c r="L917" s="7">
        <f t="shared" si="1"/>
        <v>0.06180555556</v>
      </c>
      <c r="M917" s="7">
        <f t="shared" si="2"/>
        <v>0.03590277778</v>
      </c>
      <c r="P917" s="9"/>
      <c r="Q917" s="9">
        <f t="shared" si="3"/>
        <v>715.1833333</v>
      </c>
      <c r="R917" s="1" t="str">
        <f t="shared" si="4"/>
        <v>VLG</v>
      </c>
      <c r="S917" s="1" t="str">
        <f>IF($D917="LEBL", IF(COUNTIF('Paises ECAC'!B:B, C917)&gt;0, "ECAC","NO ECAC"), "")</f>
        <v>ECAC</v>
      </c>
    </row>
    <row r="918" ht="14.25" customHeight="1">
      <c r="A918" s="1" t="s">
        <v>1519</v>
      </c>
      <c r="B918" s="1" t="s">
        <v>30</v>
      </c>
      <c r="C918" s="1" t="s">
        <v>21</v>
      </c>
      <c r="D918" s="1" t="s">
        <v>126</v>
      </c>
      <c r="E918" s="1" t="s">
        <v>259</v>
      </c>
      <c r="F918" s="1">
        <v>350.0</v>
      </c>
      <c r="G918" s="5">
        <v>0.7979166666666667</v>
      </c>
      <c r="H918" s="1">
        <v>11.0</v>
      </c>
      <c r="I918" s="5">
        <v>0.9097222222222222</v>
      </c>
      <c r="J918" s="1" t="str">
        <f t="array" ref="J918">XLOOKUP(B918,cat!B:B,cat!C:C)</f>
        <v>D</v>
      </c>
      <c r="K918" s="1">
        <f t="array" ref="K918">XLOOKUP(B918,cat!B:B,cat!D:D)</f>
        <v>173</v>
      </c>
      <c r="L918" s="7">
        <f t="shared" si="1"/>
        <v>0.1118055556</v>
      </c>
      <c r="M918" s="1" t="str">
        <f t="shared" si="2"/>
        <v/>
      </c>
      <c r="P918" s="9"/>
      <c r="Q918" s="9">
        <f t="shared" si="3"/>
        <v>0</v>
      </c>
      <c r="R918" s="1" t="str">
        <f t="shared" si="4"/>
        <v>VLG</v>
      </c>
      <c r="S918" s="1" t="str">
        <f>IF($D918="LEBL", IF(COUNTIF('Paises ECAC'!B:B, C918)&gt;0, "ECAC","NO ECAC"), "")</f>
        <v/>
      </c>
    </row>
    <row r="919" ht="14.25" customHeight="1">
      <c r="A919" s="1" t="s">
        <v>1520</v>
      </c>
      <c r="B919" s="1" t="s">
        <v>25</v>
      </c>
      <c r="C919" s="1" t="s">
        <v>21</v>
      </c>
      <c r="D919" s="1" t="s">
        <v>74</v>
      </c>
      <c r="E919" s="1" t="s">
        <v>1408</v>
      </c>
      <c r="F919" s="1">
        <v>340.0</v>
      </c>
      <c r="G919" s="5">
        <v>0.7972222222222223</v>
      </c>
      <c r="H919" s="1">
        <v>20.0</v>
      </c>
      <c r="I919" s="5">
        <v>0.8506944444444444</v>
      </c>
      <c r="J919" s="1" t="str">
        <f t="array" ref="J919">XLOOKUP(B919,cat!B:B,cat!C:C)</f>
        <v>D</v>
      </c>
      <c r="K919" s="1">
        <f t="array" ref="K919">XLOOKUP(B919,cat!B:B,cat!D:D)</f>
        <v>180</v>
      </c>
      <c r="L919" s="7">
        <f t="shared" si="1"/>
        <v>0.05347222222</v>
      </c>
      <c r="M919" s="1" t="str">
        <f t="shared" si="2"/>
        <v/>
      </c>
      <c r="P919" s="9"/>
      <c r="Q919" s="9">
        <f t="shared" si="3"/>
        <v>0</v>
      </c>
      <c r="R919" s="1" t="str">
        <f t="shared" si="4"/>
        <v>TVF</v>
      </c>
      <c r="S919" s="1" t="str">
        <f>IF($D919="LEBL", IF(COUNTIF('Paises ECAC'!B:B, C919)&gt;0, "ECAC","NO ECAC"), "")</f>
        <v/>
      </c>
    </row>
    <row r="920" ht="14.25" customHeight="1">
      <c r="A920" s="1" t="s">
        <v>1521</v>
      </c>
      <c r="B920" s="1" t="s">
        <v>136</v>
      </c>
      <c r="C920" s="1" t="s">
        <v>234</v>
      </c>
      <c r="D920" s="1" t="s">
        <v>21</v>
      </c>
      <c r="E920" s="1" t="s">
        <v>1522</v>
      </c>
      <c r="F920" s="1">
        <v>280.0</v>
      </c>
      <c r="G920" s="5">
        <v>0.7611111111111111</v>
      </c>
      <c r="H920" s="1">
        <v>16.0</v>
      </c>
      <c r="I920" s="5">
        <v>0.7951388888888888</v>
      </c>
      <c r="J920" s="1" t="str">
        <f t="array" ref="J920">XLOOKUP(B920,cat!B:B,cat!C:C)</f>
        <v>D</v>
      </c>
      <c r="K920" s="1">
        <f t="array" ref="K920">XLOOKUP(B920,cat!B:B,cat!D:D)</f>
        <v>144</v>
      </c>
      <c r="L920" s="7">
        <f t="shared" si="1"/>
        <v>0.03402777778</v>
      </c>
      <c r="M920" s="7">
        <f t="shared" si="2"/>
        <v>0.01020833333</v>
      </c>
      <c r="P920" s="9"/>
      <c r="Q920" s="9">
        <f t="shared" si="3"/>
        <v>203.35</v>
      </c>
      <c r="R920" s="1" t="str">
        <f t="shared" si="4"/>
        <v>IBE</v>
      </c>
      <c r="S920" s="1" t="str">
        <f>IF($D920="LEBL", IF(COUNTIF('Paises ECAC'!B:B, C920)&gt;0, "ECAC","NO ECAC"), "")</f>
        <v>ECAC</v>
      </c>
    </row>
    <row r="921" ht="14.25" customHeight="1">
      <c r="A921" s="1" t="s">
        <v>1523</v>
      </c>
      <c r="B921" s="1" t="s">
        <v>19</v>
      </c>
      <c r="C921" s="1" t="s">
        <v>21</v>
      </c>
      <c r="D921" s="1" t="s">
        <v>1524</v>
      </c>
      <c r="E921" s="1" t="s">
        <v>1414</v>
      </c>
      <c r="F921" s="1">
        <v>380.0</v>
      </c>
      <c r="G921" s="5">
        <v>0.7986111111111112</v>
      </c>
      <c r="H921" s="1">
        <v>20.0</v>
      </c>
      <c r="I921" s="5">
        <v>0.8680555555555556</v>
      </c>
      <c r="J921" s="1" t="str">
        <f t="array" ref="J921">XLOOKUP(B921,cat!B:B,cat!C:C)</f>
        <v>D</v>
      </c>
      <c r="K921" s="1">
        <f t="array" ref="K921">XLOOKUP(B921,cat!B:B,cat!D:D)</f>
        <v>184</v>
      </c>
      <c r="L921" s="7">
        <f t="shared" si="1"/>
        <v>0.06944444444</v>
      </c>
      <c r="M921" s="1" t="str">
        <f t="shared" si="2"/>
        <v/>
      </c>
      <c r="P921" s="9"/>
      <c r="Q921" s="9">
        <f t="shared" si="3"/>
        <v>0</v>
      </c>
      <c r="R921" s="1" t="str">
        <f t="shared" si="4"/>
        <v>RYR</v>
      </c>
      <c r="S921" s="1" t="str">
        <f>IF($D921="LEBL", IF(COUNTIF('Paises ECAC'!B:B, C921)&gt;0, "ECAC","NO ECAC"), "")</f>
        <v/>
      </c>
    </row>
    <row r="922" ht="14.25" customHeight="1">
      <c r="A922" s="1" t="s">
        <v>1525</v>
      </c>
      <c r="B922" s="1" t="s">
        <v>30</v>
      </c>
      <c r="C922" s="1" t="s">
        <v>21</v>
      </c>
      <c r="D922" s="1" t="s">
        <v>1243</v>
      </c>
      <c r="E922" s="1" t="s">
        <v>1388</v>
      </c>
      <c r="F922" s="1">
        <v>350.0</v>
      </c>
      <c r="G922" s="5">
        <v>0.7986111111111112</v>
      </c>
      <c r="H922" s="1">
        <v>16.0</v>
      </c>
      <c r="I922" s="5">
        <v>0.9131944444444444</v>
      </c>
      <c r="J922" s="1" t="str">
        <f t="array" ref="J922">XLOOKUP(B922,cat!B:B,cat!C:C)</f>
        <v>D</v>
      </c>
      <c r="K922" s="1">
        <f t="array" ref="K922">XLOOKUP(B922,cat!B:B,cat!D:D)</f>
        <v>173</v>
      </c>
      <c r="L922" s="7">
        <f t="shared" si="1"/>
        <v>0.1145833333</v>
      </c>
      <c r="M922" s="1" t="str">
        <f t="shared" si="2"/>
        <v/>
      </c>
      <c r="P922" s="9"/>
      <c r="Q922" s="9">
        <f t="shared" si="3"/>
        <v>0</v>
      </c>
      <c r="R922" s="1" t="str">
        <f t="shared" si="4"/>
        <v>NOZ</v>
      </c>
      <c r="S922" s="1" t="str">
        <f>IF($D922="LEBL", IF(COUNTIF('Paises ECAC'!B:B, C922)&gt;0, "ECAC","NO ECAC"), "")</f>
        <v/>
      </c>
    </row>
    <row r="923" ht="14.25" customHeight="1">
      <c r="A923" s="1" t="s">
        <v>1526</v>
      </c>
      <c r="B923" s="1" t="s">
        <v>136</v>
      </c>
      <c r="C923" s="1" t="s">
        <v>21</v>
      </c>
      <c r="D923" s="1" t="s">
        <v>1375</v>
      </c>
      <c r="E923" s="1" t="s">
        <v>1376</v>
      </c>
      <c r="F923" s="1">
        <v>350.0</v>
      </c>
      <c r="G923" s="5">
        <v>0.7916666666666666</v>
      </c>
      <c r="H923" s="1">
        <v>20.0</v>
      </c>
      <c r="I923" s="5">
        <v>0.8854166666666666</v>
      </c>
      <c r="J923" s="1" t="str">
        <f t="array" ref="J923">XLOOKUP(B923,cat!B:B,cat!C:C)</f>
        <v>D</v>
      </c>
      <c r="K923" s="1">
        <f t="array" ref="K923">XLOOKUP(B923,cat!B:B,cat!D:D)</f>
        <v>144</v>
      </c>
      <c r="L923" s="7">
        <f t="shared" si="1"/>
        <v>0.09375</v>
      </c>
      <c r="M923" s="1" t="str">
        <f t="shared" si="2"/>
        <v/>
      </c>
      <c r="P923" s="9"/>
      <c r="Q923" s="9">
        <f t="shared" si="3"/>
        <v>0</v>
      </c>
      <c r="R923" s="1" t="str">
        <f t="shared" si="4"/>
        <v>ASL</v>
      </c>
      <c r="S923" s="1" t="str">
        <f>IF($D923="LEBL", IF(COUNTIF('Paises ECAC'!B:B, C923)&gt;0, "ECAC","NO ECAC"), "")</f>
        <v/>
      </c>
    </row>
    <row r="924" ht="14.25" customHeight="1">
      <c r="A924" s="1" t="s">
        <v>1527</v>
      </c>
      <c r="B924" s="1" t="s">
        <v>35</v>
      </c>
      <c r="C924" s="1" t="s">
        <v>21</v>
      </c>
      <c r="D924" s="1" t="s">
        <v>377</v>
      </c>
      <c r="E924" s="1" t="s">
        <v>1385</v>
      </c>
      <c r="F924" s="1">
        <v>360.0</v>
      </c>
      <c r="G924" s="5">
        <v>0.7993055555555556</v>
      </c>
      <c r="H924" s="1">
        <v>10.0</v>
      </c>
      <c r="I924" s="5">
        <v>0.8819444444444444</v>
      </c>
      <c r="J924" s="1" t="str">
        <f t="array" ref="J924">XLOOKUP(B924,cat!B:B,cat!C:C)</f>
        <v>D</v>
      </c>
      <c r="K924" s="1">
        <f t="array" ref="K924">XLOOKUP(B924,cat!B:B,cat!D:D)</f>
        <v>207</v>
      </c>
      <c r="L924" s="7">
        <f t="shared" si="1"/>
        <v>0.08263888889</v>
      </c>
      <c r="M924" s="1" t="str">
        <f t="shared" si="2"/>
        <v/>
      </c>
      <c r="P924" s="9"/>
      <c r="Q924" s="9">
        <f t="shared" si="3"/>
        <v>0</v>
      </c>
      <c r="R924" s="1" t="str">
        <f t="shared" si="4"/>
        <v>AUA</v>
      </c>
      <c r="S924" s="1" t="str">
        <f>IF($D924="LEBL", IF(COUNTIF('Paises ECAC'!B:B, C924)&gt;0, "ECAC","NO ECAC"), "")</f>
        <v/>
      </c>
    </row>
    <row r="925" ht="14.25" customHeight="1">
      <c r="A925" s="1" t="s">
        <v>1528</v>
      </c>
      <c r="B925" s="1" t="s">
        <v>30</v>
      </c>
      <c r="C925" s="1" t="s">
        <v>1272</v>
      </c>
      <c r="D925" s="1" t="s">
        <v>21</v>
      </c>
      <c r="E925" s="1" t="s">
        <v>598</v>
      </c>
      <c r="F925" s="1">
        <v>360.0</v>
      </c>
      <c r="G925" s="5">
        <v>0.7569444444444444</v>
      </c>
      <c r="H925" s="1">
        <v>15.0</v>
      </c>
      <c r="I925" s="5">
        <v>0.7986111111111112</v>
      </c>
      <c r="J925" s="1" t="str">
        <f t="array" ref="J925">XLOOKUP(B925,cat!B:B,cat!C:C)</f>
        <v>D</v>
      </c>
      <c r="K925" s="1">
        <f t="array" ref="K925">XLOOKUP(B925,cat!B:B,cat!D:D)</f>
        <v>173</v>
      </c>
      <c r="L925" s="7">
        <f t="shared" si="1"/>
        <v>0.04166666667</v>
      </c>
      <c r="M925" s="7">
        <f t="shared" si="2"/>
        <v>0.01854166667</v>
      </c>
      <c r="P925" s="9"/>
      <c r="Q925" s="9">
        <f t="shared" si="3"/>
        <v>369.35</v>
      </c>
      <c r="R925" s="1" t="str">
        <f t="shared" si="4"/>
        <v>VLG</v>
      </c>
      <c r="S925" s="1" t="str">
        <f>IF($D925="LEBL", IF(COUNTIF('Paises ECAC'!B:B, C925)&gt;0, "ECAC","NO ECAC"), "")</f>
        <v>ECAC</v>
      </c>
    </row>
    <row r="926" ht="14.25" customHeight="1">
      <c r="A926" s="1" t="s">
        <v>1529</v>
      </c>
      <c r="B926" s="1" t="s">
        <v>212</v>
      </c>
      <c r="C926" s="1" t="s">
        <v>148</v>
      </c>
      <c r="D926" s="1" t="s">
        <v>21</v>
      </c>
      <c r="E926" s="1" t="s">
        <v>1530</v>
      </c>
      <c r="F926" s="1">
        <v>370.0</v>
      </c>
      <c r="G926" s="5">
        <v>0.6909722222222222</v>
      </c>
      <c r="H926" s="1">
        <v>13.0</v>
      </c>
      <c r="I926" s="5">
        <v>0.7986111111111112</v>
      </c>
      <c r="J926" s="1" t="str">
        <f t="array" ref="J926">XLOOKUP(B926,cat!B:B,cat!C:C)</f>
        <v>D</v>
      </c>
      <c r="K926" s="1">
        <f t="array" ref="K926">XLOOKUP(B926,cat!B:B,cat!D:D)</f>
        <v>200</v>
      </c>
      <c r="L926" s="7">
        <f t="shared" si="1"/>
        <v>0.1076388889</v>
      </c>
      <c r="M926" s="7">
        <f t="shared" si="2"/>
        <v>0.08590277778</v>
      </c>
      <c r="P926" s="9"/>
      <c r="Q926" s="9">
        <f t="shared" si="3"/>
        <v>1711.183333</v>
      </c>
      <c r="R926" s="1" t="str">
        <f t="shared" si="4"/>
        <v>WZZ</v>
      </c>
      <c r="S926" s="1" t="str">
        <f>IF($D926="LEBL", IF(COUNTIF('Paises ECAC'!B:B, C926)&gt;0, "ECAC","NO ECAC"), "")</f>
        <v>ECAC</v>
      </c>
    </row>
    <row r="927" ht="14.25" customHeight="1">
      <c r="A927" s="1" t="s">
        <v>1531</v>
      </c>
      <c r="B927" s="1" t="s">
        <v>30</v>
      </c>
      <c r="C927" s="1" t="s">
        <v>21</v>
      </c>
      <c r="D927" s="1" t="s">
        <v>329</v>
      </c>
      <c r="E927" s="1" t="s">
        <v>764</v>
      </c>
      <c r="F927" s="1">
        <v>330.0</v>
      </c>
      <c r="G927" s="5">
        <v>0.7965277777777777</v>
      </c>
      <c r="H927" s="1">
        <v>17.0</v>
      </c>
      <c r="I927" s="5">
        <v>0.8541666666666666</v>
      </c>
      <c r="J927" s="1" t="str">
        <f t="array" ref="J927">XLOOKUP(B927,cat!B:B,cat!C:C)</f>
        <v>D</v>
      </c>
      <c r="K927" s="1">
        <f t="array" ref="K927">XLOOKUP(B927,cat!B:B,cat!D:D)</f>
        <v>173</v>
      </c>
      <c r="L927" s="7">
        <f t="shared" si="1"/>
        <v>0.05763888889</v>
      </c>
      <c r="M927" s="1" t="str">
        <f t="shared" si="2"/>
        <v/>
      </c>
      <c r="P927" s="9"/>
      <c r="Q927" s="9">
        <f t="shared" si="3"/>
        <v>0</v>
      </c>
      <c r="R927" s="1" t="str">
        <f t="shared" si="4"/>
        <v>VLG</v>
      </c>
      <c r="S927" s="1" t="str">
        <f>IF($D927="LEBL", IF(COUNTIF('Paises ECAC'!B:B, C927)&gt;0, "ECAC","NO ECAC"), "")</f>
        <v/>
      </c>
    </row>
    <row r="928" ht="14.25" customHeight="1">
      <c r="A928" s="1" t="s">
        <v>1532</v>
      </c>
      <c r="B928" s="1" t="s">
        <v>19</v>
      </c>
      <c r="C928" s="1" t="s">
        <v>21</v>
      </c>
      <c r="D928" s="1" t="s">
        <v>886</v>
      </c>
      <c r="E928" s="1" t="s">
        <v>887</v>
      </c>
      <c r="F928" s="1">
        <v>380.0</v>
      </c>
      <c r="G928" s="5">
        <v>0.8041666666666667</v>
      </c>
      <c r="H928" s="1">
        <v>20.0</v>
      </c>
      <c r="I928" s="5">
        <v>0.8715277777777778</v>
      </c>
      <c r="J928" s="1" t="str">
        <f t="array" ref="J928">XLOOKUP(B928,cat!B:B,cat!C:C)</f>
        <v>D</v>
      </c>
      <c r="K928" s="1">
        <f t="array" ref="K928">XLOOKUP(B928,cat!B:B,cat!D:D)</f>
        <v>184</v>
      </c>
      <c r="L928" s="7">
        <f t="shared" si="1"/>
        <v>0.06736111111</v>
      </c>
      <c r="M928" s="1" t="str">
        <f t="shared" si="2"/>
        <v/>
      </c>
      <c r="P928" s="9"/>
      <c r="Q928" s="9">
        <f t="shared" si="3"/>
        <v>0</v>
      </c>
      <c r="R928" s="1" t="str">
        <f t="shared" si="4"/>
        <v>TRA</v>
      </c>
      <c r="S928" s="1" t="str">
        <f>IF($D928="LEBL", IF(COUNTIF('Paises ECAC'!B:B, C928)&gt;0, "ECAC","NO ECAC"), "")</f>
        <v/>
      </c>
    </row>
    <row r="929" ht="14.25" customHeight="1">
      <c r="A929" s="1" t="s">
        <v>1533</v>
      </c>
      <c r="B929" s="1" t="s">
        <v>25</v>
      </c>
      <c r="C929" s="1" t="s">
        <v>74</v>
      </c>
      <c r="D929" s="1" t="s">
        <v>21</v>
      </c>
      <c r="E929" s="1" t="s">
        <v>225</v>
      </c>
      <c r="F929" s="1">
        <v>390.0</v>
      </c>
      <c r="G929" s="5">
        <v>0.7597222222222222</v>
      </c>
      <c r="H929" s="1">
        <v>10.0</v>
      </c>
      <c r="I929" s="5">
        <v>0.8020833333333334</v>
      </c>
      <c r="J929" s="1" t="str">
        <f t="array" ref="J929">XLOOKUP(B929,cat!B:B,cat!C:C)</f>
        <v>D</v>
      </c>
      <c r="K929" s="1">
        <f t="array" ref="K929">XLOOKUP(B929,cat!B:B,cat!D:D)</f>
        <v>180</v>
      </c>
      <c r="L929" s="7">
        <f t="shared" si="1"/>
        <v>0.04236111111</v>
      </c>
      <c r="M929" s="7">
        <f t="shared" si="2"/>
        <v>0.02270833333</v>
      </c>
      <c r="P929" s="9"/>
      <c r="Q929" s="9">
        <f t="shared" si="3"/>
        <v>452.35</v>
      </c>
      <c r="R929" s="1" t="str">
        <f t="shared" si="4"/>
        <v>VLG</v>
      </c>
      <c r="S929" s="1" t="str">
        <f>IF($D929="LEBL", IF(COUNTIF('Paises ECAC'!B:B, C929)&gt;0, "ECAC","NO ECAC"), "")</f>
        <v>ECAC</v>
      </c>
    </row>
    <row r="930" ht="14.25" customHeight="1">
      <c r="A930" s="1" t="s">
        <v>1534</v>
      </c>
      <c r="B930" s="1" t="s">
        <v>19</v>
      </c>
      <c r="C930" s="1" t="s">
        <v>1535</v>
      </c>
      <c r="D930" s="1" t="s">
        <v>21</v>
      </c>
      <c r="E930" s="1" t="s">
        <v>1536</v>
      </c>
      <c r="F930" s="1">
        <v>380.0</v>
      </c>
      <c r="G930" s="5">
        <v>0.7361111111111112</v>
      </c>
      <c r="H930" s="1">
        <v>15.0</v>
      </c>
      <c r="I930" s="5">
        <v>0.8020833333333334</v>
      </c>
      <c r="J930" s="1" t="str">
        <f t="array" ref="J930">XLOOKUP(B930,cat!B:B,cat!C:C)</f>
        <v>D</v>
      </c>
      <c r="K930" s="1">
        <f t="array" ref="K930">XLOOKUP(B930,cat!B:B,cat!D:D)</f>
        <v>184</v>
      </c>
      <c r="L930" s="7">
        <f t="shared" si="1"/>
        <v>0.06597222222</v>
      </c>
      <c r="M930" s="7">
        <f t="shared" si="2"/>
        <v>0.04284722222</v>
      </c>
      <c r="P930" s="9"/>
      <c r="Q930" s="9">
        <f t="shared" si="3"/>
        <v>853.5166667</v>
      </c>
      <c r="R930" s="1" t="str">
        <f t="shared" si="4"/>
        <v>RYR</v>
      </c>
      <c r="S930" s="1" t="str">
        <f>IF($D930="LEBL", IF(COUNTIF('Paises ECAC'!B:B, C930)&gt;0, "ECAC","NO ECAC"), "")</f>
        <v>NO ECAC</v>
      </c>
    </row>
    <row r="931" ht="14.25" customHeight="1">
      <c r="A931" s="1" t="s">
        <v>1537</v>
      </c>
      <c r="B931" s="1" t="s">
        <v>30</v>
      </c>
      <c r="C931" s="1" t="s">
        <v>21</v>
      </c>
      <c r="D931" s="1" t="s">
        <v>258</v>
      </c>
      <c r="E931" s="1" t="s">
        <v>641</v>
      </c>
      <c r="F931" s="1">
        <v>330.0</v>
      </c>
      <c r="G931" s="5">
        <v>0.7993055555555556</v>
      </c>
      <c r="H931" s="1">
        <v>11.0</v>
      </c>
      <c r="I931" s="5">
        <v>0.8472222222222222</v>
      </c>
      <c r="J931" s="1" t="str">
        <f t="array" ref="J931">XLOOKUP(B931,cat!B:B,cat!C:C)</f>
        <v>D</v>
      </c>
      <c r="K931" s="1">
        <f t="array" ref="K931">XLOOKUP(B931,cat!B:B,cat!D:D)</f>
        <v>173</v>
      </c>
      <c r="L931" s="7">
        <f t="shared" si="1"/>
        <v>0.04791666667</v>
      </c>
      <c r="M931" s="1" t="str">
        <f t="shared" si="2"/>
        <v/>
      </c>
      <c r="P931" s="9"/>
      <c r="Q931" s="9">
        <f t="shared" si="3"/>
        <v>0</v>
      </c>
      <c r="R931" s="1" t="str">
        <f t="shared" si="4"/>
        <v>VLG</v>
      </c>
      <c r="S931" s="1" t="str">
        <f>IF($D931="LEBL", IF(COUNTIF('Paises ECAC'!B:B, C931)&gt;0, "ECAC","NO ECAC"), "")</f>
        <v/>
      </c>
    </row>
    <row r="932" ht="14.25" customHeight="1">
      <c r="A932" s="1" t="s">
        <v>1538</v>
      </c>
      <c r="B932" s="1" t="s">
        <v>30</v>
      </c>
      <c r="C932" s="1" t="s">
        <v>1375</v>
      </c>
      <c r="D932" s="1" t="s">
        <v>21</v>
      </c>
      <c r="E932" s="1" t="s">
        <v>1539</v>
      </c>
      <c r="F932" s="1">
        <v>350.0</v>
      </c>
      <c r="G932" s="5">
        <v>0.7138888888888889</v>
      </c>
      <c r="H932" s="1">
        <v>13.0</v>
      </c>
      <c r="I932" s="5">
        <v>0.8020833333333334</v>
      </c>
      <c r="J932" s="1" t="str">
        <f t="array" ref="J932">XLOOKUP(B932,cat!B:B,cat!C:C)</f>
        <v>D</v>
      </c>
      <c r="K932" s="1">
        <f t="array" ref="K932">XLOOKUP(B932,cat!B:B,cat!D:D)</f>
        <v>173</v>
      </c>
      <c r="L932" s="7">
        <f t="shared" si="1"/>
        <v>0.08819444444</v>
      </c>
      <c r="M932" s="7">
        <f t="shared" si="2"/>
        <v>0.06645833333</v>
      </c>
      <c r="P932" s="9"/>
      <c r="Q932" s="9">
        <f t="shared" si="3"/>
        <v>1323.85</v>
      </c>
      <c r="R932" s="1" t="str">
        <f t="shared" si="4"/>
        <v>WZZ</v>
      </c>
      <c r="S932" s="1" t="str">
        <f>IF($D932="LEBL", IF(COUNTIF('Paises ECAC'!B:B, C932)&gt;0, "ECAC","NO ECAC"), "")</f>
        <v>ECAC</v>
      </c>
    </row>
    <row r="933" ht="14.25" customHeight="1">
      <c r="A933" s="1" t="s">
        <v>1540</v>
      </c>
      <c r="B933" s="1" t="s">
        <v>30</v>
      </c>
      <c r="C933" s="1" t="s">
        <v>21</v>
      </c>
      <c r="D933" s="1" t="s">
        <v>958</v>
      </c>
      <c r="E933" s="1" t="s">
        <v>1417</v>
      </c>
      <c r="F933" s="1">
        <v>370.0</v>
      </c>
      <c r="G933" s="5">
        <v>0.7930555555555555</v>
      </c>
      <c r="H933" s="1">
        <v>20.0</v>
      </c>
      <c r="I933" s="5">
        <v>0.8715277777777778</v>
      </c>
      <c r="J933" s="1" t="str">
        <f t="array" ref="J933">XLOOKUP(B933,cat!B:B,cat!C:C)</f>
        <v>D</v>
      </c>
      <c r="K933" s="1">
        <f t="array" ref="K933">XLOOKUP(B933,cat!B:B,cat!D:D)</f>
        <v>173</v>
      </c>
      <c r="L933" s="7">
        <f t="shared" si="1"/>
        <v>0.07847222222</v>
      </c>
      <c r="M933" s="1" t="str">
        <f t="shared" si="2"/>
        <v/>
      </c>
      <c r="P933" s="9"/>
      <c r="Q933" s="9">
        <f t="shared" si="3"/>
        <v>0</v>
      </c>
      <c r="R933" s="1" t="str">
        <f t="shared" si="4"/>
        <v>MAC</v>
      </c>
      <c r="S933" s="1" t="str">
        <f>IF($D933="LEBL", IF(COUNTIF('Paises ECAC'!B:B, C933)&gt;0, "ECAC","NO ECAC"), "")</f>
        <v/>
      </c>
    </row>
    <row r="934" ht="14.25" customHeight="1">
      <c r="A934" s="1" t="s">
        <v>1541</v>
      </c>
      <c r="B934" s="1" t="s">
        <v>35</v>
      </c>
      <c r="C934" s="1" t="s">
        <v>287</v>
      </c>
      <c r="D934" s="1" t="s">
        <v>21</v>
      </c>
      <c r="E934" s="1" t="s">
        <v>1542</v>
      </c>
      <c r="F934" s="1">
        <v>370.0</v>
      </c>
      <c r="G934" s="5">
        <v>0.7444444444444445</v>
      </c>
      <c r="H934" s="1">
        <v>12.0</v>
      </c>
      <c r="I934" s="5">
        <v>0.8055555555555556</v>
      </c>
      <c r="J934" s="1" t="str">
        <f t="array" ref="J934">XLOOKUP(B934,cat!B:B,cat!C:C)</f>
        <v>D</v>
      </c>
      <c r="K934" s="1">
        <f t="array" ref="K934">XLOOKUP(B934,cat!B:B,cat!D:D)</f>
        <v>207</v>
      </c>
      <c r="L934" s="7">
        <f t="shared" si="1"/>
        <v>0.06111111111</v>
      </c>
      <c r="M934" s="7">
        <f t="shared" si="2"/>
        <v>0.04006944444</v>
      </c>
      <c r="P934" s="9"/>
      <c r="Q934" s="9">
        <f t="shared" si="3"/>
        <v>798.1833333</v>
      </c>
      <c r="R934" s="1" t="str">
        <f t="shared" si="4"/>
        <v>DLH</v>
      </c>
      <c r="S934" s="1" t="str">
        <f>IF($D934="LEBL", IF(COUNTIF('Paises ECAC'!B:B, C934)&gt;0, "ECAC","NO ECAC"), "")</f>
        <v>ECAC</v>
      </c>
    </row>
    <row r="935" ht="14.25" customHeight="1">
      <c r="A935" s="1" t="s">
        <v>1543</v>
      </c>
      <c r="B935" s="1" t="s">
        <v>30</v>
      </c>
      <c r="C935" s="1" t="s">
        <v>21</v>
      </c>
      <c r="D935" s="1" t="s">
        <v>158</v>
      </c>
      <c r="E935" s="1" t="s">
        <v>1398</v>
      </c>
      <c r="F935" s="1">
        <v>360.0</v>
      </c>
      <c r="G935" s="5">
        <v>0.8020833333333334</v>
      </c>
      <c r="H935" s="1">
        <v>10.0</v>
      </c>
      <c r="I935" s="5">
        <v>0.8611111111111112</v>
      </c>
      <c r="J935" s="1" t="str">
        <f t="array" ref="J935">XLOOKUP(B935,cat!B:B,cat!C:C)</f>
        <v>D</v>
      </c>
      <c r="K935" s="1">
        <f t="array" ref="K935">XLOOKUP(B935,cat!B:B,cat!D:D)</f>
        <v>173</v>
      </c>
      <c r="L935" s="7">
        <f t="shared" si="1"/>
        <v>0.05902777778</v>
      </c>
      <c r="M935" s="1" t="str">
        <f t="shared" si="2"/>
        <v/>
      </c>
      <c r="P935" s="9"/>
      <c r="Q935" s="9">
        <f t="shared" si="3"/>
        <v>0</v>
      </c>
      <c r="R935" s="1" t="str">
        <f t="shared" si="4"/>
        <v>SWR</v>
      </c>
      <c r="S935" s="1" t="str">
        <f>IF($D935="LEBL", IF(COUNTIF('Paises ECAC'!B:B, C935)&gt;0, "ECAC","NO ECAC"), "")</f>
        <v/>
      </c>
    </row>
    <row r="936" ht="14.25" customHeight="1">
      <c r="A936" s="1" t="s">
        <v>1544</v>
      </c>
      <c r="B936" s="1" t="s">
        <v>35</v>
      </c>
      <c r="C936" s="1" t="s">
        <v>21</v>
      </c>
      <c r="D936" s="1" t="s">
        <v>192</v>
      </c>
      <c r="E936" s="1" t="s">
        <v>256</v>
      </c>
      <c r="F936" s="1">
        <v>350.0</v>
      </c>
      <c r="G936" s="5">
        <v>0.7986111111111112</v>
      </c>
      <c r="H936" s="1">
        <v>10.0</v>
      </c>
      <c r="I936" s="5">
        <v>0.8541666666666666</v>
      </c>
      <c r="J936" s="1" t="str">
        <f t="array" ref="J936">XLOOKUP(B936,cat!B:B,cat!C:C)</f>
        <v>D</v>
      </c>
      <c r="K936" s="1">
        <f t="array" ref="K936">XLOOKUP(B936,cat!B:B,cat!D:D)</f>
        <v>207</v>
      </c>
      <c r="L936" s="7">
        <f t="shared" si="1"/>
        <v>0.05555555556</v>
      </c>
      <c r="M936" s="1" t="str">
        <f t="shared" si="2"/>
        <v/>
      </c>
      <c r="P936" s="9"/>
      <c r="Q936" s="9">
        <f t="shared" si="3"/>
        <v>0</v>
      </c>
      <c r="R936" s="1" t="str">
        <f t="shared" si="4"/>
        <v>VLG</v>
      </c>
      <c r="S936" s="1" t="str">
        <f>IF($D936="LEBL", IF(COUNTIF('Paises ECAC'!B:B, C936)&gt;0, "ECAC","NO ECAC"), "")</f>
        <v/>
      </c>
    </row>
    <row r="937" ht="14.25" customHeight="1">
      <c r="A937" s="1" t="s">
        <v>1545</v>
      </c>
      <c r="B937" s="1" t="s">
        <v>19</v>
      </c>
      <c r="C937" s="1" t="s">
        <v>156</v>
      </c>
      <c r="D937" s="1" t="s">
        <v>21</v>
      </c>
      <c r="E937" s="1" t="s">
        <v>313</v>
      </c>
      <c r="F937" s="1">
        <v>180.0</v>
      </c>
      <c r="G937" s="5">
        <v>0.7840277777777778</v>
      </c>
      <c r="H937" s="1">
        <v>17.0</v>
      </c>
      <c r="I937" s="5">
        <v>0.8055555555555556</v>
      </c>
      <c r="J937" s="1" t="str">
        <f t="array" ref="J937">XLOOKUP(B937,cat!B:B,cat!C:C)</f>
        <v>D</v>
      </c>
      <c r="K937" s="1">
        <f t="array" ref="K937">XLOOKUP(B937,cat!B:B,cat!D:D)</f>
        <v>184</v>
      </c>
      <c r="L937" s="7">
        <f t="shared" si="1"/>
        <v>0.02152777778</v>
      </c>
      <c r="M937" s="7">
        <f t="shared" si="2"/>
        <v>0.009722222222</v>
      </c>
      <c r="P937" s="9"/>
      <c r="Q937" s="9">
        <f t="shared" si="3"/>
        <v>193.6666667</v>
      </c>
      <c r="R937" s="1" t="str">
        <f t="shared" si="4"/>
        <v>AEA</v>
      </c>
      <c r="S937" s="1" t="str">
        <f>IF($D937="LEBL", IF(COUNTIF('Paises ECAC'!B:B, C937)&gt;0, "ECAC","NO ECAC"), "")</f>
        <v>ECAC</v>
      </c>
    </row>
    <row r="938" ht="14.25" customHeight="1">
      <c r="A938" s="1" t="s">
        <v>1546</v>
      </c>
      <c r="B938" s="1" t="s">
        <v>19</v>
      </c>
      <c r="C938" s="1" t="s">
        <v>21</v>
      </c>
      <c r="D938" s="1" t="s">
        <v>20</v>
      </c>
      <c r="E938" s="1" t="s">
        <v>144</v>
      </c>
      <c r="F938" s="1">
        <v>330.0</v>
      </c>
      <c r="G938" s="5">
        <v>0.8083333333333333</v>
      </c>
      <c r="H938" s="1">
        <v>20.0</v>
      </c>
      <c r="I938" s="5">
        <v>0.8680555555555556</v>
      </c>
      <c r="J938" s="1" t="str">
        <f t="array" ref="J938">XLOOKUP(B938,cat!B:B,cat!C:C)</f>
        <v>D</v>
      </c>
      <c r="K938" s="1">
        <f t="array" ref="K938">XLOOKUP(B938,cat!B:B,cat!D:D)</f>
        <v>184</v>
      </c>
      <c r="L938" s="7">
        <f t="shared" si="1"/>
        <v>0.05972222222</v>
      </c>
      <c r="M938" s="1" t="str">
        <f t="shared" si="2"/>
        <v/>
      </c>
      <c r="P938" s="9"/>
      <c r="Q938" s="9">
        <f t="shared" si="3"/>
        <v>0</v>
      </c>
      <c r="R938" s="1" t="str">
        <f t="shared" si="4"/>
        <v>RYR</v>
      </c>
      <c r="S938" s="1" t="str">
        <f>IF($D938="LEBL", IF(COUNTIF('Paises ECAC'!B:B, C938)&gt;0, "ECAC","NO ECAC"), "")</f>
        <v/>
      </c>
    </row>
    <row r="939" ht="14.25" customHeight="1">
      <c r="A939" s="1" t="s">
        <v>1547</v>
      </c>
      <c r="B939" s="1" t="s">
        <v>122</v>
      </c>
      <c r="C939" s="1" t="s">
        <v>21</v>
      </c>
      <c r="D939" s="1" t="s">
        <v>1365</v>
      </c>
      <c r="E939" s="1" t="s">
        <v>1366</v>
      </c>
      <c r="F939" s="1">
        <v>390.0</v>
      </c>
      <c r="G939" s="5">
        <v>0.8090277777777778</v>
      </c>
      <c r="H939" s="1">
        <v>13.0</v>
      </c>
      <c r="I939" s="5">
        <v>0.2673611111111111</v>
      </c>
      <c r="J939" s="1" t="str">
        <f t="array" ref="J939">XLOOKUP(B939,cat!B:B,cat!C:C)</f>
        <v>B</v>
      </c>
      <c r="K939" s="1">
        <f t="array" ref="K939">XLOOKUP(B939,cat!B:B,cat!D:D)</f>
        <v>297</v>
      </c>
      <c r="L939" s="7">
        <f t="shared" si="1"/>
        <v>0.4583333333</v>
      </c>
      <c r="M939" s="1" t="str">
        <f t="shared" si="2"/>
        <v/>
      </c>
      <c r="P939" s="9"/>
      <c r="Q939" s="9">
        <f t="shared" si="3"/>
        <v>0</v>
      </c>
      <c r="R939" s="1" t="str">
        <f t="shared" si="4"/>
        <v>AAR</v>
      </c>
      <c r="S939" s="1" t="str">
        <f>IF($D939="LEBL", IF(COUNTIF('Paises ECAC'!B:B, C939)&gt;0, "ECAC","NO ECAC"), "")</f>
        <v/>
      </c>
    </row>
    <row r="940" ht="14.25" customHeight="1">
      <c r="A940" s="1" t="s">
        <v>1548</v>
      </c>
      <c r="B940" s="1" t="s">
        <v>25</v>
      </c>
      <c r="C940" s="1" t="s">
        <v>1232</v>
      </c>
      <c r="D940" s="1" t="s">
        <v>21</v>
      </c>
      <c r="E940" s="1" t="s">
        <v>1549</v>
      </c>
      <c r="F940" s="1">
        <v>390.0</v>
      </c>
      <c r="G940" s="5">
        <v>0.6458333333333334</v>
      </c>
      <c r="H940" s="1">
        <v>10.0</v>
      </c>
      <c r="I940" s="5">
        <v>0.8090277777777778</v>
      </c>
      <c r="J940" s="1" t="str">
        <f t="array" ref="J940">XLOOKUP(B940,cat!B:B,cat!C:C)</f>
        <v>D</v>
      </c>
      <c r="K940" s="1">
        <f t="array" ref="K940">XLOOKUP(B940,cat!B:B,cat!D:D)</f>
        <v>180</v>
      </c>
      <c r="L940" s="7">
        <f t="shared" si="1"/>
        <v>0.1631944444</v>
      </c>
      <c r="M940" s="7">
        <f t="shared" si="2"/>
        <v>0.1435416667</v>
      </c>
      <c r="P940" s="9"/>
      <c r="Q940" s="9">
        <f t="shared" si="3"/>
        <v>2859.35</v>
      </c>
      <c r="R940" s="1" t="str">
        <f t="shared" si="4"/>
        <v>FPY</v>
      </c>
      <c r="S940" s="1" t="str">
        <f>IF($D940="LEBL", IF(COUNTIF('Paises ECAC'!B:B, C940)&gt;0, "ECAC","NO ECAC"), "")</f>
        <v>ECAC</v>
      </c>
    </row>
    <row r="941" ht="14.25" customHeight="1">
      <c r="A941" s="1" t="s">
        <v>1550</v>
      </c>
      <c r="B941" s="1" t="s">
        <v>30</v>
      </c>
      <c r="C941" s="1" t="s">
        <v>21</v>
      </c>
      <c r="D941" s="1" t="s">
        <v>1430</v>
      </c>
      <c r="E941" s="1" t="s">
        <v>1431</v>
      </c>
      <c r="F941" s="1">
        <v>390.0</v>
      </c>
      <c r="G941" s="5">
        <v>0.7909722222222222</v>
      </c>
      <c r="H941" s="1">
        <v>9.0</v>
      </c>
      <c r="I941" s="5">
        <v>0.90625</v>
      </c>
      <c r="J941" s="1" t="str">
        <f t="array" ref="J941">XLOOKUP(B941,cat!B:B,cat!C:C)</f>
        <v>D</v>
      </c>
      <c r="K941" s="1">
        <f t="array" ref="K941">XLOOKUP(B941,cat!B:B,cat!D:D)</f>
        <v>173</v>
      </c>
      <c r="L941" s="7">
        <f t="shared" si="1"/>
        <v>0.1152777778</v>
      </c>
      <c r="M941" s="1" t="str">
        <f t="shared" si="2"/>
        <v/>
      </c>
      <c r="P941" s="9"/>
      <c r="Q941" s="9">
        <f t="shared" si="3"/>
        <v>0</v>
      </c>
      <c r="R941" s="1" t="str">
        <f t="shared" si="4"/>
        <v>WZZ</v>
      </c>
      <c r="S941" s="1" t="str">
        <f>IF($D941="LEBL", IF(COUNTIF('Paises ECAC'!B:B, C941)&gt;0, "ECAC","NO ECAC"), "")</f>
        <v/>
      </c>
    </row>
    <row r="942" ht="14.25" customHeight="1">
      <c r="A942" s="1" t="s">
        <v>1551</v>
      </c>
      <c r="B942" s="1" t="s">
        <v>30</v>
      </c>
      <c r="C942" s="1" t="s">
        <v>21</v>
      </c>
      <c r="D942" s="1" t="s">
        <v>298</v>
      </c>
      <c r="E942" s="1" t="s">
        <v>103</v>
      </c>
      <c r="F942" s="1">
        <v>330.0</v>
      </c>
      <c r="G942" s="5">
        <v>0.8055555555555556</v>
      </c>
      <c r="H942" s="1">
        <v>10.0</v>
      </c>
      <c r="I942" s="5">
        <v>0.8645833333333334</v>
      </c>
      <c r="J942" s="1" t="str">
        <f t="array" ref="J942">XLOOKUP(B942,cat!B:B,cat!C:C)</f>
        <v>D</v>
      </c>
      <c r="K942" s="1">
        <f t="array" ref="K942">XLOOKUP(B942,cat!B:B,cat!D:D)</f>
        <v>173</v>
      </c>
      <c r="L942" s="7">
        <f t="shared" si="1"/>
        <v>0.05902777778</v>
      </c>
      <c r="M942" s="1" t="str">
        <f t="shared" si="2"/>
        <v/>
      </c>
      <c r="P942" s="9"/>
      <c r="Q942" s="9">
        <f t="shared" si="3"/>
        <v>0</v>
      </c>
      <c r="R942" s="1" t="str">
        <f t="shared" si="4"/>
        <v>VLG</v>
      </c>
      <c r="S942" s="1" t="str">
        <f>IF($D942="LEBL", IF(COUNTIF('Paises ECAC'!B:B, C942)&gt;0, "ECAC","NO ECAC"), "")</f>
        <v/>
      </c>
    </row>
    <row r="943" ht="14.25" customHeight="1">
      <c r="A943" s="1" t="s">
        <v>1552</v>
      </c>
      <c r="B943" s="1" t="s">
        <v>19</v>
      </c>
      <c r="C943" s="1" t="s">
        <v>448</v>
      </c>
      <c r="D943" s="1" t="s">
        <v>21</v>
      </c>
      <c r="E943" s="1" t="s">
        <v>1553</v>
      </c>
      <c r="F943" s="1">
        <v>370.0</v>
      </c>
      <c r="G943" s="5">
        <v>0.7423611111111111</v>
      </c>
      <c r="H943" s="1">
        <v>10.0</v>
      </c>
      <c r="I943" s="5">
        <v>0.8125</v>
      </c>
      <c r="J943" s="1" t="str">
        <f t="array" ref="J943">XLOOKUP(B943,cat!B:B,cat!C:C)</f>
        <v>D</v>
      </c>
      <c r="K943" s="1">
        <f t="array" ref="K943">XLOOKUP(B943,cat!B:B,cat!D:D)</f>
        <v>184</v>
      </c>
      <c r="L943" s="7">
        <f t="shared" si="1"/>
        <v>0.07013888889</v>
      </c>
      <c r="M943" s="7">
        <f t="shared" si="2"/>
        <v>0.05048611111</v>
      </c>
      <c r="P943" s="9"/>
      <c r="Q943" s="9">
        <f t="shared" si="3"/>
        <v>1005.683333</v>
      </c>
      <c r="R943" s="1" t="str">
        <f t="shared" si="4"/>
        <v>RYR</v>
      </c>
      <c r="S943" s="1" t="str">
        <f>IF($D943="LEBL", IF(COUNTIF('Paises ECAC'!B:B, C943)&gt;0, "ECAC","NO ECAC"), "")</f>
        <v>ECAC</v>
      </c>
    </row>
    <row r="944" ht="14.25" customHeight="1">
      <c r="A944" s="1" t="s">
        <v>1554</v>
      </c>
      <c r="B944" s="1" t="s">
        <v>906</v>
      </c>
      <c r="C944" s="1" t="s">
        <v>21</v>
      </c>
      <c r="D944" s="1" t="s">
        <v>411</v>
      </c>
      <c r="E944" s="1" t="s">
        <v>907</v>
      </c>
      <c r="F944" s="1">
        <v>390.0</v>
      </c>
      <c r="G944" s="5">
        <v>0.8027777777777778</v>
      </c>
      <c r="H944" s="1">
        <v>16.0</v>
      </c>
      <c r="I944" s="5">
        <v>0.06944444444444445</v>
      </c>
      <c r="J944" s="1" t="str">
        <f t="array" ref="J944">XLOOKUP(B944,cat!B:B,cat!C:C)</f>
        <v>A</v>
      </c>
      <c r="K944" s="1">
        <f t="array" ref="K944">XLOOKUP(B944,cat!B:B,cat!D:D)</f>
        <v>492</v>
      </c>
      <c r="L944" s="7">
        <f t="shared" si="1"/>
        <v>0.2666666667</v>
      </c>
      <c r="M944" s="1" t="str">
        <f t="shared" si="2"/>
        <v/>
      </c>
      <c r="P944" s="9"/>
      <c r="Q944" s="9">
        <f t="shared" si="3"/>
        <v>0</v>
      </c>
      <c r="R944" s="1" t="str">
        <f t="shared" si="4"/>
        <v>UAE</v>
      </c>
      <c r="S944" s="1" t="str">
        <f>IF($D944="LEBL", IF(COUNTIF('Paises ECAC'!B:B, C944)&gt;0, "ECAC","NO ECAC"), "")</f>
        <v/>
      </c>
    </row>
    <row r="945" ht="14.25" customHeight="1">
      <c r="A945" s="1" t="s">
        <v>1555</v>
      </c>
      <c r="B945" s="1" t="s">
        <v>30</v>
      </c>
      <c r="C945" s="1" t="s">
        <v>21</v>
      </c>
      <c r="D945" s="1" t="s">
        <v>1272</v>
      </c>
      <c r="E945" s="1" t="s">
        <v>302</v>
      </c>
      <c r="F945" s="1">
        <v>340.0</v>
      </c>
      <c r="G945" s="5">
        <v>0.8097222222222222</v>
      </c>
      <c r="H945" s="1">
        <v>11.0</v>
      </c>
      <c r="I945" s="5">
        <v>0.8611111111111112</v>
      </c>
      <c r="J945" s="1" t="str">
        <f t="array" ref="J945">XLOOKUP(B945,cat!B:B,cat!C:C)</f>
        <v>D</v>
      </c>
      <c r="K945" s="1">
        <f t="array" ref="K945">XLOOKUP(B945,cat!B:B,cat!D:D)</f>
        <v>173</v>
      </c>
      <c r="L945" s="7">
        <f t="shared" si="1"/>
        <v>0.05138888889</v>
      </c>
      <c r="M945" s="1" t="str">
        <f t="shared" si="2"/>
        <v/>
      </c>
      <c r="P945" s="9"/>
      <c r="Q945" s="9">
        <f t="shared" si="3"/>
        <v>0</v>
      </c>
      <c r="R945" s="1" t="str">
        <f t="shared" si="4"/>
        <v>VLG</v>
      </c>
      <c r="S945" s="1" t="str">
        <f>IF($D945="LEBL", IF(COUNTIF('Paises ECAC'!B:B, C945)&gt;0, "ECAC","NO ECAC"), "")</f>
        <v/>
      </c>
    </row>
    <row r="946" ht="14.25" customHeight="1">
      <c r="A946" s="1" t="s">
        <v>1556</v>
      </c>
      <c r="B946" s="1" t="s">
        <v>19</v>
      </c>
      <c r="C946" s="1" t="s">
        <v>21</v>
      </c>
      <c r="D946" s="1" t="s">
        <v>156</v>
      </c>
      <c r="E946" s="1" t="s">
        <v>164</v>
      </c>
      <c r="F946" s="1">
        <v>190.0</v>
      </c>
      <c r="G946" s="5">
        <v>0.8104166666666667</v>
      </c>
      <c r="H946" s="1">
        <v>20.0</v>
      </c>
      <c r="I946" s="5">
        <v>0.8333333333333334</v>
      </c>
      <c r="J946" s="1" t="str">
        <f t="array" ref="J946">XLOOKUP(B946,cat!B:B,cat!C:C)</f>
        <v>D</v>
      </c>
      <c r="K946" s="1">
        <f t="array" ref="K946">XLOOKUP(B946,cat!B:B,cat!D:D)</f>
        <v>184</v>
      </c>
      <c r="L946" s="7">
        <f t="shared" si="1"/>
        <v>0.02291666667</v>
      </c>
      <c r="M946" s="1" t="str">
        <f t="shared" si="2"/>
        <v/>
      </c>
      <c r="P946" s="9"/>
      <c r="Q946" s="9">
        <f t="shared" si="3"/>
        <v>0</v>
      </c>
      <c r="R946" s="1" t="str">
        <f t="shared" si="4"/>
        <v>RYR</v>
      </c>
      <c r="S946" s="1" t="str">
        <f>IF($D946="LEBL", IF(COUNTIF('Paises ECAC'!B:B, C946)&gt;0, "ECAC","NO ECAC"), "")</f>
        <v/>
      </c>
    </row>
    <row r="947" ht="14.25" customHeight="1">
      <c r="A947" s="1" t="s">
        <v>1557</v>
      </c>
      <c r="B947" s="1" t="s">
        <v>212</v>
      </c>
      <c r="C947" s="1" t="s">
        <v>452</v>
      </c>
      <c r="D947" s="1" t="s">
        <v>21</v>
      </c>
      <c r="E947" s="1" t="s">
        <v>1558</v>
      </c>
      <c r="F947" s="1">
        <v>360.0</v>
      </c>
      <c r="G947" s="5">
        <v>0.7354166666666667</v>
      </c>
      <c r="H947" s="1">
        <v>14.0</v>
      </c>
      <c r="I947" s="5">
        <v>0.8159722222222222</v>
      </c>
      <c r="J947" s="1" t="str">
        <f t="array" ref="J947">XLOOKUP(B947,cat!B:B,cat!C:C)</f>
        <v>D</v>
      </c>
      <c r="K947" s="1">
        <f t="array" ref="K947">XLOOKUP(B947,cat!B:B,cat!D:D)</f>
        <v>200</v>
      </c>
      <c r="L947" s="7">
        <f t="shared" si="1"/>
        <v>0.08055555556</v>
      </c>
      <c r="M947" s="7">
        <f t="shared" si="2"/>
        <v>0.058125</v>
      </c>
      <c r="P947" s="9"/>
      <c r="Q947" s="9">
        <f t="shared" si="3"/>
        <v>1157.85</v>
      </c>
      <c r="R947" s="1" t="str">
        <f t="shared" si="4"/>
        <v>WMT</v>
      </c>
      <c r="S947" s="1" t="str">
        <f>IF($D947="LEBL", IF(COUNTIF('Paises ECAC'!B:B, C947)&gt;0, "ECAC","NO ECAC"), "")</f>
        <v>ECAC</v>
      </c>
    </row>
    <row r="948" ht="14.25" customHeight="1">
      <c r="A948" s="1" t="s">
        <v>1559</v>
      </c>
      <c r="B948" s="1" t="s">
        <v>19</v>
      </c>
      <c r="C948" s="1" t="s">
        <v>21</v>
      </c>
      <c r="D948" s="1" t="s">
        <v>129</v>
      </c>
      <c r="E948" s="1" t="s">
        <v>167</v>
      </c>
      <c r="F948" s="1">
        <v>340.0</v>
      </c>
      <c r="G948" s="5">
        <v>0.8166666666666667</v>
      </c>
      <c r="H948" s="1">
        <v>21.0</v>
      </c>
      <c r="I948" s="5">
        <v>0.8680555555555556</v>
      </c>
      <c r="J948" s="1" t="str">
        <f t="array" ref="J948">XLOOKUP(B948,cat!B:B,cat!C:C)</f>
        <v>D</v>
      </c>
      <c r="K948" s="1">
        <f t="array" ref="K948">XLOOKUP(B948,cat!B:B,cat!D:D)</f>
        <v>184</v>
      </c>
      <c r="L948" s="7">
        <f t="shared" si="1"/>
        <v>0.05138888889</v>
      </c>
      <c r="M948" s="1" t="str">
        <f t="shared" si="2"/>
        <v/>
      </c>
      <c r="P948" s="9"/>
      <c r="Q948" s="9">
        <f t="shared" si="3"/>
        <v>0</v>
      </c>
      <c r="R948" s="1" t="str">
        <f t="shared" si="4"/>
        <v>RYR</v>
      </c>
      <c r="S948" s="1" t="str">
        <f>IF($D948="LEBL", IF(COUNTIF('Paises ECAC'!B:B, C948)&gt;0, "ECAC","NO ECAC"), "")</f>
        <v/>
      </c>
    </row>
    <row r="949" ht="14.25" customHeight="1">
      <c r="A949" s="1" t="s">
        <v>1560</v>
      </c>
      <c r="B949" s="1" t="s">
        <v>25</v>
      </c>
      <c r="C949" s="1" t="s">
        <v>21</v>
      </c>
      <c r="D949" s="1" t="s">
        <v>1437</v>
      </c>
      <c r="E949" s="1" t="s">
        <v>1438</v>
      </c>
      <c r="F949" s="1">
        <v>390.0</v>
      </c>
      <c r="G949" s="5">
        <v>0.8083333333333333</v>
      </c>
      <c r="H949" s="1">
        <v>20.0</v>
      </c>
      <c r="I949" s="5">
        <v>0.9305555555555556</v>
      </c>
      <c r="J949" s="1" t="str">
        <f t="array" ref="J949">XLOOKUP(B949,cat!B:B,cat!C:C)</f>
        <v>D</v>
      </c>
      <c r="K949" s="1">
        <f t="array" ref="K949">XLOOKUP(B949,cat!B:B,cat!D:D)</f>
        <v>180</v>
      </c>
      <c r="L949" s="7">
        <f t="shared" si="1"/>
        <v>0.1222222222</v>
      </c>
      <c r="M949" s="1" t="str">
        <f t="shared" si="2"/>
        <v/>
      </c>
      <c r="P949" s="9"/>
      <c r="Q949" s="9">
        <f t="shared" si="3"/>
        <v>0</v>
      </c>
      <c r="R949" s="1" t="str">
        <f t="shared" si="4"/>
        <v>WMT</v>
      </c>
      <c r="S949" s="1" t="str">
        <f>IF($D949="LEBL", IF(COUNTIF('Paises ECAC'!B:B, C949)&gt;0, "ECAC","NO ECAC"), "")</f>
        <v/>
      </c>
    </row>
    <row r="950" ht="14.25" customHeight="1">
      <c r="A950" s="1" t="s">
        <v>1561</v>
      </c>
      <c r="B950" s="1" t="s">
        <v>30</v>
      </c>
      <c r="C950" s="1" t="s">
        <v>1562</v>
      </c>
      <c r="D950" s="1" t="s">
        <v>21</v>
      </c>
      <c r="E950" s="1" t="s">
        <v>1563</v>
      </c>
      <c r="F950" s="1">
        <v>360.0</v>
      </c>
      <c r="G950" s="5">
        <v>0.7604166666666666</v>
      </c>
      <c r="H950" s="1">
        <v>10.0</v>
      </c>
      <c r="I950" s="5">
        <v>0.8159722222222222</v>
      </c>
      <c r="J950" s="1" t="str">
        <f t="array" ref="J950">XLOOKUP(B950,cat!B:B,cat!C:C)</f>
        <v>D</v>
      </c>
      <c r="K950" s="1">
        <f t="array" ref="K950">XLOOKUP(B950,cat!B:B,cat!D:D)</f>
        <v>173</v>
      </c>
      <c r="L950" s="7">
        <f t="shared" si="1"/>
        <v>0.05555555556</v>
      </c>
      <c r="M950" s="7">
        <f t="shared" si="2"/>
        <v>0.03590277778</v>
      </c>
      <c r="P950" s="9"/>
      <c r="Q950" s="9">
        <f t="shared" si="3"/>
        <v>715.1833333</v>
      </c>
      <c r="R950" s="1" t="str">
        <f t="shared" si="4"/>
        <v>LBT</v>
      </c>
      <c r="S950" s="1" t="str">
        <f>IF($D950="LEBL", IF(COUNTIF('Paises ECAC'!B:B, C950)&gt;0, "ECAC","NO ECAC"), "")</f>
        <v>NO ECAC</v>
      </c>
    </row>
    <row r="951" ht="14.25" customHeight="1">
      <c r="A951" s="1" t="s">
        <v>1564</v>
      </c>
      <c r="B951" s="1" t="s">
        <v>30</v>
      </c>
      <c r="C951" s="1" t="s">
        <v>21</v>
      </c>
      <c r="D951" s="1" t="s">
        <v>485</v>
      </c>
      <c r="E951" s="1" t="s">
        <v>1443</v>
      </c>
      <c r="F951" s="1">
        <v>360.0</v>
      </c>
      <c r="G951" s="5">
        <v>0.8145833333333333</v>
      </c>
      <c r="H951" s="1">
        <v>20.0</v>
      </c>
      <c r="I951" s="5">
        <v>0.8923611111111112</v>
      </c>
      <c r="J951" s="1" t="str">
        <f t="array" ref="J951">XLOOKUP(B951,cat!B:B,cat!C:C)</f>
        <v>D</v>
      </c>
      <c r="K951" s="1">
        <f t="array" ref="K951">XLOOKUP(B951,cat!B:B,cat!D:D)</f>
        <v>173</v>
      </c>
      <c r="L951" s="7">
        <f t="shared" si="1"/>
        <v>0.07777777778</v>
      </c>
      <c r="M951" s="1" t="str">
        <f t="shared" si="2"/>
        <v/>
      </c>
      <c r="P951" s="9"/>
      <c r="Q951" s="9">
        <f t="shared" si="3"/>
        <v>0</v>
      </c>
      <c r="R951" s="1" t="str">
        <f t="shared" si="4"/>
        <v>EWG</v>
      </c>
      <c r="S951" s="1" t="str">
        <f>IF($D951="LEBL", IF(COUNTIF('Paises ECAC'!B:B, C951)&gt;0, "ECAC","NO ECAC"), "")</f>
        <v/>
      </c>
    </row>
    <row r="952" ht="14.25" customHeight="1">
      <c r="A952" s="1" t="s">
        <v>1565</v>
      </c>
      <c r="B952" s="1" t="s">
        <v>30</v>
      </c>
      <c r="C952" s="1" t="s">
        <v>581</v>
      </c>
      <c r="D952" s="1" t="s">
        <v>21</v>
      </c>
      <c r="E952" s="1" t="s">
        <v>1566</v>
      </c>
      <c r="F952" s="1">
        <v>390.0</v>
      </c>
      <c r="G952" s="5">
        <v>0.7430555555555556</v>
      </c>
      <c r="H952" s="1">
        <v>14.0</v>
      </c>
      <c r="I952" s="5">
        <v>0.8194444444444444</v>
      </c>
      <c r="J952" s="1" t="str">
        <f t="array" ref="J952">XLOOKUP(B952,cat!B:B,cat!C:C)</f>
        <v>D</v>
      </c>
      <c r="K952" s="1">
        <f t="array" ref="K952">XLOOKUP(B952,cat!B:B,cat!D:D)</f>
        <v>173</v>
      </c>
      <c r="L952" s="7">
        <f t="shared" si="1"/>
        <v>0.07638888889</v>
      </c>
      <c r="M952" s="7">
        <f t="shared" si="2"/>
        <v>0.05395833333</v>
      </c>
      <c r="P952" s="9"/>
      <c r="Q952" s="9">
        <f t="shared" si="3"/>
        <v>1074.85</v>
      </c>
      <c r="R952" s="1" t="str">
        <f t="shared" si="4"/>
        <v>EZY</v>
      </c>
      <c r="S952" s="1" t="str">
        <f>IF($D952="LEBL", IF(COUNTIF('Paises ECAC'!B:B, C952)&gt;0, "ECAC","NO ECAC"), "")</f>
        <v>ECAC</v>
      </c>
    </row>
    <row r="953" ht="14.25" customHeight="1">
      <c r="A953" s="1" t="s">
        <v>1567</v>
      </c>
      <c r="B953" s="1" t="s">
        <v>25</v>
      </c>
      <c r="C953" s="1" t="s">
        <v>21</v>
      </c>
      <c r="D953" s="1" t="s">
        <v>274</v>
      </c>
      <c r="E953" s="1" t="s">
        <v>1469</v>
      </c>
      <c r="F953" s="1">
        <v>380.0</v>
      </c>
      <c r="G953" s="5">
        <v>0.8138888888888889</v>
      </c>
      <c r="H953" s="1">
        <v>12.0</v>
      </c>
      <c r="I953" s="5">
        <v>0.8923611111111112</v>
      </c>
      <c r="J953" s="1" t="str">
        <f t="array" ref="J953">XLOOKUP(B953,cat!B:B,cat!C:C)</f>
        <v>D</v>
      </c>
      <c r="K953" s="1">
        <f t="array" ref="K953">XLOOKUP(B953,cat!B:B,cat!D:D)</f>
        <v>180</v>
      </c>
      <c r="L953" s="7">
        <f t="shared" si="1"/>
        <v>0.07847222222</v>
      </c>
      <c r="M953" s="1" t="str">
        <f t="shared" si="2"/>
        <v/>
      </c>
      <c r="P953" s="9"/>
      <c r="Q953" s="9">
        <f t="shared" si="3"/>
        <v>0</v>
      </c>
      <c r="R953" s="1" t="str">
        <f t="shared" si="4"/>
        <v>BAW</v>
      </c>
      <c r="S953" s="1" t="str">
        <f>IF($D953="LEBL", IF(COUNTIF('Paises ECAC'!B:B, C953)&gt;0, "ECAC","NO ECAC"), "")</f>
        <v/>
      </c>
    </row>
    <row r="954" ht="14.25" customHeight="1">
      <c r="A954" s="1" t="s">
        <v>1568</v>
      </c>
      <c r="B954" s="1" t="s">
        <v>544</v>
      </c>
      <c r="C954" s="1" t="s">
        <v>21</v>
      </c>
      <c r="D954" s="1" t="s">
        <v>1453</v>
      </c>
      <c r="E954" s="1" t="s">
        <v>1454</v>
      </c>
      <c r="F954" s="1">
        <v>360.0</v>
      </c>
      <c r="G954" s="5">
        <v>0.8145833333333333</v>
      </c>
      <c r="H954" s="1">
        <v>11.0</v>
      </c>
      <c r="I954" s="5">
        <v>0.8958333333333334</v>
      </c>
      <c r="J954" s="1" t="str">
        <f t="array" ref="J954">XLOOKUP(B954,cat!B:B,cat!C:C)</f>
        <v>D</v>
      </c>
      <c r="K954" s="1">
        <f t="array" ref="K954">XLOOKUP(B954,cat!B:B,cat!D:D)</f>
        <v>148</v>
      </c>
      <c r="L954" s="7">
        <f t="shared" si="1"/>
        <v>0.08125</v>
      </c>
      <c r="M954" s="1" t="str">
        <f t="shared" si="2"/>
        <v/>
      </c>
      <c r="P954" s="9"/>
      <c r="Q954" s="9">
        <f t="shared" si="3"/>
        <v>0</v>
      </c>
      <c r="R954" s="1" t="str">
        <f t="shared" si="4"/>
        <v>CTN</v>
      </c>
      <c r="S954" s="1" t="str">
        <f>IF($D954="LEBL", IF(COUNTIF('Paises ECAC'!B:B, C954)&gt;0, "ECAC","NO ECAC"), "")</f>
        <v/>
      </c>
    </row>
    <row r="955" ht="14.25" customHeight="1">
      <c r="A955" s="1" t="s">
        <v>1569</v>
      </c>
      <c r="B955" s="1" t="s">
        <v>25</v>
      </c>
      <c r="C955" s="1" t="s">
        <v>282</v>
      </c>
      <c r="D955" s="1" t="s">
        <v>21</v>
      </c>
      <c r="E955" s="1" t="s">
        <v>1570</v>
      </c>
      <c r="F955" s="1">
        <v>300.0</v>
      </c>
      <c r="G955" s="5">
        <v>0.7826388888888889</v>
      </c>
      <c r="H955" s="1">
        <v>9.0</v>
      </c>
      <c r="I955" s="5">
        <v>0.8194444444444444</v>
      </c>
      <c r="J955" s="1" t="str">
        <f t="array" ref="J955">XLOOKUP(B955,cat!B:B,cat!C:C)</f>
        <v>D</v>
      </c>
      <c r="K955" s="1">
        <f t="array" ref="K955">XLOOKUP(B955,cat!B:B,cat!D:D)</f>
        <v>180</v>
      </c>
      <c r="L955" s="7">
        <f t="shared" si="1"/>
        <v>0.03680555556</v>
      </c>
      <c r="M955" s="7">
        <f t="shared" si="2"/>
        <v>0.01784722222</v>
      </c>
      <c r="P955" s="9"/>
      <c r="Q955" s="9">
        <f t="shared" si="3"/>
        <v>355.5166667</v>
      </c>
      <c r="R955" s="1" t="str">
        <f t="shared" si="4"/>
        <v>VLG</v>
      </c>
      <c r="S955" s="1" t="str">
        <f>IF($D955="LEBL", IF(COUNTIF('Paises ECAC'!B:B, C955)&gt;0, "ECAC","NO ECAC"), "")</f>
        <v>ECAC</v>
      </c>
    </row>
    <row r="956" ht="14.25" customHeight="1">
      <c r="A956" s="1" t="s">
        <v>1571</v>
      </c>
      <c r="B956" s="1" t="s">
        <v>30</v>
      </c>
      <c r="C956" s="1" t="s">
        <v>221</v>
      </c>
      <c r="D956" s="1" t="s">
        <v>21</v>
      </c>
      <c r="E956" s="1" t="s">
        <v>330</v>
      </c>
      <c r="F956" s="1">
        <v>390.0</v>
      </c>
      <c r="G956" s="5">
        <v>0.7555555555555555</v>
      </c>
      <c r="H956" s="1">
        <v>14.0</v>
      </c>
      <c r="I956" s="5">
        <v>0.8194444444444444</v>
      </c>
      <c r="J956" s="1" t="str">
        <f t="array" ref="J956">XLOOKUP(B956,cat!B:B,cat!C:C)</f>
        <v>D</v>
      </c>
      <c r="K956" s="1">
        <f t="array" ref="K956">XLOOKUP(B956,cat!B:B,cat!D:D)</f>
        <v>173</v>
      </c>
      <c r="L956" s="7">
        <f t="shared" si="1"/>
        <v>0.06388888889</v>
      </c>
      <c r="M956" s="7">
        <f t="shared" si="2"/>
        <v>0.04145833333</v>
      </c>
      <c r="P956" s="9"/>
      <c r="Q956" s="9">
        <f t="shared" si="3"/>
        <v>825.85</v>
      </c>
      <c r="R956" s="1" t="str">
        <f t="shared" si="4"/>
        <v>VLG</v>
      </c>
      <c r="S956" s="1" t="str">
        <f>IF($D956="LEBL", IF(COUNTIF('Paises ECAC'!B:B, C956)&gt;0, "ECAC","NO ECAC"), "")</f>
        <v>ECAC</v>
      </c>
    </row>
    <row r="957" ht="14.25" customHeight="1">
      <c r="A957" s="1" t="s">
        <v>1572</v>
      </c>
      <c r="B957" s="1" t="s">
        <v>212</v>
      </c>
      <c r="C957" s="1" t="s">
        <v>21</v>
      </c>
      <c r="D957" s="1" t="s">
        <v>143</v>
      </c>
      <c r="E957" s="1" t="s">
        <v>213</v>
      </c>
      <c r="F957" s="1">
        <v>190.0</v>
      </c>
      <c r="G957" s="5">
        <v>0.8173611111111111</v>
      </c>
      <c r="H957" s="1">
        <v>10.0</v>
      </c>
      <c r="I957" s="5">
        <v>0.8402777777777778</v>
      </c>
      <c r="J957" s="1" t="str">
        <f t="array" ref="J957">XLOOKUP(B957,cat!B:B,cat!C:C)</f>
        <v>D</v>
      </c>
      <c r="K957" s="1">
        <f t="array" ref="K957">XLOOKUP(B957,cat!B:B,cat!D:D)</f>
        <v>200</v>
      </c>
      <c r="L957" s="7">
        <f t="shared" si="1"/>
        <v>0.02291666667</v>
      </c>
      <c r="M957" s="1" t="str">
        <f t="shared" si="2"/>
        <v/>
      </c>
      <c r="P957" s="9"/>
      <c r="Q957" s="9">
        <f t="shared" si="3"/>
        <v>0</v>
      </c>
      <c r="R957" s="1" t="str">
        <f t="shared" si="4"/>
        <v>VLG</v>
      </c>
      <c r="S957" s="1" t="str">
        <f>IF($D957="LEBL", IF(COUNTIF('Paises ECAC'!B:B, C957)&gt;0, "ECAC","NO ECAC"), "")</f>
        <v/>
      </c>
    </row>
    <row r="958" ht="14.25" customHeight="1">
      <c r="A958" s="1" t="s">
        <v>1573</v>
      </c>
      <c r="B958" s="1" t="s">
        <v>25</v>
      </c>
      <c r="C958" s="1" t="s">
        <v>21</v>
      </c>
      <c r="D958" s="1" t="s">
        <v>1243</v>
      </c>
      <c r="E958" s="1" t="s">
        <v>1447</v>
      </c>
      <c r="F958" s="1">
        <v>390.0</v>
      </c>
      <c r="G958" s="5">
        <v>0.8194444444444444</v>
      </c>
      <c r="H958" s="1">
        <v>10.0</v>
      </c>
      <c r="I958" s="5">
        <v>0.9409722222222222</v>
      </c>
      <c r="J958" s="1" t="str">
        <f t="array" ref="J958">XLOOKUP(B958,cat!B:B,cat!C:C)</f>
        <v>D</v>
      </c>
      <c r="K958" s="1">
        <f t="array" ref="K958">XLOOKUP(B958,cat!B:B,cat!D:D)</f>
        <v>180</v>
      </c>
      <c r="L958" s="7">
        <f t="shared" si="1"/>
        <v>0.1215277778</v>
      </c>
      <c r="M958" s="1" t="str">
        <f t="shared" si="2"/>
        <v/>
      </c>
      <c r="P958" s="9"/>
      <c r="Q958" s="9">
        <f t="shared" si="3"/>
        <v>0</v>
      </c>
      <c r="R958" s="1" t="str">
        <f t="shared" si="4"/>
        <v>SAS</v>
      </c>
      <c r="S958" s="1" t="str">
        <f>IF($D958="LEBL", IF(COUNTIF('Paises ECAC'!B:B, C958)&gt;0, "ECAC","NO ECAC"), "")</f>
        <v/>
      </c>
    </row>
    <row r="959" ht="14.25" customHeight="1">
      <c r="A959" s="1" t="s">
        <v>1574</v>
      </c>
      <c r="B959" s="1" t="s">
        <v>30</v>
      </c>
      <c r="C959" s="1" t="s">
        <v>140</v>
      </c>
      <c r="D959" s="1" t="s">
        <v>21</v>
      </c>
      <c r="E959" s="1" t="s">
        <v>1575</v>
      </c>
      <c r="F959" s="1">
        <v>350.0</v>
      </c>
      <c r="G959" s="5">
        <v>0.7722222222222223</v>
      </c>
      <c r="H959" s="1">
        <v>16.0</v>
      </c>
      <c r="I959" s="5">
        <v>0.8229166666666666</v>
      </c>
      <c r="J959" s="1" t="str">
        <f t="array" ref="J959">XLOOKUP(B959,cat!B:B,cat!C:C)</f>
        <v>D</v>
      </c>
      <c r="K959" s="1">
        <f t="array" ref="K959">XLOOKUP(B959,cat!B:B,cat!D:D)</f>
        <v>173</v>
      </c>
      <c r="L959" s="7">
        <f t="shared" si="1"/>
        <v>0.05069444444</v>
      </c>
      <c r="M959" s="7">
        <f t="shared" si="2"/>
        <v>0.026875</v>
      </c>
      <c r="P959" s="9"/>
      <c r="Q959" s="9">
        <f t="shared" si="3"/>
        <v>535.35</v>
      </c>
      <c r="R959" s="1" t="str">
        <f t="shared" si="4"/>
        <v>VLG</v>
      </c>
      <c r="S959" s="1" t="str">
        <f>IF($D959="LEBL", IF(COUNTIF('Paises ECAC'!B:B, C959)&gt;0, "ECAC","NO ECAC"), "")</f>
        <v>ECAC</v>
      </c>
    </row>
    <row r="960" ht="14.25" customHeight="1">
      <c r="A960" s="1" t="s">
        <v>1576</v>
      </c>
      <c r="B960" s="1" t="s">
        <v>25</v>
      </c>
      <c r="C960" s="1" t="s">
        <v>21</v>
      </c>
      <c r="D960" s="1" t="s">
        <v>234</v>
      </c>
      <c r="E960" s="1" t="s">
        <v>1449</v>
      </c>
      <c r="F960" s="1">
        <v>330.0</v>
      </c>
      <c r="G960" s="5">
        <v>0.7972222222222223</v>
      </c>
      <c r="H960" s="1">
        <v>12.0</v>
      </c>
      <c r="I960" s="5">
        <v>0.8611111111111112</v>
      </c>
      <c r="J960" s="1" t="str">
        <f t="array" ref="J960">XLOOKUP(B960,cat!B:B,cat!C:C)</f>
        <v>D</v>
      </c>
      <c r="K960" s="1">
        <f t="array" ref="K960">XLOOKUP(B960,cat!B:B,cat!D:D)</f>
        <v>180</v>
      </c>
      <c r="L960" s="7">
        <f t="shared" si="1"/>
        <v>0.06388888889</v>
      </c>
      <c r="M960" s="1" t="str">
        <f t="shared" si="2"/>
        <v/>
      </c>
      <c r="P960" s="9"/>
      <c r="Q960" s="9">
        <f t="shared" si="3"/>
        <v>0</v>
      </c>
      <c r="R960" s="1" t="str">
        <f t="shared" si="4"/>
        <v>IBE</v>
      </c>
      <c r="S960" s="1" t="str">
        <f>IF($D960="LEBL", IF(COUNTIF('Paises ECAC'!B:B, C960)&gt;0, "ECAC","NO ECAC"), "")</f>
        <v/>
      </c>
    </row>
    <row r="961" ht="14.25" customHeight="1">
      <c r="A961" s="1" t="s">
        <v>1577</v>
      </c>
      <c r="B961" s="1" t="s">
        <v>30</v>
      </c>
      <c r="C961" s="1" t="s">
        <v>21</v>
      </c>
      <c r="D961" s="1" t="s">
        <v>248</v>
      </c>
      <c r="E961" s="1" t="s">
        <v>98</v>
      </c>
      <c r="F961" s="1">
        <v>380.0</v>
      </c>
      <c r="G961" s="5">
        <v>0.8201388888888889</v>
      </c>
      <c r="H961" s="1">
        <v>11.0</v>
      </c>
      <c r="I961" s="5">
        <v>0.8888888888888888</v>
      </c>
      <c r="J961" s="1" t="str">
        <f t="array" ref="J961">XLOOKUP(B961,cat!B:B,cat!C:C)</f>
        <v>D</v>
      </c>
      <c r="K961" s="1">
        <f t="array" ref="K961">XLOOKUP(B961,cat!B:B,cat!D:D)</f>
        <v>173</v>
      </c>
      <c r="L961" s="7">
        <f t="shared" si="1"/>
        <v>0.06875</v>
      </c>
      <c r="M961" s="1" t="str">
        <f t="shared" si="2"/>
        <v/>
      </c>
      <c r="P961" s="9"/>
      <c r="Q961" s="9">
        <f t="shared" si="3"/>
        <v>0</v>
      </c>
      <c r="R961" s="1" t="str">
        <f t="shared" si="4"/>
        <v>VLG</v>
      </c>
      <c r="S961" s="1" t="str">
        <f>IF($D961="LEBL", IF(COUNTIF('Paises ECAC'!B:B, C961)&gt;0, "ECAC","NO ECAC"), "")</f>
        <v/>
      </c>
    </row>
    <row r="962" ht="14.25" customHeight="1">
      <c r="A962" s="1" t="s">
        <v>1578</v>
      </c>
      <c r="B962" s="1" t="s">
        <v>136</v>
      </c>
      <c r="C962" s="1" t="s">
        <v>21</v>
      </c>
      <c r="D962" s="1" t="s">
        <v>682</v>
      </c>
      <c r="E962" s="1" t="s">
        <v>311</v>
      </c>
      <c r="F962" s="1">
        <v>300.0</v>
      </c>
      <c r="G962" s="5">
        <v>0.8243055555555555</v>
      </c>
      <c r="H962" s="1">
        <v>10.0</v>
      </c>
      <c r="I962" s="5">
        <v>0.8645833333333334</v>
      </c>
      <c r="J962" s="1" t="str">
        <f t="array" ref="J962">XLOOKUP(B962,cat!B:B,cat!C:C)</f>
        <v>D</v>
      </c>
      <c r="K962" s="1">
        <f t="array" ref="K962">XLOOKUP(B962,cat!B:B,cat!D:D)</f>
        <v>144</v>
      </c>
      <c r="L962" s="7">
        <f t="shared" si="1"/>
        <v>0.04027777778</v>
      </c>
      <c r="M962" s="1" t="str">
        <f t="shared" si="2"/>
        <v/>
      </c>
      <c r="P962" s="9"/>
      <c r="Q962" s="9">
        <f t="shared" si="3"/>
        <v>0</v>
      </c>
      <c r="R962" s="1" t="str">
        <f t="shared" si="4"/>
        <v>VLG</v>
      </c>
      <c r="S962" s="1" t="str">
        <f>IF($D962="LEBL", IF(COUNTIF('Paises ECAC'!B:B, C962)&gt;0, "ECAC","NO ECAC"), "")</f>
        <v/>
      </c>
    </row>
    <row r="963" ht="14.25" customHeight="1">
      <c r="A963" s="1" t="s">
        <v>1579</v>
      </c>
      <c r="B963" s="1" t="s">
        <v>25</v>
      </c>
      <c r="C963" s="1" t="s">
        <v>192</v>
      </c>
      <c r="D963" s="1" t="s">
        <v>21</v>
      </c>
      <c r="E963" s="1" t="s">
        <v>1580</v>
      </c>
      <c r="F963" s="1">
        <v>380.0</v>
      </c>
      <c r="G963" s="5">
        <v>0.775</v>
      </c>
      <c r="H963" s="1">
        <v>11.0</v>
      </c>
      <c r="I963" s="5">
        <v>0.8263888888888888</v>
      </c>
      <c r="J963" s="1" t="str">
        <f t="array" ref="J963">XLOOKUP(B963,cat!B:B,cat!C:C)</f>
        <v>D</v>
      </c>
      <c r="K963" s="1">
        <f t="array" ref="K963">XLOOKUP(B963,cat!B:B,cat!D:D)</f>
        <v>180</v>
      </c>
      <c r="L963" s="7">
        <f t="shared" si="1"/>
        <v>0.05138888889</v>
      </c>
      <c r="M963" s="7">
        <f t="shared" si="2"/>
        <v>0.03104166667</v>
      </c>
      <c r="P963" s="9"/>
      <c r="Q963" s="9">
        <f t="shared" si="3"/>
        <v>618.35</v>
      </c>
      <c r="R963" s="1" t="str">
        <f t="shared" si="4"/>
        <v>VLG</v>
      </c>
      <c r="S963" s="1" t="str">
        <f>IF($D963="LEBL", IF(COUNTIF('Paises ECAC'!B:B, C963)&gt;0, "ECAC","NO ECAC"), "")</f>
        <v>ECAC</v>
      </c>
    </row>
    <row r="964" ht="14.25" customHeight="1">
      <c r="A964" s="1" t="s">
        <v>1581</v>
      </c>
      <c r="B964" s="1" t="s">
        <v>212</v>
      </c>
      <c r="C964" s="1" t="s">
        <v>21</v>
      </c>
      <c r="D964" s="1" t="s">
        <v>140</v>
      </c>
      <c r="E964" s="1" t="s">
        <v>1475</v>
      </c>
      <c r="F964" s="1">
        <v>360.0</v>
      </c>
      <c r="G964" s="5">
        <v>0.8298611111111112</v>
      </c>
      <c r="H964" s="1">
        <v>20.0</v>
      </c>
      <c r="I964" s="5">
        <v>0.8819444444444444</v>
      </c>
      <c r="J964" s="1" t="str">
        <f t="array" ref="J964">XLOOKUP(B964,cat!B:B,cat!C:C)</f>
        <v>D</v>
      </c>
      <c r="K964" s="1">
        <f t="array" ref="K964">XLOOKUP(B964,cat!B:B,cat!D:D)</f>
        <v>200</v>
      </c>
      <c r="L964" s="7">
        <f t="shared" si="1"/>
        <v>0.05208333333</v>
      </c>
      <c r="M964" s="1" t="str">
        <f t="shared" si="2"/>
        <v/>
      </c>
      <c r="P964" s="9"/>
      <c r="Q964" s="9">
        <f t="shared" si="3"/>
        <v>0</v>
      </c>
      <c r="R964" s="1" t="str">
        <f t="shared" si="4"/>
        <v>WMT</v>
      </c>
      <c r="S964" s="1" t="str">
        <f>IF($D964="LEBL", IF(COUNTIF('Paises ECAC'!B:B, C964)&gt;0, "ECAC","NO ECAC"), "")</f>
        <v/>
      </c>
    </row>
    <row r="965" ht="14.25" customHeight="1">
      <c r="A965" s="1" t="s">
        <v>1582</v>
      </c>
      <c r="B965" s="1" t="s">
        <v>30</v>
      </c>
      <c r="C965" s="1" t="s">
        <v>169</v>
      </c>
      <c r="D965" s="1" t="s">
        <v>21</v>
      </c>
      <c r="E965" s="1" t="s">
        <v>870</v>
      </c>
      <c r="F965" s="1">
        <v>390.0</v>
      </c>
      <c r="G965" s="5">
        <v>0.7618055555555555</v>
      </c>
      <c r="H965" s="1">
        <v>17.0</v>
      </c>
      <c r="I965" s="5">
        <v>0.8298611111111112</v>
      </c>
      <c r="J965" s="1" t="str">
        <f t="array" ref="J965">XLOOKUP(B965,cat!B:B,cat!C:C)</f>
        <v>D</v>
      </c>
      <c r="K965" s="1">
        <f t="array" ref="K965">XLOOKUP(B965,cat!B:B,cat!D:D)</f>
        <v>173</v>
      </c>
      <c r="L965" s="7">
        <f t="shared" si="1"/>
        <v>0.06805555556</v>
      </c>
      <c r="M965" s="7">
        <f t="shared" si="2"/>
        <v>0.04354166667</v>
      </c>
      <c r="P965" s="9"/>
      <c r="Q965" s="9">
        <f t="shared" si="3"/>
        <v>867.35</v>
      </c>
      <c r="R965" s="1" t="str">
        <f t="shared" si="4"/>
        <v>VLG</v>
      </c>
      <c r="S965" s="1" t="str">
        <f>IF($D965="LEBL", IF(COUNTIF('Paises ECAC'!B:B, C965)&gt;0, "ECAC","NO ECAC"), "")</f>
        <v>ECAC</v>
      </c>
    </row>
    <row r="966" ht="14.25" customHeight="1">
      <c r="A966" s="1" t="s">
        <v>1583</v>
      </c>
      <c r="B966" s="1" t="s">
        <v>1459</v>
      </c>
      <c r="C966" s="1" t="s">
        <v>21</v>
      </c>
      <c r="D966" s="1" t="s">
        <v>163</v>
      </c>
      <c r="E966" s="1" t="s">
        <v>1460</v>
      </c>
      <c r="F966" s="1">
        <v>340.0</v>
      </c>
      <c r="G966" s="5">
        <v>0.8236111111111111</v>
      </c>
      <c r="H966" s="1">
        <v>21.0</v>
      </c>
      <c r="I966" s="5">
        <v>0.8958333333333334</v>
      </c>
      <c r="J966" s="1" t="str">
        <f t="array" ref="J966">XLOOKUP(B966,cat!B:B,cat!C:C)</f>
        <v>D</v>
      </c>
      <c r="K966" s="1">
        <f t="array" ref="K966">XLOOKUP(B966,cat!B:B,cat!D:D)</f>
        <v>145</v>
      </c>
      <c r="L966" s="7">
        <f t="shared" si="1"/>
        <v>0.07222222222</v>
      </c>
      <c r="M966" s="1" t="str">
        <f t="shared" si="2"/>
        <v/>
      </c>
      <c r="P966" s="9"/>
      <c r="Q966" s="9">
        <f t="shared" si="3"/>
        <v>0</v>
      </c>
      <c r="R966" s="1" t="str">
        <f t="shared" si="4"/>
        <v>LGL</v>
      </c>
      <c r="S966" s="1" t="str">
        <f>IF($D966="LEBL", IF(COUNTIF('Paises ECAC'!B:B, C966)&gt;0, "ECAC","NO ECAC"), "")</f>
        <v/>
      </c>
    </row>
    <row r="967" ht="14.25" customHeight="1">
      <c r="A967" s="1" t="s">
        <v>1584</v>
      </c>
      <c r="B967" s="1" t="s">
        <v>25</v>
      </c>
      <c r="C967" s="1" t="s">
        <v>21</v>
      </c>
      <c r="D967" s="1" t="s">
        <v>221</v>
      </c>
      <c r="E967" s="1" t="s">
        <v>1496</v>
      </c>
      <c r="F967" s="1">
        <v>380.0</v>
      </c>
      <c r="G967" s="5">
        <v>0.83125</v>
      </c>
      <c r="H967" s="1">
        <v>13.0</v>
      </c>
      <c r="I967" s="5">
        <v>0.9027777777777778</v>
      </c>
      <c r="J967" s="1" t="str">
        <f t="array" ref="J967">XLOOKUP(B967,cat!B:B,cat!C:C)</f>
        <v>D</v>
      </c>
      <c r="K967" s="1">
        <f t="array" ref="K967">XLOOKUP(B967,cat!B:B,cat!D:D)</f>
        <v>180</v>
      </c>
      <c r="L967" s="7">
        <f t="shared" si="1"/>
        <v>0.07152777778</v>
      </c>
      <c r="M967" s="1" t="str">
        <f t="shared" si="2"/>
        <v/>
      </c>
      <c r="P967" s="9"/>
      <c r="Q967" s="9">
        <f t="shared" si="3"/>
        <v>0</v>
      </c>
      <c r="R967" s="1" t="str">
        <f t="shared" si="4"/>
        <v>VLG</v>
      </c>
      <c r="S967" s="1" t="str">
        <f>IF($D967="LEBL", IF(COUNTIF('Paises ECAC'!B:B, C967)&gt;0, "ECAC","NO ECAC"), "")</f>
        <v/>
      </c>
    </row>
    <row r="968" ht="14.25" customHeight="1">
      <c r="A968" s="1" t="s">
        <v>1585</v>
      </c>
      <c r="B968" s="1" t="s">
        <v>35</v>
      </c>
      <c r="C968" s="1" t="s">
        <v>21</v>
      </c>
      <c r="D968" s="1" t="s">
        <v>290</v>
      </c>
      <c r="E968" s="1" t="s">
        <v>1467</v>
      </c>
      <c r="F968" s="1">
        <v>360.0</v>
      </c>
      <c r="G968" s="5">
        <v>0.8243055555555555</v>
      </c>
      <c r="H968" s="1">
        <v>20.0</v>
      </c>
      <c r="I968" s="5">
        <v>0.9375</v>
      </c>
      <c r="J968" s="1" t="str">
        <f t="array" ref="J968">XLOOKUP(B968,cat!B:B,cat!C:C)</f>
        <v>D</v>
      </c>
      <c r="K968" s="1">
        <f t="array" ref="K968">XLOOKUP(B968,cat!B:B,cat!D:D)</f>
        <v>207</v>
      </c>
      <c r="L968" s="7">
        <f t="shared" si="1"/>
        <v>0.1131944444</v>
      </c>
      <c r="M968" s="1" t="str">
        <f t="shared" si="2"/>
        <v/>
      </c>
      <c r="P968" s="9"/>
      <c r="Q968" s="9">
        <f t="shared" si="3"/>
        <v>0</v>
      </c>
      <c r="R968" s="1" t="str">
        <f t="shared" si="4"/>
        <v>WMT</v>
      </c>
      <c r="S968" s="1" t="str">
        <f>IF($D968="LEBL", IF(COUNTIF('Paises ECAC'!B:B, C968)&gt;0, "ECAC","NO ECAC"), "")</f>
        <v/>
      </c>
    </row>
    <row r="969" ht="14.25" customHeight="1">
      <c r="A969" s="1" t="s">
        <v>1586</v>
      </c>
      <c r="B969" s="1" t="s">
        <v>19</v>
      </c>
      <c r="C969" s="1" t="s">
        <v>91</v>
      </c>
      <c r="D969" s="1" t="s">
        <v>21</v>
      </c>
      <c r="E969" s="1" t="s">
        <v>1587</v>
      </c>
      <c r="F969" s="1">
        <v>280.0</v>
      </c>
      <c r="G969" s="5">
        <v>0.7868055555555555</v>
      </c>
      <c r="H969" s="1">
        <v>8.0</v>
      </c>
      <c r="I969" s="5">
        <v>0.8333333333333334</v>
      </c>
      <c r="J969" s="1" t="str">
        <f t="array" ref="J969">XLOOKUP(B969,cat!B:B,cat!C:C)</f>
        <v>D</v>
      </c>
      <c r="K969" s="1">
        <f t="array" ref="K969">XLOOKUP(B969,cat!B:B,cat!D:D)</f>
        <v>184</v>
      </c>
      <c r="L969" s="7">
        <f t="shared" si="1"/>
        <v>0.04652777778</v>
      </c>
      <c r="M969" s="7">
        <f t="shared" si="2"/>
        <v>0.02826388889</v>
      </c>
      <c r="P969" s="9"/>
      <c r="Q969" s="9">
        <f t="shared" si="3"/>
        <v>563.0166667</v>
      </c>
      <c r="R969" s="1" t="str">
        <f t="shared" si="4"/>
        <v>DAH</v>
      </c>
      <c r="S969" s="1" t="str">
        <f>IF($D969="LEBL", IF(COUNTIF('Paises ECAC'!B:B, C969)&gt;0, "ECAC","NO ECAC"), "")</f>
        <v>NO ECAC</v>
      </c>
    </row>
    <row r="970" ht="14.25" customHeight="1">
      <c r="A970" s="1" t="s">
        <v>1588</v>
      </c>
      <c r="B970" s="1" t="s">
        <v>35</v>
      </c>
      <c r="C970" s="1" t="s">
        <v>21</v>
      </c>
      <c r="D970" s="1" t="s">
        <v>156</v>
      </c>
      <c r="E970" s="1" t="s">
        <v>188</v>
      </c>
      <c r="F970" s="1">
        <v>150.0</v>
      </c>
      <c r="G970" s="5">
        <v>0.8270833333333333</v>
      </c>
      <c r="H970" s="1">
        <v>11.0</v>
      </c>
      <c r="I970" s="5">
        <v>0.8506944444444444</v>
      </c>
      <c r="J970" s="1" t="str">
        <f t="array" ref="J970">XLOOKUP(B970,cat!B:B,cat!C:C)</f>
        <v>D</v>
      </c>
      <c r="K970" s="1">
        <f t="array" ref="K970">XLOOKUP(B970,cat!B:B,cat!D:D)</f>
        <v>207</v>
      </c>
      <c r="L970" s="7">
        <f t="shared" si="1"/>
        <v>0.02361111111</v>
      </c>
      <c r="M970" s="1" t="str">
        <f t="shared" si="2"/>
        <v/>
      </c>
      <c r="P970" s="9"/>
      <c r="Q970" s="9">
        <f t="shared" si="3"/>
        <v>0</v>
      </c>
      <c r="R970" s="1" t="str">
        <f t="shared" si="4"/>
        <v>VLG</v>
      </c>
      <c r="S970" s="1" t="str">
        <f>IF($D970="LEBL", IF(COUNTIF('Paises ECAC'!B:B, C970)&gt;0, "ECAC","NO ECAC"), "")</f>
        <v/>
      </c>
    </row>
    <row r="971" ht="14.25" customHeight="1">
      <c r="A971" s="1" t="s">
        <v>1589</v>
      </c>
      <c r="B971" s="1" t="s">
        <v>30</v>
      </c>
      <c r="C971" s="1" t="s">
        <v>335</v>
      </c>
      <c r="D971" s="1" t="s">
        <v>21</v>
      </c>
      <c r="E971" s="1" t="s">
        <v>1590</v>
      </c>
      <c r="F971" s="1">
        <v>390.0</v>
      </c>
      <c r="G971" s="5">
        <v>0.7597222222222222</v>
      </c>
      <c r="H971" s="1">
        <v>9.0</v>
      </c>
      <c r="I971" s="5">
        <v>0.8333333333333334</v>
      </c>
      <c r="J971" s="1" t="str">
        <f t="array" ref="J971">XLOOKUP(B971,cat!B:B,cat!C:C)</f>
        <v>D</v>
      </c>
      <c r="K971" s="1">
        <f t="array" ref="K971">XLOOKUP(B971,cat!B:B,cat!D:D)</f>
        <v>173</v>
      </c>
      <c r="L971" s="7">
        <f t="shared" si="1"/>
        <v>0.07361111111</v>
      </c>
      <c r="M971" s="7">
        <f t="shared" si="2"/>
        <v>0.05465277778</v>
      </c>
      <c r="P971" s="9"/>
      <c r="Q971" s="9">
        <f t="shared" si="3"/>
        <v>1088.683333</v>
      </c>
      <c r="R971" s="1" t="str">
        <f t="shared" si="4"/>
        <v>EZY</v>
      </c>
      <c r="S971" s="1" t="str">
        <f>IF($D971="LEBL", IF(COUNTIF('Paises ECAC'!B:B, C971)&gt;0, "ECAC","NO ECAC"), "")</f>
        <v>ECAC</v>
      </c>
    </row>
    <row r="972" ht="14.25" customHeight="1">
      <c r="A972" s="1" t="s">
        <v>1591</v>
      </c>
      <c r="B972" s="1" t="s">
        <v>30</v>
      </c>
      <c r="C972" s="1" t="s">
        <v>21</v>
      </c>
      <c r="D972" s="1" t="s">
        <v>199</v>
      </c>
      <c r="E972" s="1" t="s">
        <v>924</v>
      </c>
      <c r="F972" s="1">
        <v>340.0</v>
      </c>
      <c r="G972" s="5">
        <v>0.8340277777777778</v>
      </c>
      <c r="H972" s="1">
        <v>11.0</v>
      </c>
      <c r="I972" s="5">
        <v>0.8958333333333334</v>
      </c>
      <c r="J972" s="1" t="str">
        <f t="array" ref="J972">XLOOKUP(B972,cat!B:B,cat!C:C)</f>
        <v>D</v>
      </c>
      <c r="K972" s="1">
        <f t="array" ref="K972">XLOOKUP(B972,cat!B:B,cat!D:D)</f>
        <v>173</v>
      </c>
      <c r="L972" s="7">
        <f t="shared" si="1"/>
        <v>0.06180555556</v>
      </c>
      <c r="M972" s="1" t="str">
        <f t="shared" si="2"/>
        <v/>
      </c>
      <c r="P972" s="9"/>
      <c r="Q972" s="9">
        <f t="shared" si="3"/>
        <v>0</v>
      </c>
      <c r="R972" s="1" t="str">
        <f t="shared" si="4"/>
        <v>BEL</v>
      </c>
      <c r="S972" s="1" t="str">
        <f>IF($D972="LEBL", IF(COUNTIF('Paises ECAC'!B:B, C972)&gt;0, "ECAC","NO ECAC"), "")</f>
        <v/>
      </c>
    </row>
    <row r="973" ht="14.25" customHeight="1">
      <c r="A973" s="1" t="s">
        <v>1592</v>
      </c>
      <c r="B973" s="1" t="s">
        <v>544</v>
      </c>
      <c r="C973" s="1" t="s">
        <v>21</v>
      </c>
      <c r="D973" s="1" t="s">
        <v>116</v>
      </c>
      <c r="E973" s="1" t="s">
        <v>1506</v>
      </c>
      <c r="F973" s="1">
        <v>340.0</v>
      </c>
      <c r="G973" s="5">
        <v>0.8361111111111111</v>
      </c>
      <c r="H973" s="1">
        <v>11.0</v>
      </c>
      <c r="I973" s="5">
        <v>0.8888888888888888</v>
      </c>
      <c r="J973" s="1" t="str">
        <f t="array" ref="J973">XLOOKUP(B973,cat!B:B,cat!C:C)</f>
        <v>D</v>
      </c>
      <c r="K973" s="1">
        <f t="array" ref="K973">XLOOKUP(B973,cat!B:B,cat!D:D)</f>
        <v>148</v>
      </c>
      <c r="L973" s="7">
        <f t="shared" si="1"/>
        <v>0.05277777778</v>
      </c>
      <c r="M973" s="1" t="str">
        <f t="shared" si="2"/>
        <v/>
      </c>
      <c r="P973" s="9"/>
      <c r="Q973" s="9">
        <f t="shared" si="3"/>
        <v>0</v>
      </c>
      <c r="R973" s="1" t="str">
        <f t="shared" si="4"/>
        <v>AFR</v>
      </c>
      <c r="S973" s="1" t="str">
        <f>IF($D973="LEBL", IF(COUNTIF('Paises ECAC'!B:B, C973)&gt;0, "ECAC","NO ECAC"), "")</f>
        <v/>
      </c>
    </row>
    <row r="974" ht="14.25" customHeight="1">
      <c r="A974" s="1" t="s">
        <v>1593</v>
      </c>
      <c r="B974" s="1" t="s">
        <v>19</v>
      </c>
      <c r="C974" s="1" t="s">
        <v>444</v>
      </c>
      <c r="D974" s="1" t="s">
        <v>21</v>
      </c>
      <c r="E974" s="1" t="s">
        <v>1594</v>
      </c>
      <c r="F974" s="1">
        <v>380.0</v>
      </c>
      <c r="G974" s="5">
        <v>0.6597222222222222</v>
      </c>
      <c r="H974" s="1">
        <v>15.0</v>
      </c>
      <c r="I974" s="5">
        <v>0.8333333333333334</v>
      </c>
      <c r="J974" s="1" t="str">
        <f t="array" ref="J974">XLOOKUP(B974,cat!B:B,cat!C:C)</f>
        <v>D</v>
      </c>
      <c r="K974" s="1">
        <f t="array" ref="K974">XLOOKUP(B974,cat!B:B,cat!D:D)</f>
        <v>184</v>
      </c>
      <c r="L974" s="7">
        <f t="shared" si="1"/>
        <v>0.1736111111</v>
      </c>
      <c r="M974" s="7">
        <f t="shared" si="2"/>
        <v>0.1504861111</v>
      </c>
      <c r="P974" s="9"/>
      <c r="Q974" s="9">
        <f t="shared" si="3"/>
        <v>2997.683333</v>
      </c>
      <c r="R974" s="1" t="str">
        <f t="shared" si="4"/>
        <v>ELY</v>
      </c>
      <c r="S974" s="1" t="str">
        <f>IF($D974="LEBL", IF(COUNTIF('Paises ECAC'!B:B, C974)&gt;0, "ECAC","NO ECAC"), "")</f>
        <v>NO ECAC</v>
      </c>
    </row>
    <row r="975" ht="14.25" customHeight="1">
      <c r="A975" s="1" t="s">
        <v>1595</v>
      </c>
      <c r="B975" s="1" t="s">
        <v>212</v>
      </c>
      <c r="C975" s="1" t="s">
        <v>377</v>
      </c>
      <c r="D975" s="1" t="s">
        <v>21</v>
      </c>
      <c r="E975" s="1" t="s">
        <v>1596</v>
      </c>
      <c r="F975" s="1">
        <v>350.0</v>
      </c>
      <c r="G975" s="5">
        <v>0.7645833333333333</v>
      </c>
      <c r="H975" s="1">
        <v>11.0</v>
      </c>
      <c r="I975" s="5">
        <v>0.8368055555555556</v>
      </c>
      <c r="J975" s="1" t="str">
        <f t="array" ref="J975">XLOOKUP(B975,cat!B:B,cat!C:C)</f>
        <v>D</v>
      </c>
      <c r="K975" s="1">
        <f t="array" ref="K975">XLOOKUP(B975,cat!B:B,cat!D:D)</f>
        <v>200</v>
      </c>
      <c r="L975" s="7">
        <f t="shared" si="1"/>
        <v>0.07222222222</v>
      </c>
      <c r="M975" s="7">
        <f t="shared" si="2"/>
        <v>0.051875</v>
      </c>
      <c r="P975" s="9"/>
      <c r="Q975" s="9">
        <f t="shared" si="3"/>
        <v>1033.35</v>
      </c>
      <c r="R975" s="1" t="str">
        <f t="shared" si="4"/>
        <v>WMT</v>
      </c>
      <c r="S975" s="1" t="str">
        <f>IF($D975="LEBL", IF(COUNTIF('Paises ECAC'!B:B, C975)&gt;0, "ECAC","NO ECAC"), "")</f>
        <v>ECAC</v>
      </c>
    </row>
    <row r="976" ht="14.25" customHeight="1">
      <c r="A976" s="1" t="s">
        <v>1597</v>
      </c>
      <c r="B976" s="1" t="s">
        <v>30</v>
      </c>
      <c r="C976" s="1" t="s">
        <v>21</v>
      </c>
      <c r="D976" s="1" t="s">
        <v>1286</v>
      </c>
      <c r="E976" s="1" t="s">
        <v>1494</v>
      </c>
      <c r="F976" s="1">
        <v>380.0</v>
      </c>
      <c r="G976" s="5">
        <v>0.8381944444444445</v>
      </c>
      <c r="H976" s="1">
        <v>21.0</v>
      </c>
      <c r="I976" s="5">
        <v>0.9201388888888888</v>
      </c>
      <c r="J976" s="1" t="str">
        <f t="array" ref="J976">XLOOKUP(B976,cat!B:B,cat!C:C)</f>
        <v>D</v>
      </c>
      <c r="K976" s="1">
        <f t="array" ref="K976">XLOOKUP(B976,cat!B:B,cat!D:D)</f>
        <v>173</v>
      </c>
      <c r="L976" s="7">
        <f t="shared" si="1"/>
        <v>0.08194444444</v>
      </c>
      <c r="M976" s="1" t="str">
        <f t="shared" si="2"/>
        <v/>
      </c>
      <c r="P976" s="9"/>
      <c r="Q976" s="9">
        <f t="shared" si="3"/>
        <v>0</v>
      </c>
      <c r="R976" s="1" t="str">
        <f t="shared" si="4"/>
        <v>EZY</v>
      </c>
      <c r="S976" s="1" t="str">
        <f>IF($D976="LEBL", IF(COUNTIF('Paises ECAC'!B:B, C976)&gt;0, "ECAC","NO ECAC"), "")</f>
        <v/>
      </c>
    </row>
    <row r="977" ht="14.25" customHeight="1">
      <c r="A977" s="1" t="s">
        <v>1598</v>
      </c>
      <c r="B977" s="1" t="s">
        <v>45</v>
      </c>
      <c r="C977" s="1" t="s">
        <v>989</v>
      </c>
      <c r="D977" s="1" t="s">
        <v>21</v>
      </c>
      <c r="E977" s="1" t="s">
        <v>1599</v>
      </c>
      <c r="F977" s="1">
        <v>320.0</v>
      </c>
      <c r="G977" s="5">
        <v>0.8055555555555556</v>
      </c>
      <c r="H977" s="1">
        <v>5.0</v>
      </c>
      <c r="I977" s="5">
        <v>0.8368055555555556</v>
      </c>
      <c r="J977" s="1" t="str">
        <f t="array" ref="J977">XLOOKUP(B977,cat!B:B,cat!C:C)</f>
        <v>E</v>
      </c>
      <c r="K977" s="1">
        <f t="array" ref="K977">XLOOKUP(B977,cat!B:B,cat!D:D)</f>
        <v>100</v>
      </c>
      <c r="L977" s="7">
        <f t="shared" si="1"/>
        <v>0.03125</v>
      </c>
      <c r="M977" s="7">
        <f t="shared" si="2"/>
        <v>0.01506944444</v>
      </c>
      <c r="P977" s="9"/>
      <c r="Q977" s="9">
        <f t="shared" si="3"/>
        <v>162.75</v>
      </c>
      <c r="R977" s="1" t="str">
        <f t="shared" si="4"/>
        <v>ANE</v>
      </c>
      <c r="S977" s="1" t="str">
        <f>IF($D977="LEBL", IF(COUNTIF('Paises ECAC'!B:B, C977)&gt;0, "ECAC","NO ECAC"), "")</f>
        <v>NO ECAC</v>
      </c>
    </row>
    <row r="978" ht="14.25" customHeight="1">
      <c r="A978" s="1" t="s">
        <v>1600</v>
      </c>
      <c r="B978" s="1" t="s">
        <v>136</v>
      </c>
      <c r="C978" s="1" t="s">
        <v>137</v>
      </c>
      <c r="D978" s="1" t="s">
        <v>21</v>
      </c>
      <c r="E978" s="1" t="s">
        <v>238</v>
      </c>
      <c r="F978" s="1">
        <v>290.0</v>
      </c>
      <c r="G978" s="5">
        <v>0.7951388888888888</v>
      </c>
      <c r="H978" s="1">
        <v>10.0</v>
      </c>
      <c r="I978" s="5">
        <v>0.8368055555555556</v>
      </c>
      <c r="J978" s="1" t="str">
        <f t="array" ref="J978">XLOOKUP(B978,cat!B:B,cat!C:C)</f>
        <v>D</v>
      </c>
      <c r="K978" s="1">
        <f t="array" ref="K978">XLOOKUP(B978,cat!B:B,cat!D:D)</f>
        <v>144</v>
      </c>
      <c r="L978" s="7">
        <f t="shared" si="1"/>
        <v>0.04166666667</v>
      </c>
      <c r="M978" s="7">
        <f t="shared" si="2"/>
        <v>0.02201388889</v>
      </c>
      <c r="P978" s="9"/>
      <c r="Q978" s="9">
        <f t="shared" si="3"/>
        <v>438.5166667</v>
      </c>
      <c r="R978" s="1" t="str">
        <f t="shared" si="4"/>
        <v>EJU</v>
      </c>
      <c r="S978" s="1" t="str">
        <f>IF($D978="LEBL", IF(COUNTIF('Paises ECAC'!B:B, C978)&gt;0, "ECAC","NO ECAC"), "")</f>
        <v>ECAC</v>
      </c>
    </row>
    <row r="979" ht="14.25" customHeight="1">
      <c r="A979" s="1" t="s">
        <v>1601</v>
      </c>
      <c r="B979" s="1" t="s">
        <v>30</v>
      </c>
      <c r="C979" s="1" t="s">
        <v>107</v>
      </c>
      <c r="D979" s="1" t="s">
        <v>21</v>
      </c>
      <c r="E979" s="1" t="s">
        <v>1602</v>
      </c>
      <c r="F979" s="1">
        <v>340.0</v>
      </c>
      <c r="G979" s="5">
        <v>0.7631944444444444</v>
      </c>
      <c r="H979" s="1">
        <v>14.0</v>
      </c>
      <c r="I979" s="5">
        <v>0.8368055555555556</v>
      </c>
      <c r="J979" s="1" t="str">
        <f t="array" ref="J979">XLOOKUP(B979,cat!B:B,cat!C:C)</f>
        <v>D</v>
      </c>
      <c r="K979" s="1">
        <f t="array" ref="K979">XLOOKUP(B979,cat!B:B,cat!D:D)</f>
        <v>173</v>
      </c>
      <c r="L979" s="7">
        <f t="shared" si="1"/>
        <v>0.07361111111</v>
      </c>
      <c r="M979" s="7">
        <f t="shared" si="2"/>
        <v>0.05118055556</v>
      </c>
      <c r="P979" s="9"/>
      <c r="Q979" s="9">
        <f t="shared" si="3"/>
        <v>1019.516667</v>
      </c>
      <c r="R979" s="1" t="str">
        <f t="shared" si="4"/>
        <v>TAP</v>
      </c>
      <c r="S979" s="1" t="str">
        <f>IF($D979="LEBL", IF(COUNTIF('Paises ECAC'!B:B, C979)&gt;0, "ECAC","NO ECAC"), "")</f>
        <v>ECAC</v>
      </c>
    </row>
    <row r="980" ht="14.25" customHeight="1">
      <c r="A980" s="1" t="s">
        <v>1603</v>
      </c>
      <c r="B980" s="1" t="s">
        <v>30</v>
      </c>
      <c r="C980" s="1" t="s">
        <v>21</v>
      </c>
      <c r="D980" s="1" t="s">
        <v>221</v>
      </c>
      <c r="E980" s="1" t="s">
        <v>1488</v>
      </c>
      <c r="F980" s="1">
        <v>360.0</v>
      </c>
      <c r="G980" s="5">
        <v>0.8409722222222222</v>
      </c>
      <c r="H980" s="1">
        <v>21.0</v>
      </c>
      <c r="I980" s="5">
        <v>0.9097222222222222</v>
      </c>
      <c r="J980" s="1" t="str">
        <f t="array" ref="J980">XLOOKUP(B980,cat!B:B,cat!C:C)</f>
        <v>D</v>
      </c>
      <c r="K980" s="1">
        <f t="array" ref="K980">XLOOKUP(B980,cat!B:B,cat!D:D)</f>
        <v>173</v>
      </c>
      <c r="L980" s="7">
        <f t="shared" si="1"/>
        <v>0.06875</v>
      </c>
      <c r="M980" s="1" t="str">
        <f t="shared" si="2"/>
        <v/>
      </c>
      <c r="P980" s="9"/>
      <c r="Q980" s="9">
        <f t="shared" si="3"/>
        <v>0</v>
      </c>
      <c r="R980" s="1" t="str">
        <f t="shared" si="4"/>
        <v>EZY</v>
      </c>
      <c r="S980" s="1" t="str">
        <f>IF($D980="LEBL", IF(COUNTIF('Paises ECAC'!B:B, C980)&gt;0, "ECAC","NO ECAC"), "")</f>
        <v/>
      </c>
    </row>
    <row r="981" ht="14.25" customHeight="1">
      <c r="A981" s="1" t="s">
        <v>1604</v>
      </c>
      <c r="B981" s="1" t="s">
        <v>35</v>
      </c>
      <c r="C981" s="1" t="s">
        <v>245</v>
      </c>
      <c r="D981" s="1" t="s">
        <v>21</v>
      </c>
      <c r="E981" s="1" t="s">
        <v>1426</v>
      </c>
      <c r="F981" s="1">
        <v>180.0</v>
      </c>
      <c r="G981" s="5">
        <v>0.80625</v>
      </c>
      <c r="H981" s="1">
        <v>10.0</v>
      </c>
      <c r="I981" s="5">
        <v>0.8402777777777778</v>
      </c>
      <c r="J981" s="1" t="str">
        <f t="array" ref="J981">XLOOKUP(B981,cat!B:B,cat!C:C)</f>
        <v>D</v>
      </c>
      <c r="K981" s="1">
        <f t="array" ref="K981">XLOOKUP(B981,cat!B:B,cat!D:D)</f>
        <v>207</v>
      </c>
      <c r="L981" s="7">
        <f t="shared" si="1"/>
        <v>0.03402777778</v>
      </c>
      <c r="M981" s="7">
        <f t="shared" si="2"/>
        <v>0.014375</v>
      </c>
      <c r="P981" s="9"/>
      <c r="Q981" s="9">
        <f t="shared" si="3"/>
        <v>286.35</v>
      </c>
      <c r="R981" s="1" t="str">
        <f t="shared" si="4"/>
        <v>VLG</v>
      </c>
      <c r="S981" s="1" t="str">
        <f>IF($D981="LEBL", IF(COUNTIF('Paises ECAC'!B:B, C981)&gt;0, "ECAC","NO ECAC"), "")</f>
        <v>ECAC</v>
      </c>
    </row>
    <row r="982" ht="14.25" customHeight="1">
      <c r="A982" s="1" t="s">
        <v>1605</v>
      </c>
      <c r="B982" s="1" t="s">
        <v>25</v>
      </c>
      <c r="C982" s="1" t="s">
        <v>21</v>
      </c>
      <c r="D982" s="1" t="s">
        <v>107</v>
      </c>
      <c r="E982" s="1" t="s">
        <v>1477</v>
      </c>
      <c r="F982" s="1">
        <v>350.0</v>
      </c>
      <c r="G982" s="5">
        <v>0.8423611111111111</v>
      </c>
      <c r="H982" s="1">
        <v>11.0</v>
      </c>
      <c r="I982" s="5">
        <v>0.9027777777777778</v>
      </c>
      <c r="J982" s="1" t="str">
        <f t="array" ref="J982">XLOOKUP(B982,cat!B:B,cat!C:C)</f>
        <v>D</v>
      </c>
      <c r="K982" s="1">
        <f t="array" ref="K982">XLOOKUP(B982,cat!B:B,cat!D:D)</f>
        <v>180</v>
      </c>
      <c r="L982" s="7">
        <f t="shared" si="1"/>
        <v>0.06041666667</v>
      </c>
      <c r="M982" s="1" t="str">
        <f t="shared" si="2"/>
        <v/>
      </c>
      <c r="P982" s="9"/>
      <c r="Q982" s="9">
        <f t="shared" si="3"/>
        <v>0</v>
      </c>
      <c r="R982" s="1" t="str">
        <f t="shared" si="4"/>
        <v>TAP</v>
      </c>
      <c r="S982" s="1" t="str">
        <f>IF($D982="LEBL", IF(COUNTIF('Paises ECAC'!B:B, C982)&gt;0, "ECAC","NO ECAC"), "")</f>
        <v/>
      </c>
    </row>
    <row r="983" ht="14.25" customHeight="1">
      <c r="A983" s="1" t="s">
        <v>1606</v>
      </c>
      <c r="B983" s="1" t="s">
        <v>30</v>
      </c>
      <c r="C983" s="1" t="s">
        <v>322</v>
      </c>
      <c r="D983" s="1" t="s">
        <v>21</v>
      </c>
      <c r="E983" s="1" t="s">
        <v>1607</v>
      </c>
      <c r="F983" s="1">
        <v>340.0</v>
      </c>
      <c r="G983" s="5">
        <v>0.7736111111111111</v>
      </c>
      <c r="H983" s="1">
        <v>12.0</v>
      </c>
      <c r="I983" s="5">
        <v>0.8402777777777778</v>
      </c>
      <c r="J983" s="1" t="str">
        <f t="array" ref="J983">XLOOKUP(B983,cat!B:B,cat!C:C)</f>
        <v>D</v>
      </c>
      <c r="K983" s="1">
        <f t="array" ref="K983">XLOOKUP(B983,cat!B:B,cat!D:D)</f>
        <v>173</v>
      </c>
      <c r="L983" s="7">
        <f t="shared" si="1"/>
        <v>0.06666666667</v>
      </c>
      <c r="M983" s="7">
        <f t="shared" si="2"/>
        <v>0.045625</v>
      </c>
      <c r="P983" s="9"/>
      <c r="Q983" s="9">
        <f t="shared" si="3"/>
        <v>908.85</v>
      </c>
      <c r="R983" s="1" t="str">
        <f t="shared" si="4"/>
        <v>VLG</v>
      </c>
      <c r="S983" s="1" t="str">
        <f>IF($D983="LEBL", IF(COUNTIF('Paises ECAC'!B:B, C983)&gt;0, "ECAC","NO ECAC"), "")</f>
        <v>ECAC</v>
      </c>
    </row>
    <row r="984" ht="14.25" customHeight="1">
      <c r="A984" s="1" t="s">
        <v>1608</v>
      </c>
      <c r="B984" s="1" t="s">
        <v>30</v>
      </c>
      <c r="C984" s="1" t="s">
        <v>41</v>
      </c>
      <c r="D984" s="1" t="s">
        <v>21</v>
      </c>
      <c r="E984" s="1" t="s">
        <v>1609</v>
      </c>
      <c r="F984" s="1">
        <v>370.0</v>
      </c>
      <c r="G984" s="5">
        <v>0.7604166666666666</v>
      </c>
      <c r="H984" s="1">
        <v>20.0</v>
      </c>
      <c r="I984" s="5">
        <v>0.8402777777777778</v>
      </c>
      <c r="J984" s="1" t="str">
        <f t="array" ref="J984">XLOOKUP(B984,cat!B:B,cat!C:C)</f>
        <v>D</v>
      </c>
      <c r="K984" s="1">
        <f t="array" ref="K984">XLOOKUP(B984,cat!B:B,cat!D:D)</f>
        <v>173</v>
      </c>
      <c r="L984" s="7">
        <f t="shared" si="1"/>
        <v>0.07986111111</v>
      </c>
      <c r="M984" s="7">
        <f t="shared" si="2"/>
        <v>0.05326388889</v>
      </c>
      <c r="P984" s="9"/>
      <c r="Q984" s="9">
        <f t="shared" si="3"/>
        <v>1061.016667</v>
      </c>
      <c r="R984" s="1" t="str">
        <f t="shared" si="4"/>
        <v>EIN</v>
      </c>
      <c r="S984" s="1" t="str">
        <f>IF($D984="LEBL", IF(COUNTIF('Paises ECAC'!B:B, C984)&gt;0, "ECAC","NO ECAC"), "")</f>
        <v>ECAC</v>
      </c>
    </row>
    <row r="985" ht="14.25" customHeight="1">
      <c r="A985" s="1" t="s">
        <v>1610</v>
      </c>
      <c r="B985" s="1" t="s">
        <v>30</v>
      </c>
      <c r="C985" s="1" t="s">
        <v>21</v>
      </c>
      <c r="D985" s="1" t="s">
        <v>245</v>
      </c>
      <c r="E985" s="1" t="s">
        <v>180</v>
      </c>
      <c r="F985" s="1">
        <v>190.0</v>
      </c>
      <c r="G985" s="5">
        <v>0.8368055555555556</v>
      </c>
      <c r="H985" s="1">
        <v>10.0</v>
      </c>
      <c r="I985" s="5">
        <v>0.8680555555555556</v>
      </c>
      <c r="J985" s="1" t="str">
        <f t="array" ref="J985">XLOOKUP(B985,cat!B:B,cat!C:C)</f>
        <v>D</v>
      </c>
      <c r="K985" s="1">
        <f t="array" ref="K985">XLOOKUP(B985,cat!B:B,cat!D:D)</f>
        <v>173</v>
      </c>
      <c r="L985" s="7">
        <f t="shared" si="1"/>
        <v>0.03125</v>
      </c>
      <c r="M985" s="1" t="str">
        <f t="shared" si="2"/>
        <v/>
      </c>
      <c r="P985" s="9"/>
      <c r="Q985" s="9">
        <f t="shared" si="3"/>
        <v>0</v>
      </c>
      <c r="R985" s="1" t="str">
        <f t="shared" si="4"/>
        <v>VLG</v>
      </c>
      <c r="S985" s="1" t="str">
        <f>IF($D985="LEBL", IF(COUNTIF('Paises ECAC'!B:B, C985)&gt;0, "ECAC","NO ECAC"), "")</f>
        <v/>
      </c>
    </row>
    <row r="986" ht="14.25" customHeight="1">
      <c r="A986" s="1" t="s">
        <v>1611</v>
      </c>
      <c r="B986" s="1" t="s">
        <v>19</v>
      </c>
      <c r="C986" s="1" t="s">
        <v>21</v>
      </c>
      <c r="D986" s="1" t="s">
        <v>322</v>
      </c>
      <c r="E986" s="1" t="s">
        <v>111</v>
      </c>
      <c r="F986" s="1">
        <v>370.0</v>
      </c>
      <c r="G986" s="5">
        <v>0.8402777777777778</v>
      </c>
      <c r="H986" s="1">
        <v>20.0</v>
      </c>
      <c r="I986" s="5">
        <v>0.8888888888888888</v>
      </c>
      <c r="J986" s="1" t="str">
        <f t="array" ref="J986">XLOOKUP(B986,cat!B:B,cat!C:C)</f>
        <v>D</v>
      </c>
      <c r="K986" s="1">
        <f t="array" ref="K986">XLOOKUP(B986,cat!B:B,cat!D:D)</f>
        <v>184</v>
      </c>
      <c r="L986" s="7">
        <f t="shared" si="1"/>
        <v>0.04861111111</v>
      </c>
      <c r="M986" s="1" t="str">
        <f t="shared" si="2"/>
        <v/>
      </c>
      <c r="P986" s="9"/>
      <c r="Q986" s="9">
        <f t="shared" si="3"/>
        <v>0</v>
      </c>
      <c r="R986" s="1" t="str">
        <f t="shared" si="4"/>
        <v>RYR</v>
      </c>
      <c r="S986" s="1" t="str">
        <f>IF($D986="LEBL", IF(COUNTIF('Paises ECAC'!B:B, C986)&gt;0, "ECAC","NO ECAC"), "")</f>
        <v/>
      </c>
    </row>
    <row r="987" ht="14.25" customHeight="1">
      <c r="A987" s="1" t="s">
        <v>1612</v>
      </c>
      <c r="B987" s="1" t="s">
        <v>1613</v>
      </c>
      <c r="C987" s="1" t="s">
        <v>234</v>
      </c>
      <c r="D987" s="1" t="s">
        <v>21</v>
      </c>
      <c r="E987" s="1" t="s">
        <v>1614</v>
      </c>
      <c r="F987" s="1">
        <v>220.0</v>
      </c>
      <c r="G987" s="5">
        <v>0.7819444444444444</v>
      </c>
      <c r="H987" s="1">
        <v>16.0</v>
      </c>
      <c r="I987" s="5">
        <v>0.84375</v>
      </c>
      <c r="J987" s="1" t="str">
        <f t="array" ref="J987">XLOOKUP(B987,cat!B:B,cat!C:C)</f>
        <v>E</v>
      </c>
      <c r="K987" s="1">
        <f t="array" ref="K987">XLOOKUP(B987,cat!B:B,cat!D:D)</f>
        <v>49</v>
      </c>
      <c r="L987" s="7">
        <f t="shared" si="1"/>
        <v>0.06180555556</v>
      </c>
      <c r="M987" s="7">
        <f t="shared" si="2"/>
        <v>0.03798611111</v>
      </c>
      <c r="P987" s="9"/>
      <c r="Q987" s="9">
        <f t="shared" si="3"/>
        <v>410.25</v>
      </c>
      <c r="R987" s="1" t="str">
        <f t="shared" si="4"/>
        <v>SWT</v>
      </c>
      <c r="S987" s="1" t="str">
        <f>IF($D987="LEBL", IF(COUNTIF('Paises ECAC'!B:B, C987)&gt;0, "ECAC","NO ECAC"), "")</f>
        <v>ECAC</v>
      </c>
    </row>
    <row r="988" ht="14.25" customHeight="1">
      <c r="A988" s="1" t="s">
        <v>1615</v>
      </c>
      <c r="B988" s="1" t="s">
        <v>30</v>
      </c>
      <c r="C988" s="1" t="s">
        <v>21</v>
      </c>
      <c r="D988" s="1" t="s">
        <v>501</v>
      </c>
      <c r="E988" s="1" t="s">
        <v>1005</v>
      </c>
      <c r="F988" s="1">
        <v>370.0</v>
      </c>
      <c r="G988" s="5">
        <v>0.8458333333333333</v>
      </c>
      <c r="H988" s="1">
        <v>12.0</v>
      </c>
      <c r="I988" s="5">
        <v>0.9270833333333334</v>
      </c>
      <c r="J988" s="1" t="str">
        <f t="array" ref="J988">XLOOKUP(B988,cat!B:B,cat!C:C)</f>
        <v>D</v>
      </c>
      <c r="K988" s="1">
        <f t="array" ref="K988">XLOOKUP(B988,cat!B:B,cat!D:D)</f>
        <v>173</v>
      </c>
      <c r="L988" s="7">
        <f t="shared" si="1"/>
        <v>0.08125</v>
      </c>
      <c r="M988" s="1" t="str">
        <f t="shared" si="2"/>
        <v/>
      </c>
      <c r="P988" s="9"/>
      <c r="Q988" s="9">
        <f t="shared" si="3"/>
        <v>0</v>
      </c>
      <c r="R988" s="1" t="str">
        <f t="shared" si="4"/>
        <v>VLG</v>
      </c>
      <c r="S988" s="1" t="str">
        <f>IF($D988="LEBL", IF(COUNTIF('Paises ECAC'!B:B, C988)&gt;0, "ECAC","NO ECAC"), "")</f>
        <v/>
      </c>
    </row>
    <row r="989" ht="14.25" customHeight="1">
      <c r="A989" s="1" t="s">
        <v>1616</v>
      </c>
      <c r="B989" s="1" t="s">
        <v>30</v>
      </c>
      <c r="C989" s="1" t="s">
        <v>452</v>
      </c>
      <c r="D989" s="1" t="s">
        <v>21</v>
      </c>
      <c r="E989" s="1" t="s">
        <v>641</v>
      </c>
      <c r="F989" s="1">
        <v>390.0</v>
      </c>
      <c r="G989" s="5">
        <v>0.7673611111111112</v>
      </c>
      <c r="H989" s="1">
        <v>10.0</v>
      </c>
      <c r="I989" s="5">
        <v>0.8472222222222222</v>
      </c>
      <c r="J989" s="1" t="str">
        <f t="array" ref="J989">XLOOKUP(B989,cat!B:B,cat!C:C)</f>
        <v>D</v>
      </c>
      <c r="K989" s="1">
        <f t="array" ref="K989">XLOOKUP(B989,cat!B:B,cat!D:D)</f>
        <v>173</v>
      </c>
      <c r="L989" s="7">
        <f t="shared" si="1"/>
        <v>0.07986111111</v>
      </c>
      <c r="M989" s="7">
        <f t="shared" si="2"/>
        <v>0.06020833333</v>
      </c>
      <c r="P989" s="9"/>
      <c r="Q989" s="9">
        <f t="shared" si="3"/>
        <v>1199.35</v>
      </c>
      <c r="R989" s="1" t="str">
        <f t="shared" si="4"/>
        <v>VLG</v>
      </c>
      <c r="S989" s="1" t="str">
        <f>IF($D989="LEBL", IF(COUNTIF('Paises ECAC'!B:B, C989)&gt;0, "ECAC","NO ECAC"), "")</f>
        <v>ECAC</v>
      </c>
    </row>
    <row r="990" ht="14.25" customHeight="1">
      <c r="A990" s="1" t="s">
        <v>1617</v>
      </c>
      <c r="B990" s="1" t="s">
        <v>19</v>
      </c>
      <c r="C990" s="1" t="s">
        <v>21</v>
      </c>
      <c r="D990" s="1" t="s">
        <v>156</v>
      </c>
      <c r="E990" s="1" t="s">
        <v>313</v>
      </c>
      <c r="F990" s="1">
        <v>170.0</v>
      </c>
      <c r="G990" s="5">
        <v>0.8479166666666667</v>
      </c>
      <c r="H990" s="1">
        <v>10.0</v>
      </c>
      <c r="I990" s="5">
        <v>0.8680555555555556</v>
      </c>
      <c r="J990" s="1" t="str">
        <f t="array" ref="J990">XLOOKUP(B990,cat!B:B,cat!C:C)</f>
        <v>D</v>
      </c>
      <c r="K990" s="1">
        <f t="array" ref="K990">XLOOKUP(B990,cat!B:B,cat!D:D)</f>
        <v>184</v>
      </c>
      <c r="L990" s="7">
        <f t="shared" si="1"/>
        <v>0.02013888889</v>
      </c>
      <c r="M990" s="1" t="str">
        <f t="shared" si="2"/>
        <v/>
      </c>
      <c r="P990" s="9"/>
      <c r="Q990" s="9">
        <f t="shared" si="3"/>
        <v>0</v>
      </c>
      <c r="R990" s="1" t="str">
        <f t="shared" si="4"/>
        <v>AEA</v>
      </c>
      <c r="S990" s="1" t="str">
        <f>IF($D990="LEBL", IF(COUNTIF('Paises ECAC'!B:B, C990)&gt;0, "ECAC","NO ECAC"), "")</f>
        <v/>
      </c>
    </row>
    <row r="991" ht="14.25" customHeight="1">
      <c r="A991" s="1" t="s">
        <v>1618</v>
      </c>
      <c r="B991" s="1" t="s">
        <v>25</v>
      </c>
      <c r="C991" s="1" t="s">
        <v>74</v>
      </c>
      <c r="D991" s="1" t="s">
        <v>21</v>
      </c>
      <c r="E991" s="1" t="s">
        <v>1619</v>
      </c>
      <c r="F991" s="1">
        <v>370.0</v>
      </c>
      <c r="G991" s="5">
        <v>0.8034722222222223</v>
      </c>
      <c r="H991" s="1">
        <v>11.0</v>
      </c>
      <c r="I991" s="5">
        <v>0.8541666666666666</v>
      </c>
      <c r="J991" s="1" t="str">
        <f t="array" ref="J991">XLOOKUP(B991,cat!B:B,cat!C:C)</f>
        <v>D</v>
      </c>
      <c r="K991" s="1">
        <f t="array" ref="K991">XLOOKUP(B991,cat!B:B,cat!D:D)</f>
        <v>180</v>
      </c>
      <c r="L991" s="7">
        <f t="shared" si="1"/>
        <v>0.05069444444</v>
      </c>
      <c r="M991" s="7">
        <f t="shared" si="2"/>
        <v>0.03034722222</v>
      </c>
      <c r="P991" s="9"/>
      <c r="Q991" s="9">
        <f t="shared" si="3"/>
        <v>604.5166667</v>
      </c>
      <c r="R991" s="1" t="str">
        <f t="shared" si="4"/>
        <v>TVF</v>
      </c>
      <c r="S991" s="1" t="str">
        <f>IF($D991="LEBL", IF(COUNTIF('Paises ECAC'!B:B, C991)&gt;0, "ECAC","NO ECAC"), "")</f>
        <v>ECAC</v>
      </c>
    </row>
    <row r="992" ht="14.25" customHeight="1">
      <c r="A992" s="1" t="s">
        <v>1620</v>
      </c>
      <c r="B992" s="1" t="s">
        <v>19</v>
      </c>
      <c r="C992" s="1" t="s">
        <v>169</v>
      </c>
      <c r="D992" s="1" t="s">
        <v>21</v>
      </c>
      <c r="E992" s="1" t="s">
        <v>1621</v>
      </c>
      <c r="F992" s="1">
        <v>410.0</v>
      </c>
      <c r="G992" s="5">
        <v>0.7861111111111111</v>
      </c>
      <c r="H992" s="1">
        <v>20.0</v>
      </c>
      <c r="I992" s="5">
        <v>0.8541666666666666</v>
      </c>
      <c r="J992" s="1" t="str">
        <f t="array" ref="J992">XLOOKUP(B992,cat!B:B,cat!C:C)</f>
        <v>D</v>
      </c>
      <c r="K992" s="1">
        <f t="array" ref="K992">XLOOKUP(B992,cat!B:B,cat!D:D)</f>
        <v>184</v>
      </c>
      <c r="L992" s="7">
        <f t="shared" si="1"/>
        <v>0.06805555556</v>
      </c>
      <c r="M992" s="7">
        <f t="shared" si="2"/>
        <v>0.04145833333</v>
      </c>
      <c r="P992" s="9"/>
      <c r="Q992" s="9">
        <f t="shared" si="3"/>
        <v>825.85</v>
      </c>
      <c r="R992" s="1" t="str">
        <f t="shared" si="4"/>
        <v>KLM</v>
      </c>
      <c r="S992" s="1" t="str">
        <f>IF($D992="LEBL", IF(COUNTIF('Paises ECAC'!B:B, C992)&gt;0, "ECAC","NO ECAC"), "")</f>
        <v>ECAC</v>
      </c>
    </row>
    <row r="993" ht="14.25" customHeight="1">
      <c r="A993" s="1" t="s">
        <v>1622</v>
      </c>
      <c r="B993" s="1" t="s">
        <v>19</v>
      </c>
      <c r="C993" s="1" t="s">
        <v>1143</v>
      </c>
      <c r="D993" s="1" t="s">
        <v>21</v>
      </c>
      <c r="E993" s="1" t="s">
        <v>381</v>
      </c>
      <c r="F993" s="1">
        <v>390.0</v>
      </c>
      <c r="G993" s="5">
        <v>0.7576388888888889</v>
      </c>
      <c r="H993" s="1">
        <v>8.0</v>
      </c>
      <c r="I993" s="5">
        <v>0.8576388888888888</v>
      </c>
      <c r="J993" s="1" t="str">
        <f t="array" ref="J993">XLOOKUP(B993,cat!B:B,cat!C:C)</f>
        <v>D</v>
      </c>
      <c r="K993" s="1">
        <f t="array" ref="K993">XLOOKUP(B993,cat!B:B,cat!D:D)</f>
        <v>184</v>
      </c>
      <c r="L993" s="7">
        <f t="shared" si="1"/>
        <v>0.1</v>
      </c>
      <c r="M993" s="7">
        <f t="shared" si="2"/>
        <v>0.08173611111</v>
      </c>
      <c r="P993" s="9"/>
      <c r="Q993" s="9">
        <f t="shared" si="3"/>
        <v>1628.183333</v>
      </c>
      <c r="R993" s="1" t="str">
        <f t="shared" si="4"/>
        <v>NSZ</v>
      </c>
      <c r="S993" s="1" t="str">
        <f>IF($D993="LEBL", IF(COUNTIF('Paises ECAC'!B:B, C993)&gt;0, "ECAC","NO ECAC"), "")</f>
        <v>ECAC</v>
      </c>
    </row>
    <row r="994" ht="14.25" customHeight="1">
      <c r="A994" s="1" t="s">
        <v>1623</v>
      </c>
      <c r="B994" s="1" t="s">
        <v>212</v>
      </c>
      <c r="C994" s="1" t="s">
        <v>21</v>
      </c>
      <c r="D994" s="1" t="s">
        <v>148</v>
      </c>
      <c r="E994" s="1" t="s">
        <v>1530</v>
      </c>
      <c r="F994" s="1">
        <v>360.0</v>
      </c>
      <c r="G994" s="5">
        <v>0.8611111111111112</v>
      </c>
      <c r="H994" s="1">
        <v>20.0</v>
      </c>
      <c r="I994" s="5">
        <v>0.9652777777777778</v>
      </c>
      <c r="J994" s="1" t="str">
        <f t="array" ref="J994">XLOOKUP(B994,cat!B:B,cat!C:C)</f>
        <v>D</v>
      </c>
      <c r="K994" s="1">
        <f t="array" ref="K994">XLOOKUP(B994,cat!B:B,cat!D:D)</f>
        <v>200</v>
      </c>
      <c r="L994" s="7">
        <f t="shared" si="1"/>
        <v>0.1041666667</v>
      </c>
      <c r="M994" s="1" t="str">
        <f t="shared" si="2"/>
        <v/>
      </c>
      <c r="P994" s="9"/>
      <c r="Q994" s="9">
        <f t="shared" si="3"/>
        <v>0</v>
      </c>
      <c r="R994" s="1" t="str">
        <f t="shared" si="4"/>
        <v>WZZ</v>
      </c>
      <c r="S994" s="1" t="str">
        <f>IF($D994="LEBL", IF(COUNTIF('Paises ECAC'!B:B, C994)&gt;0, "ECAC","NO ECAC"), "")</f>
        <v/>
      </c>
    </row>
    <row r="995" ht="14.25" customHeight="1">
      <c r="A995" s="1" t="s">
        <v>1624</v>
      </c>
      <c r="B995" s="1" t="s">
        <v>19</v>
      </c>
      <c r="C995" s="1" t="s">
        <v>343</v>
      </c>
      <c r="D995" s="1" t="s">
        <v>21</v>
      </c>
      <c r="E995" s="1" t="s">
        <v>1625</v>
      </c>
      <c r="F995" s="1">
        <v>370.0</v>
      </c>
      <c r="G995" s="5">
        <v>0.7277777777777777</v>
      </c>
      <c r="H995" s="1">
        <v>20.0</v>
      </c>
      <c r="I995" s="5">
        <v>0.8576388888888888</v>
      </c>
      <c r="J995" s="1" t="str">
        <f t="array" ref="J995">XLOOKUP(B995,cat!B:B,cat!C:C)</f>
        <v>D</v>
      </c>
      <c r="K995" s="1">
        <f t="array" ref="K995">XLOOKUP(B995,cat!B:B,cat!D:D)</f>
        <v>184</v>
      </c>
      <c r="L995" s="7">
        <f t="shared" si="1"/>
        <v>0.1298611111</v>
      </c>
      <c r="M995" s="7">
        <f t="shared" si="2"/>
        <v>0.1032638889</v>
      </c>
      <c r="P995" s="9"/>
      <c r="Q995" s="9">
        <f t="shared" si="3"/>
        <v>2057.016667</v>
      </c>
      <c r="R995" s="1" t="str">
        <f t="shared" si="4"/>
        <v>THY</v>
      </c>
      <c r="S995" s="1" t="str">
        <f>IF($D995="LEBL", IF(COUNTIF('Paises ECAC'!B:B, C995)&gt;0, "ECAC","NO ECAC"), "")</f>
        <v>ECAC</v>
      </c>
    </row>
    <row r="996" ht="14.25" customHeight="1">
      <c r="A996" s="1" t="s">
        <v>1626</v>
      </c>
      <c r="B996" s="1" t="s">
        <v>30</v>
      </c>
      <c r="C996" s="1" t="s">
        <v>21</v>
      </c>
      <c r="D996" s="1" t="s">
        <v>143</v>
      </c>
      <c r="E996" s="1" t="s">
        <v>1209</v>
      </c>
      <c r="F996" s="1">
        <v>170.0</v>
      </c>
      <c r="G996" s="5">
        <v>0.8444444444444444</v>
      </c>
      <c r="H996" s="1">
        <v>11.0</v>
      </c>
      <c r="I996" s="5">
        <v>0.8784722222222222</v>
      </c>
      <c r="J996" s="1" t="str">
        <f t="array" ref="J996">XLOOKUP(B996,cat!B:B,cat!C:C)</f>
        <v>D</v>
      </c>
      <c r="K996" s="1">
        <f t="array" ref="K996">XLOOKUP(B996,cat!B:B,cat!D:D)</f>
        <v>173</v>
      </c>
      <c r="L996" s="7">
        <f t="shared" si="1"/>
        <v>0.03402777778</v>
      </c>
      <c r="M996" s="1" t="str">
        <f t="shared" si="2"/>
        <v/>
      </c>
      <c r="P996" s="9"/>
      <c r="Q996" s="9">
        <f t="shared" si="3"/>
        <v>0</v>
      </c>
      <c r="R996" s="1" t="str">
        <f t="shared" si="4"/>
        <v>VLG</v>
      </c>
      <c r="S996" s="1" t="str">
        <f>IF($D996="LEBL", IF(COUNTIF('Paises ECAC'!B:B, C996)&gt;0, "ECAC","NO ECAC"), "")</f>
        <v/>
      </c>
    </row>
    <row r="997" ht="14.25" customHeight="1">
      <c r="A997" s="1" t="s">
        <v>1627</v>
      </c>
      <c r="B997" s="1" t="s">
        <v>30</v>
      </c>
      <c r="C997" s="1" t="s">
        <v>21</v>
      </c>
      <c r="D997" s="1" t="s">
        <v>1375</v>
      </c>
      <c r="E997" s="1" t="s">
        <v>1539</v>
      </c>
      <c r="F997" s="1">
        <v>380.0</v>
      </c>
      <c r="G997" s="5">
        <v>0.8548611111111111</v>
      </c>
      <c r="H997" s="1">
        <v>20.0</v>
      </c>
      <c r="I997" s="5">
        <v>0.9479166666666666</v>
      </c>
      <c r="J997" s="1" t="str">
        <f t="array" ref="J997">XLOOKUP(B997,cat!B:B,cat!C:C)</f>
        <v>D</v>
      </c>
      <c r="K997" s="1">
        <f t="array" ref="K997">XLOOKUP(B997,cat!B:B,cat!D:D)</f>
        <v>173</v>
      </c>
      <c r="L997" s="7">
        <f t="shared" si="1"/>
        <v>0.09305555556</v>
      </c>
      <c r="M997" s="1" t="str">
        <f t="shared" si="2"/>
        <v/>
      </c>
      <c r="P997" s="9"/>
      <c r="Q997" s="9">
        <f t="shared" si="3"/>
        <v>0</v>
      </c>
      <c r="R997" s="1" t="str">
        <f t="shared" si="4"/>
        <v>WZZ</v>
      </c>
      <c r="S997" s="1" t="str">
        <f>IF($D997="LEBL", IF(COUNTIF('Paises ECAC'!B:B, C997)&gt;0, "ECAC","NO ECAC"), "")</f>
        <v/>
      </c>
    </row>
    <row r="998" ht="14.25" customHeight="1">
      <c r="A998" s="1" t="s">
        <v>1628</v>
      </c>
      <c r="B998" s="1" t="s">
        <v>25</v>
      </c>
      <c r="C998" s="1" t="s">
        <v>21</v>
      </c>
      <c r="D998" s="1" t="s">
        <v>282</v>
      </c>
      <c r="E998" s="1" t="s">
        <v>1570</v>
      </c>
      <c r="F998" s="1">
        <v>290.0</v>
      </c>
      <c r="G998" s="5">
        <v>0.8583333333333333</v>
      </c>
      <c r="H998" s="1">
        <v>11.0</v>
      </c>
      <c r="I998" s="5">
        <v>0.8888888888888888</v>
      </c>
      <c r="J998" s="1" t="str">
        <f t="array" ref="J998">XLOOKUP(B998,cat!B:B,cat!C:C)</f>
        <v>D</v>
      </c>
      <c r="K998" s="1">
        <f t="array" ref="K998">XLOOKUP(B998,cat!B:B,cat!D:D)</f>
        <v>180</v>
      </c>
      <c r="L998" s="7">
        <f t="shared" si="1"/>
        <v>0.03055555556</v>
      </c>
      <c r="M998" s="1" t="str">
        <f t="shared" si="2"/>
        <v/>
      </c>
      <c r="P998" s="9"/>
      <c r="Q998" s="9">
        <f t="shared" si="3"/>
        <v>0</v>
      </c>
      <c r="R998" s="1" t="str">
        <f t="shared" si="4"/>
        <v>VLG</v>
      </c>
      <c r="S998" s="1" t="str">
        <f>IF($D998="LEBL", IF(COUNTIF('Paises ECAC'!B:B, C998)&gt;0, "ECAC","NO ECAC"), "")</f>
        <v/>
      </c>
    </row>
    <row r="999" ht="14.25" customHeight="1">
      <c r="A999" s="1" t="s">
        <v>1629</v>
      </c>
      <c r="B999" s="1" t="s">
        <v>19</v>
      </c>
      <c r="C999" s="1" t="s">
        <v>21</v>
      </c>
      <c r="D999" s="1" t="s">
        <v>574</v>
      </c>
      <c r="E999" s="1" t="s">
        <v>95</v>
      </c>
      <c r="F999" s="1">
        <v>370.0</v>
      </c>
      <c r="G999" s="5">
        <v>0.8319444444444445</v>
      </c>
      <c r="H999" s="1">
        <v>20.0</v>
      </c>
      <c r="I999" s="5">
        <v>0.9131944444444444</v>
      </c>
      <c r="J999" s="1" t="str">
        <f t="array" ref="J999">XLOOKUP(B999,cat!B:B,cat!C:C)</f>
        <v>D</v>
      </c>
      <c r="K999" s="1">
        <f t="array" ref="K999">XLOOKUP(B999,cat!B:B,cat!D:D)</f>
        <v>184</v>
      </c>
      <c r="L999" s="7">
        <f t="shared" si="1"/>
        <v>0.08125</v>
      </c>
      <c r="M999" s="1" t="str">
        <f t="shared" si="2"/>
        <v/>
      </c>
      <c r="P999" s="9"/>
      <c r="Q999" s="9">
        <f t="shared" si="3"/>
        <v>0</v>
      </c>
      <c r="R999" s="1" t="str">
        <f t="shared" si="4"/>
        <v>RYR</v>
      </c>
      <c r="S999" s="1" t="str">
        <f>IF($D999="LEBL", IF(COUNTIF('Paises ECAC'!B:B, C999)&gt;0, "ECAC","NO ECAC"), "")</f>
        <v/>
      </c>
    </row>
    <row r="1000" ht="14.25" customHeight="1">
      <c r="A1000" s="1" t="s">
        <v>1630</v>
      </c>
      <c r="B1000" s="1" t="s">
        <v>19</v>
      </c>
      <c r="C1000" s="1" t="s">
        <v>245</v>
      </c>
      <c r="D1000" s="1" t="s">
        <v>21</v>
      </c>
      <c r="E1000" s="1" t="s">
        <v>1079</v>
      </c>
      <c r="F1000" s="1">
        <v>240.0</v>
      </c>
      <c r="G1000" s="5">
        <v>0.8423611111111111</v>
      </c>
      <c r="H1000" s="1">
        <v>7.0</v>
      </c>
      <c r="I1000" s="5">
        <v>0.8645833333333334</v>
      </c>
      <c r="J1000" s="1" t="str">
        <f t="array" ref="J1000">XLOOKUP(B1000,cat!B:B,cat!C:C)</f>
        <v>D</v>
      </c>
      <c r="K1000" s="1">
        <f t="array" ref="K1000">XLOOKUP(B1000,cat!B:B,cat!D:D)</f>
        <v>184</v>
      </c>
      <c r="L1000" s="7">
        <f t="shared" si="1"/>
        <v>0.02222222222</v>
      </c>
      <c r="M1000" s="7">
        <f t="shared" si="2"/>
        <v>0.004652777778</v>
      </c>
      <c r="P1000" s="9"/>
      <c r="Q1000" s="9">
        <f t="shared" si="3"/>
        <v>92.68333333</v>
      </c>
      <c r="R1000" s="1" t="str">
        <f t="shared" si="4"/>
        <v>RYR</v>
      </c>
      <c r="S1000" s="1" t="str">
        <f>IF($D1000="LEBL", IF(COUNTIF('Paises ECAC'!B:B, C1000)&gt;0, "ECAC","NO ECAC"), "")</f>
        <v>ECAC</v>
      </c>
    </row>
    <row r="1001" ht="14.25" customHeight="1">
      <c r="A1001" s="1" t="s">
        <v>1631</v>
      </c>
      <c r="B1001" s="1" t="s">
        <v>19</v>
      </c>
      <c r="C1001" s="1" t="s">
        <v>21</v>
      </c>
      <c r="D1001" s="1" t="s">
        <v>1535</v>
      </c>
      <c r="E1001" s="1" t="s">
        <v>1536</v>
      </c>
      <c r="F1001" s="1">
        <v>370.0</v>
      </c>
      <c r="G1001" s="5">
        <v>0.8576388888888888</v>
      </c>
      <c r="H1001" s="1">
        <v>20.0</v>
      </c>
      <c r="I1001" s="5">
        <v>0.9201388888888888</v>
      </c>
      <c r="J1001" s="1" t="str">
        <f t="array" ref="J1001">XLOOKUP(B1001,cat!B:B,cat!C:C)</f>
        <v>D</v>
      </c>
      <c r="K1001" s="1">
        <f t="array" ref="K1001">XLOOKUP(B1001,cat!B:B,cat!D:D)</f>
        <v>184</v>
      </c>
      <c r="L1001" s="7">
        <f t="shared" si="1"/>
        <v>0.0625</v>
      </c>
      <c r="M1001" s="1" t="str">
        <f t="shared" si="2"/>
        <v/>
      </c>
      <c r="P1001" s="9"/>
      <c r="Q1001" s="9">
        <f t="shared" si="3"/>
        <v>0</v>
      </c>
      <c r="R1001" s="1" t="str">
        <f t="shared" si="4"/>
        <v>RYR</v>
      </c>
      <c r="S1001" s="1" t="str">
        <f>IF($D1001="LEBL", IF(COUNTIF('Paises ECAC'!B:B, C1001)&gt;0, "ECAC","NO ECAC"), "")</f>
        <v/>
      </c>
    </row>
    <row r="1002" ht="14.25" customHeight="1">
      <c r="A1002" s="1" t="s">
        <v>1632</v>
      </c>
      <c r="B1002" s="1" t="s">
        <v>30</v>
      </c>
      <c r="C1002" s="1" t="s">
        <v>166</v>
      </c>
      <c r="D1002" s="1" t="s">
        <v>21</v>
      </c>
      <c r="E1002" s="1" t="s">
        <v>249</v>
      </c>
      <c r="F1002" s="1">
        <v>360.0</v>
      </c>
      <c r="G1002" s="5">
        <v>0.7416666666666667</v>
      </c>
      <c r="H1002" s="1">
        <v>4.0</v>
      </c>
      <c r="I1002" s="5">
        <v>0.8645833333333334</v>
      </c>
      <c r="J1002" s="1" t="str">
        <f t="array" ref="J1002">XLOOKUP(B1002,cat!B:B,cat!C:C)</f>
        <v>D</v>
      </c>
      <c r="K1002" s="1">
        <f t="array" ref="K1002">XLOOKUP(B1002,cat!B:B,cat!D:D)</f>
        <v>173</v>
      </c>
      <c r="L1002" s="7">
        <f t="shared" si="1"/>
        <v>0.1229166667</v>
      </c>
      <c r="M1002" s="7">
        <f t="shared" si="2"/>
        <v>0.1074305556</v>
      </c>
      <c r="P1002" s="9"/>
      <c r="Q1002" s="9">
        <f t="shared" si="3"/>
        <v>2140.016667</v>
      </c>
      <c r="R1002" s="1" t="str">
        <f t="shared" si="4"/>
        <v>VLG</v>
      </c>
      <c r="S1002" s="1" t="str">
        <f>IF($D1002="LEBL", IF(COUNTIF('Paises ECAC'!B:B, C1002)&gt;0, "ECAC","NO ECAC"), "")</f>
        <v>ECAC</v>
      </c>
    </row>
    <row r="1003" ht="14.25" customHeight="1">
      <c r="A1003" s="1" t="s">
        <v>1633</v>
      </c>
      <c r="B1003" s="1" t="s">
        <v>30</v>
      </c>
      <c r="C1003" s="1" t="s">
        <v>21</v>
      </c>
      <c r="D1003" s="1" t="s">
        <v>140</v>
      </c>
      <c r="E1003" s="1" t="s">
        <v>1575</v>
      </c>
      <c r="F1003" s="1">
        <v>360.0</v>
      </c>
      <c r="G1003" s="5">
        <v>0.8631944444444445</v>
      </c>
      <c r="H1003" s="1">
        <v>11.0</v>
      </c>
      <c r="I1003" s="5">
        <v>0.9131944444444444</v>
      </c>
      <c r="J1003" s="1" t="str">
        <f t="array" ref="J1003">XLOOKUP(B1003,cat!B:B,cat!C:C)</f>
        <v>D</v>
      </c>
      <c r="K1003" s="1">
        <f t="array" ref="K1003">XLOOKUP(B1003,cat!B:B,cat!D:D)</f>
        <v>173</v>
      </c>
      <c r="L1003" s="7">
        <f t="shared" si="1"/>
        <v>0.05</v>
      </c>
      <c r="M1003" s="1" t="str">
        <f t="shared" si="2"/>
        <v/>
      </c>
      <c r="P1003" s="9"/>
      <c r="Q1003" s="9">
        <f t="shared" si="3"/>
        <v>0</v>
      </c>
      <c r="R1003" s="1" t="str">
        <f t="shared" si="4"/>
        <v>VLG</v>
      </c>
      <c r="S1003" s="1" t="str">
        <f>IF($D1003="LEBL", IF(COUNTIF('Paises ECAC'!B:B, C1003)&gt;0, "ECAC","NO ECAC"), "")</f>
        <v/>
      </c>
    </row>
    <row r="1004" ht="14.25" customHeight="1">
      <c r="A1004" s="1" t="s">
        <v>1634</v>
      </c>
      <c r="B1004" s="1" t="s">
        <v>30</v>
      </c>
      <c r="C1004" s="1" t="s">
        <v>156</v>
      </c>
      <c r="D1004" s="1" t="s">
        <v>21</v>
      </c>
      <c r="E1004" s="1" t="s">
        <v>1635</v>
      </c>
      <c r="F1004" s="1">
        <v>180.0</v>
      </c>
      <c r="G1004" s="5">
        <v>0.8444444444444444</v>
      </c>
      <c r="H1004" s="1">
        <v>15.0</v>
      </c>
      <c r="I1004" s="5">
        <v>0.8645833333333334</v>
      </c>
      <c r="J1004" s="1" t="str">
        <f t="array" ref="J1004">XLOOKUP(B1004,cat!B:B,cat!C:C)</f>
        <v>D</v>
      </c>
      <c r="K1004" s="1">
        <f t="array" ref="K1004">XLOOKUP(B1004,cat!B:B,cat!D:D)</f>
        <v>173</v>
      </c>
      <c r="L1004" s="7">
        <f t="shared" si="1"/>
        <v>0.02013888889</v>
      </c>
      <c r="M1004" s="7">
        <f t="shared" si="2"/>
        <v>0.009722222222</v>
      </c>
      <c r="P1004" s="9"/>
      <c r="Q1004" s="9">
        <f t="shared" si="3"/>
        <v>193.6666667</v>
      </c>
      <c r="R1004" s="1" t="str">
        <f t="shared" si="4"/>
        <v>RYR</v>
      </c>
      <c r="S1004" s="1" t="str">
        <f>IF($D1004="LEBL", IF(COUNTIF('Paises ECAC'!B:B, C1004)&gt;0, "ECAC","NO ECAC"), "")</f>
        <v>ECAC</v>
      </c>
    </row>
    <row r="1005" ht="14.25" customHeight="1">
      <c r="A1005" s="1" t="s">
        <v>1636</v>
      </c>
      <c r="B1005" s="1" t="s">
        <v>30</v>
      </c>
      <c r="C1005" s="1" t="s">
        <v>97</v>
      </c>
      <c r="D1005" s="1" t="s">
        <v>21</v>
      </c>
      <c r="E1005" s="1" t="s">
        <v>323</v>
      </c>
      <c r="F1005" s="1">
        <v>290.0</v>
      </c>
      <c r="G1005" s="5">
        <v>0.8215277777777777</v>
      </c>
      <c r="H1005" s="1">
        <v>13.0</v>
      </c>
      <c r="I1005" s="5">
        <v>0.8680555555555556</v>
      </c>
      <c r="J1005" s="1" t="str">
        <f t="array" ref="J1005">XLOOKUP(B1005,cat!B:B,cat!C:C)</f>
        <v>D</v>
      </c>
      <c r="K1005" s="1">
        <f t="array" ref="K1005">XLOOKUP(B1005,cat!B:B,cat!D:D)</f>
        <v>173</v>
      </c>
      <c r="L1005" s="7">
        <f t="shared" si="1"/>
        <v>0.04652777778</v>
      </c>
      <c r="M1005" s="7">
        <f t="shared" si="2"/>
        <v>0.02479166667</v>
      </c>
      <c r="P1005" s="9"/>
      <c r="Q1005" s="9">
        <f t="shared" si="3"/>
        <v>493.85</v>
      </c>
      <c r="R1005" s="1" t="str">
        <f t="shared" si="4"/>
        <v>VLG</v>
      </c>
      <c r="S1005" s="1" t="str">
        <f>IF($D1005="LEBL", IF(COUNTIF('Paises ECAC'!B:B, C1005)&gt;0, "ECAC","NO ECAC"), "")</f>
        <v>ECAC</v>
      </c>
    </row>
    <row r="1006" ht="14.25" customHeight="1">
      <c r="A1006" s="1" t="s">
        <v>1637</v>
      </c>
      <c r="B1006" s="1" t="s">
        <v>30</v>
      </c>
      <c r="C1006" s="1" t="s">
        <v>21</v>
      </c>
      <c r="D1006" s="1" t="s">
        <v>156</v>
      </c>
      <c r="E1006" s="1" t="s">
        <v>86</v>
      </c>
      <c r="F1006" s="1">
        <v>190.0</v>
      </c>
      <c r="G1006" s="5">
        <v>0.8680555555555556</v>
      </c>
      <c r="H1006" s="1">
        <v>10.0</v>
      </c>
      <c r="I1006" s="5">
        <v>0.8854166666666666</v>
      </c>
      <c r="J1006" s="1" t="str">
        <f t="array" ref="J1006">XLOOKUP(B1006,cat!B:B,cat!C:C)</f>
        <v>D</v>
      </c>
      <c r="K1006" s="1">
        <f t="array" ref="K1006">XLOOKUP(B1006,cat!B:B,cat!D:D)</f>
        <v>173</v>
      </c>
      <c r="L1006" s="7">
        <f t="shared" si="1"/>
        <v>0.01736111111</v>
      </c>
      <c r="M1006" s="1" t="str">
        <f t="shared" si="2"/>
        <v/>
      </c>
      <c r="P1006" s="9"/>
      <c r="Q1006" s="9">
        <f t="shared" si="3"/>
        <v>0</v>
      </c>
      <c r="R1006" s="1" t="str">
        <f t="shared" si="4"/>
        <v>VLG</v>
      </c>
      <c r="S1006" s="1" t="str">
        <f>IF($D1006="LEBL", IF(COUNTIF('Paises ECAC'!B:B, C1006)&gt;0, "ECAC","NO ECAC"), "")</f>
        <v/>
      </c>
    </row>
    <row r="1007" ht="14.25" customHeight="1">
      <c r="A1007" s="1" t="s">
        <v>1638</v>
      </c>
      <c r="B1007" s="1" t="s">
        <v>25</v>
      </c>
      <c r="C1007" s="1" t="s">
        <v>21</v>
      </c>
      <c r="D1007" s="1" t="s">
        <v>192</v>
      </c>
      <c r="E1007" s="1" t="s">
        <v>1580</v>
      </c>
      <c r="F1007" s="1">
        <v>390.0</v>
      </c>
      <c r="G1007" s="5">
        <v>0.86875</v>
      </c>
      <c r="H1007" s="1">
        <v>11.0</v>
      </c>
      <c r="I1007" s="5">
        <v>0.9201388888888888</v>
      </c>
      <c r="J1007" s="1" t="str">
        <f t="array" ref="J1007">XLOOKUP(B1007,cat!B:B,cat!C:C)</f>
        <v>D</v>
      </c>
      <c r="K1007" s="1">
        <f t="array" ref="K1007">XLOOKUP(B1007,cat!B:B,cat!D:D)</f>
        <v>180</v>
      </c>
      <c r="L1007" s="7">
        <f t="shared" si="1"/>
        <v>0.05138888889</v>
      </c>
      <c r="M1007" s="1" t="str">
        <f t="shared" si="2"/>
        <v/>
      </c>
      <c r="P1007" s="9"/>
      <c r="Q1007" s="9">
        <f t="shared" si="3"/>
        <v>0</v>
      </c>
      <c r="R1007" s="1" t="str">
        <f t="shared" si="4"/>
        <v>VLG</v>
      </c>
      <c r="S1007" s="1" t="str">
        <f>IF($D1007="LEBL", IF(COUNTIF('Paises ECAC'!B:B, C1007)&gt;0, "ECAC","NO ECAC"), "")</f>
        <v/>
      </c>
    </row>
    <row r="1008" ht="14.25" customHeight="1">
      <c r="A1008" s="1" t="s">
        <v>1639</v>
      </c>
      <c r="B1008" s="1" t="s">
        <v>30</v>
      </c>
      <c r="C1008" s="1" t="s">
        <v>234</v>
      </c>
      <c r="D1008" s="1" t="s">
        <v>21</v>
      </c>
      <c r="E1008" s="1" t="s">
        <v>1640</v>
      </c>
      <c r="F1008" s="1">
        <v>300.0</v>
      </c>
      <c r="G1008" s="5">
        <v>0.8388888888888889</v>
      </c>
      <c r="H1008" s="1">
        <v>16.0</v>
      </c>
      <c r="I1008" s="5">
        <v>0.8715277777777778</v>
      </c>
      <c r="J1008" s="1" t="str">
        <f t="array" ref="J1008">XLOOKUP(B1008,cat!B:B,cat!C:C)</f>
        <v>D</v>
      </c>
      <c r="K1008" s="1">
        <f t="array" ref="K1008">XLOOKUP(B1008,cat!B:B,cat!D:D)</f>
        <v>173</v>
      </c>
      <c r="L1008" s="7">
        <f t="shared" si="1"/>
        <v>0.03263888889</v>
      </c>
      <c r="M1008" s="7">
        <f t="shared" si="2"/>
        <v>0.008819444444</v>
      </c>
      <c r="P1008" s="9"/>
      <c r="Q1008" s="9">
        <f t="shared" si="3"/>
        <v>175.6833333</v>
      </c>
      <c r="R1008" s="1" t="str">
        <f t="shared" si="4"/>
        <v>IBE</v>
      </c>
      <c r="S1008" s="1" t="str">
        <f>IF($D1008="LEBL", IF(COUNTIF('Paises ECAC'!B:B, C1008)&gt;0, "ECAC","NO ECAC"), "")</f>
        <v>ECAC</v>
      </c>
    </row>
    <row r="1009" ht="14.25" customHeight="1">
      <c r="A1009" s="1" t="s">
        <v>1641</v>
      </c>
      <c r="B1009" s="1" t="s">
        <v>182</v>
      </c>
      <c r="C1009" s="1" t="s">
        <v>21</v>
      </c>
      <c r="D1009" s="1" t="s">
        <v>175</v>
      </c>
      <c r="E1009" s="1" t="s">
        <v>1344</v>
      </c>
      <c r="F1009" s="1">
        <v>390.0</v>
      </c>
      <c r="G1009" s="5">
        <v>0.8743055555555556</v>
      </c>
      <c r="H1009" s="1">
        <v>11.0</v>
      </c>
      <c r="I1009" s="5">
        <v>0.125</v>
      </c>
      <c r="J1009" s="1" t="str">
        <f t="array" ref="J1009">XLOOKUP(B1009,cat!B:B,cat!C:C)</f>
        <v>B</v>
      </c>
      <c r="K1009" s="1">
        <f t="array" ref="K1009">XLOOKUP(B1009,cat!B:B,cat!D:D)</f>
        <v>284</v>
      </c>
      <c r="L1009" s="7">
        <f t="shared" si="1"/>
        <v>0.2506944444</v>
      </c>
      <c r="M1009" s="1" t="str">
        <f t="shared" si="2"/>
        <v/>
      </c>
      <c r="P1009" s="9"/>
      <c r="Q1009" s="9">
        <f t="shared" si="3"/>
        <v>0</v>
      </c>
      <c r="R1009" s="1" t="str">
        <f t="shared" si="4"/>
        <v>ETD</v>
      </c>
      <c r="S1009" s="1" t="str">
        <f>IF($D1009="LEBL", IF(COUNTIF('Paises ECAC'!B:B, C1009)&gt;0, "ECAC","NO ECAC"), "")</f>
        <v/>
      </c>
    </row>
    <row r="1010" ht="14.25" customHeight="1">
      <c r="A1010" s="1" t="s">
        <v>1642</v>
      </c>
      <c r="B1010" s="1" t="s">
        <v>30</v>
      </c>
      <c r="C1010" s="1" t="s">
        <v>116</v>
      </c>
      <c r="D1010" s="1" t="s">
        <v>21</v>
      </c>
      <c r="E1010" s="1" t="s">
        <v>1643</v>
      </c>
      <c r="F1010" s="1">
        <v>370.0</v>
      </c>
      <c r="G1010" s="5">
        <v>0.80625</v>
      </c>
      <c r="H1010" s="1">
        <v>16.0</v>
      </c>
      <c r="I1010" s="5">
        <v>0.875</v>
      </c>
      <c r="J1010" s="1" t="str">
        <f t="array" ref="J1010">XLOOKUP(B1010,cat!B:B,cat!C:C)</f>
        <v>D</v>
      </c>
      <c r="K1010" s="1">
        <f t="array" ref="K1010">XLOOKUP(B1010,cat!B:B,cat!D:D)</f>
        <v>173</v>
      </c>
      <c r="L1010" s="7">
        <f t="shared" si="1"/>
        <v>0.06875</v>
      </c>
      <c r="M1010" s="7">
        <f t="shared" si="2"/>
        <v>0.04493055556</v>
      </c>
      <c r="P1010" s="9"/>
      <c r="Q1010" s="9">
        <f t="shared" si="3"/>
        <v>895.0166667</v>
      </c>
      <c r="R1010" s="1" t="str">
        <f t="shared" si="4"/>
        <v>AFR</v>
      </c>
      <c r="S1010" s="1" t="str">
        <f>IF($D1010="LEBL", IF(COUNTIF('Paises ECAC'!B:B, C1010)&gt;0, "ECAC","NO ECAC"), "")</f>
        <v>ECAC</v>
      </c>
    </row>
    <row r="1011" ht="14.25" customHeight="1">
      <c r="A1011" s="1" t="s">
        <v>1644</v>
      </c>
      <c r="B1011" s="1" t="s">
        <v>30</v>
      </c>
      <c r="C1011" s="1" t="s">
        <v>21</v>
      </c>
      <c r="D1011" s="1" t="s">
        <v>581</v>
      </c>
      <c r="E1011" s="1" t="s">
        <v>1566</v>
      </c>
      <c r="F1011" s="1">
        <v>380.0</v>
      </c>
      <c r="G1011" s="5">
        <v>0.8680555555555556</v>
      </c>
      <c r="H1011" s="1">
        <v>20.0</v>
      </c>
      <c r="I1011" s="5">
        <v>0.9513888888888888</v>
      </c>
      <c r="J1011" s="1" t="str">
        <f t="array" ref="J1011">XLOOKUP(B1011,cat!B:B,cat!C:C)</f>
        <v>D</v>
      </c>
      <c r="K1011" s="1">
        <f t="array" ref="K1011">XLOOKUP(B1011,cat!B:B,cat!D:D)</f>
        <v>173</v>
      </c>
      <c r="L1011" s="7">
        <f t="shared" si="1"/>
        <v>0.08333333333</v>
      </c>
      <c r="M1011" s="1" t="str">
        <f t="shared" si="2"/>
        <v/>
      </c>
      <c r="P1011" s="9"/>
      <c r="Q1011" s="9">
        <f t="shared" si="3"/>
        <v>0</v>
      </c>
      <c r="R1011" s="1" t="str">
        <f t="shared" si="4"/>
        <v>EZY</v>
      </c>
      <c r="S1011" s="1" t="str">
        <f>IF($D1011="LEBL", IF(COUNTIF('Paises ECAC'!B:B, C1011)&gt;0, "ECAC","NO ECAC"), "")</f>
        <v/>
      </c>
    </row>
    <row r="1012" ht="14.25" customHeight="1">
      <c r="A1012" s="1" t="s">
        <v>1645</v>
      </c>
      <c r="B1012" s="1" t="s">
        <v>30</v>
      </c>
      <c r="C1012" s="1" t="s">
        <v>274</v>
      </c>
      <c r="D1012" s="1" t="s">
        <v>21</v>
      </c>
      <c r="E1012" s="1" t="s">
        <v>1646</v>
      </c>
      <c r="F1012" s="1">
        <v>290.0</v>
      </c>
      <c r="G1012" s="5">
        <v>0.7895833333333333</v>
      </c>
      <c r="H1012" s="1">
        <v>33.0</v>
      </c>
      <c r="I1012" s="5">
        <v>0.875</v>
      </c>
      <c r="J1012" s="1" t="str">
        <f t="array" ref="J1012">XLOOKUP(B1012,cat!B:B,cat!C:C)</f>
        <v>D</v>
      </c>
      <c r="K1012" s="1">
        <f t="array" ref="K1012">XLOOKUP(B1012,cat!B:B,cat!D:D)</f>
        <v>173</v>
      </c>
      <c r="L1012" s="7">
        <f t="shared" si="1"/>
        <v>0.08541666667</v>
      </c>
      <c r="M1012" s="7">
        <f t="shared" si="2"/>
        <v>0.04979166667</v>
      </c>
      <c r="P1012" s="9"/>
      <c r="Q1012" s="9">
        <f t="shared" si="3"/>
        <v>991.85</v>
      </c>
      <c r="R1012" s="1" t="str">
        <f t="shared" si="4"/>
        <v>BAW</v>
      </c>
      <c r="S1012" s="1" t="str">
        <f>IF($D1012="LEBL", IF(COUNTIF('Paises ECAC'!B:B, C1012)&gt;0, "ECAC","NO ECAC"), "")</f>
        <v>ECAC</v>
      </c>
    </row>
    <row r="1013" ht="14.25" customHeight="1">
      <c r="A1013" s="1" t="s">
        <v>1647</v>
      </c>
      <c r="B1013" s="1" t="s">
        <v>25</v>
      </c>
      <c r="C1013" s="1" t="s">
        <v>21</v>
      </c>
      <c r="D1013" s="1" t="s">
        <v>1232</v>
      </c>
      <c r="E1013" s="1" t="s">
        <v>1549</v>
      </c>
      <c r="F1013" s="1">
        <v>380.0</v>
      </c>
      <c r="G1013" s="5">
        <v>0.8743055555555556</v>
      </c>
      <c r="H1013" s="1">
        <v>20.0</v>
      </c>
      <c r="I1013" s="5">
        <v>0.03819444444444445</v>
      </c>
      <c r="J1013" s="1" t="str">
        <f t="array" ref="J1013">XLOOKUP(B1013,cat!B:B,cat!C:C)</f>
        <v>D</v>
      </c>
      <c r="K1013" s="1">
        <f t="array" ref="K1013">XLOOKUP(B1013,cat!B:B,cat!D:D)</f>
        <v>180</v>
      </c>
      <c r="L1013" s="7">
        <f t="shared" si="1"/>
        <v>0.1638888889</v>
      </c>
      <c r="M1013" s="1" t="str">
        <f t="shared" si="2"/>
        <v/>
      </c>
      <c r="P1013" s="9"/>
      <c r="Q1013" s="9">
        <f t="shared" si="3"/>
        <v>0</v>
      </c>
      <c r="R1013" s="1" t="str">
        <f t="shared" si="4"/>
        <v>FPY</v>
      </c>
      <c r="S1013" s="1" t="str">
        <f>IF($D1013="LEBL", IF(COUNTIF('Paises ECAC'!B:B, C1013)&gt;0, "ECAC","NO ECAC"), "")</f>
        <v/>
      </c>
    </row>
    <row r="1014" ht="14.25" customHeight="1">
      <c r="A1014" s="1" t="s">
        <v>1648</v>
      </c>
      <c r="B1014" s="1" t="s">
        <v>30</v>
      </c>
      <c r="C1014" s="1" t="s">
        <v>509</v>
      </c>
      <c r="D1014" s="1" t="s">
        <v>21</v>
      </c>
      <c r="E1014" s="1" t="s">
        <v>114</v>
      </c>
      <c r="F1014" s="1">
        <v>390.0</v>
      </c>
      <c r="G1014" s="5">
        <v>0.7958333333333333</v>
      </c>
      <c r="H1014" s="1">
        <v>11.0</v>
      </c>
      <c r="I1014" s="5">
        <v>0.875</v>
      </c>
      <c r="J1014" s="1" t="str">
        <f t="array" ref="J1014">XLOOKUP(B1014,cat!B:B,cat!C:C)</f>
        <v>D</v>
      </c>
      <c r="K1014" s="1">
        <f t="array" ref="K1014">XLOOKUP(B1014,cat!B:B,cat!D:D)</f>
        <v>173</v>
      </c>
      <c r="L1014" s="7">
        <f t="shared" si="1"/>
        <v>0.07916666667</v>
      </c>
      <c r="M1014" s="7">
        <f t="shared" si="2"/>
        <v>0.05881944444</v>
      </c>
      <c r="P1014" s="9"/>
      <c r="Q1014" s="9">
        <f t="shared" si="3"/>
        <v>1171.683333</v>
      </c>
      <c r="R1014" s="1" t="str">
        <f t="shared" si="4"/>
        <v>VLG</v>
      </c>
      <c r="S1014" s="1" t="str">
        <f>IF($D1014="LEBL", IF(COUNTIF('Paises ECAC'!B:B, C1014)&gt;0, "ECAC","NO ECAC"), "")</f>
        <v>ECAC</v>
      </c>
    </row>
    <row r="1015" ht="14.25" customHeight="1">
      <c r="A1015" s="1" t="s">
        <v>1649</v>
      </c>
      <c r="B1015" s="1" t="s">
        <v>30</v>
      </c>
      <c r="C1015" s="1" t="s">
        <v>21</v>
      </c>
      <c r="D1015" s="1" t="s">
        <v>1362</v>
      </c>
      <c r="E1015" s="1" t="s">
        <v>870</v>
      </c>
      <c r="F1015" s="1">
        <v>330.0</v>
      </c>
      <c r="G1015" s="5">
        <v>0.8694444444444445</v>
      </c>
      <c r="H1015" s="1">
        <v>12.0</v>
      </c>
      <c r="I1015" s="5">
        <v>0.9097222222222222</v>
      </c>
      <c r="J1015" s="1" t="str">
        <f t="array" ref="J1015">XLOOKUP(B1015,cat!B:B,cat!C:C)</f>
        <v>D</v>
      </c>
      <c r="K1015" s="1">
        <f t="array" ref="K1015">XLOOKUP(B1015,cat!B:B,cat!D:D)</f>
        <v>173</v>
      </c>
      <c r="L1015" s="7">
        <f t="shared" si="1"/>
        <v>0.04027777778</v>
      </c>
      <c r="M1015" s="1" t="str">
        <f t="shared" si="2"/>
        <v/>
      </c>
      <c r="P1015" s="9"/>
      <c r="Q1015" s="9">
        <f t="shared" si="3"/>
        <v>0</v>
      </c>
      <c r="R1015" s="1" t="str">
        <f t="shared" si="4"/>
        <v>VLG</v>
      </c>
      <c r="S1015" s="1" t="str">
        <f>IF($D1015="LEBL", IF(COUNTIF('Paises ECAC'!B:B, C1015)&gt;0, "ECAC","NO ECAC"), "")</f>
        <v/>
      </c>
    </row>
    <row r="1016" ht="14.25" customHeight="1">
      <c r="A1016" s="1" t="s">
        <v>1650</v>
      </c>
      <c r="B1016" s="1" t="s">
        <v>19</v>
      </c>
      <c r="C1016" s="1" t="s">
        <v>1250</v>
      </c>
      <c r="D1016" s="1" t="s">
        <v>21</v>
      </c>
      <c r="E1016" s="1" t="s">
        <v>149</v>
      </c>
      <c r="F1016" s="1">
        <v>360.0</v>
      </c>
      <c r="G1016" s="5">
        <v>0.7881944444444444</v>
      </c>
      <c r="H1016" s="1">
        <v>15.0</v>
      </c>
      <c r="I1016" s="5">
        <v>0.8784722222222222</v>
      </c>
      <c r="J1016" s="1" t="str">
        <f t="array" ref="J1016">XLOOKUP(B1016,cat!B:B,cat!C:C)</f>
        <v>D</v>
      </c>
      <c r="K1016" s="1">
        <f t="array" ref="K1016">XLOOKUP(B1016,cat!B:B,cat!D:D)</f>
        <v>184</v>
      </c>
      <c r="L1016" s="7">
        <f t="shared" si="1"/>
        <v>0.09027777778</v>
      </c>
      <c r="M1016" s="7">
        <f t="shared" si="2"/>
        <v>0.06715277778</v>
      </c>
      <c r="P1016" s="9"/>
      <c r="Q1016" s="9">
        <f t="shared" si="3"/>
        <v>1337.683333</v>
      </c>
      <c r="R1016" s="1" t="str">
        <f t="shared" si="4"/>
        <v>RYR</v>
      </c>
      <c r="S1016" s="1" t="str">
        <f>IF($D1016="LEBL", IF(COUNTIF('Paises ECAC'!B:B, C1016)&gt;0, "ECAC","NO ECAC"), "")</f>
        <v>ECAC</v>
      </c>
    </row>
    <row r="1017" ht="14.25" customHeight="1">
      <c r="A1017" s="1" t="s">
        <v>1651</v>
      </c>
      <c r="B1017" s="1" t="s">
        <v>212</v>
      </c>
      <c r="C1017" s="1" t="s">
        <v>21</v>
      </c>
      <c r="D1017" s="1" t="s">
        <v>452</v>
      </c>
      <c r="E1017" s="1" t="s">
        <v>1558</v>
      </c>
      <c r="F1017" s="1">
        <v>360.0</v>
      </c>
      <c r="G1017" s="5">
        <v>0.8791666666666667</v>
      </c>
      <c r="H1017" s="1">
        <v>21.0</v>
      </c>
      <c r="I1017" s="5">
        <v>0.9583333333333334</v>
      </c>
      <c r="J1017" s="1" t="str">
        <f t="array" ref="J1017">XLOOKUP(B1017,cat!B:B,cat!C:C)</f>
        <v>D</v>
      </c>
      <c r="K1017" s="1">
        <f t="array" ref="K1017">XLOOKUP(B1017,cat!B:B,cat!D:D)</f>
        <v>200</v>
      </c>
      <c r="L1017" s="7">
        <f t="shared" si="1"/>
        <v>0.07916666667</v>
      </c>
      <c r="M1017" s="1" t="str">
        <f t="shared" si="2"/>
        <v/>
      </c>
      <c r="P1017" s="9"/>
      <c r="Q1017" s="9">
        <f t="shared" si="3"/>
        <v>0</v>
      </c>
      <c r="R1017" s="1" t="str">
        <f t="shared" si="4"/>
        <v>WMT</v>
      </c>
      <c r="S1017" s="1" t="str">
        <f>IF($D1017="LEBL", IF(COUNTIF('Paises ECAC'!B:B, C1017)&gt;0, "ECAC","NO ECAC"), "")</f>
        <v/>
      </c>
    </row>
    <row r="1018" ht="14.25" customHeight="1">
      <c r="A1018" s="1" t="s">
        <v>1652</v>
      </c>
      <c r="B1018" s="1" t="s">
        <v>212</v>
      </c>
      <c r="C1018" s="1" t="s">
        <v>581</v>
      </c>
      <c r="D1018" s="1" t="s">
        <v>21</v>
      </c>
      <c r="E1018" s="1" t="s">
        <v>288</v>
      </c>
      <c r="F1018" s="1">
        <v>350.0</v>
      </c>
      <c r="G1018" s="5">
        <v>0.7986111111111112</v>
      </c>
      <c r="H1018" s="1">
        <v>17.0</v>
      </c>
      <c r="I1018" s="5">
        <v>0.8784722222222222</v>
      </c>
      <c r="J1018" s="1" t="str">
        <f t="array" ref="J1018">XLOOKUP(B1018,cat!B:B,cat!C:C)</f>
        <v>D</v>
      </c>
      <c r="K1018" s="1">
        <f t="array" ref="K1018">XLOOKUP(B1018,cat!B:B,cat!D:D)</f>
        <v>200</v>
      </c>
      <c r="L1018" s="7">
        <f t="shared" si="1"/>
        <v>0.07986111111</v>
      </c>
      <c r="M1018" s="7">
        <f t="shared" si="2"/>
        <v>0.05534722222</v>
      </c>
      <c r="P1018" s="9"/>
      <c r="Q1018" s="9">
        <f t="shared" si="3"/>
        <v>1102.516667</v>
      </c>
      <c r="R1018" s="1" t="str">
        <f t="shared" si="4"/>
        <v>VLG</v>
      </c>
      <c r="S1018" s="1" t="str">
        <f>IF($D1018="LEBL", IF(COUNTIF('Paises ECAC'!B:B, C1018)&gt;0, "ECAC","NO ECAC"), "")</f>
        <v>ECAC</v>
      </c>
    </row>
    <row r="1019" ht="14.25" customHeight="1">
      <c r="A1019" s="1" t="s">
        <v>1653</v>
      </c>
      <c r="B1019" s="1" t="s">
        <v>19</v>
      </c>
      <c r="C1019" s="1" t="s">
        <v>21</v>
      </c>
      <c r="D1019" s="1" t="s">
        <v>448</v>
      </c>
      <c r="E1019" s="1" t="s">
        <v>1553</v>
      </c>
      <c r="F1019" s="1">
        <v>380.0</v>
      </c>
      <c r="G1019" s="5">
        <v>0.8854166666666666</v>
      </c>
      <c r="H1019" s="1">
        <v>20.0</v>
      </c>
      <c r="I1019" s="5">
        <v>0.9548611111111112</v>
      </c>
      <c r="J1019" s="1" t="str">
        <f t="array" ref="J1019">XLOOKUP(B1019,cat!B:B,cat!C:C)</f>
        <v>D</v>
      </c>
      <c r="K1019" s="1">
        <f t="array" ref="K1019">XLOOKUP(B1019,cat!B:B,cat!D:D)</f>
        <v>184</v>
      </c>
      <c r="L1019" s="7">
        <f t="shared" si="1"/>
        <v>0.06944444444</v>
      </c>
      <c r="M1019" s="1" t="str">
        <f t="shared" si="2"/>
        <v/>
      </c>
      <c r="P1019" s="9"/>
      <c r="Q1019" s="9">
        <f t="shared" si="3"/>
        <v>0</v>
      </c>
      <c r="R1019" s="1" t="str">
        <f t="shared" si="4"/>
        <v>RYR</v>
      </c>
      <c r="S1019" s="1" t="str">
        <f>IF($D1019="LEBL", IF(COUNTIF('Paises ECAC'!B:B, C1019)&gt;0, "ECAC","NO ECAC"), "")</f>
        <v/>
      </c>
    </row>
    <row r="1020" ht="14.25" customHeight="1">
      <c r="A1020" s="1" t="s">
        <v>1654</v>
      </c>
      <c r="B1020" s="1" t="s">
        <v>25</v>
      </c>
      <c r="C1020" s="1" t="s">
        <v>140</v>
      </c>
      <c r="D1020" s="1" t="s">
        <v>21</v>
      </c>
      <c r="E1020" s="1" t="s">
        <v>1655</v>
      </c>
      <c r="F1020" s="1">
        <v>350.0</v>
      </c>
      <c r="G1020" s="5">
        <v>0.8194444444444444</v>
      </c>
      <c r="H1020" s="1">
        <v>15.0</v>
      </c>
      <c r="I1020" s="5">
        <v>0.8819444444444444</v>
      </c>
      <c r="J1020" s="1" t="str">
        <f t="array" ref="J1020">XLOOKUP(B1020,cat!B:B,cat!C:C)</f>
        <v>D</v>
      </c>
      <c r="K1020" s="1">
        <f t="array" ref="K1020">XLOOKUP(B1020,cat!B:B,cat!D:D)</f>
        <v>180</v>
      </c>
      <c r="L1020" s="7">
        <f t="shared" si="1"/>
        <v>0.0625</v>
      </c>
      <c r="M1020" s="7">
        <f t="shared" si="2"/>
        <v>0.039375</v>
      </c>
      <c r="P1020" s="9"/>
      <c r="Q1020" s="9">
        <f t="shared" si="3"/>
        <v>784.35</v>
      </c>
      <c r="R1020" s="1" t="str">
        <f t="shared" si="4"/>
        <v>ITY</v>
      </c>
      <c r="S1020" s="1" t="str">
        <f>IF($D1020="LEBL", IF(COUNTIF('Paises ECAC'!B:B, C1020)&gt;0, "ECAC","NO ECAC"), "")</f>
        <v>ECAC</v>
      </c>
    </row>
    <row r="1021" ht="14.25" customHeight="1">
      <c r="A1021" s="1" t="s">
        <v>1656</v>
      </c>
      <c r="B1021" s="1" t="s">
        <v>30</v>
      </c>
      <c r="C1021" s="1" t="s">
        <v>21</v>
      </c>
      <c r="D1021" s="1" t="s">
        <v>335</v>
      </c>
      <c r="E1021" s="1" t="s">
        <v>1590</v>
      </c>
      <c r="F1021" s="1">
        <v>360.0</v>
      </c>
      <c r="G1021" s="5">
        <v>0.8791666666666667</v>
      </c>
      <c r="H1021" s="1">
        <v>21.0</v>
      </c>
      <c r="I1021" s="5">
        <v>0.9548611111111112</v>
      </c>
      <c r="J1021" s="1" t="str">
        <f t="array" ref="J1021">XLOOKUP(B1021,cat!B:B,cat!C:C)</f>
        <v>D</v>
      </c>
      <c r="K1021" s="1">
        <f t="array" ref="K1021">XLOOKUP(B1021,cat!B:B,cat!D:D)</f>
        <v>173</v>
      </c>
      <c r="L1021" s="7">
        <f t="shared" si="1"/>
        <v>0.07569444444</v>
      </c>
      <c r="M1021" s="1" t="str">
        <f t="shared" si="2"/>
        <v/>
      </c>
      <c r="P1021" s="9"/>
      <c r="Q1021" s="9">
        <f t="shared" si="3"/>
        <v>0</v>
      </c>
      <c r="R1021" s="1" t="str">
        <f t="shared" si="4"/>
        <v>EZY</v>
      </c>
      <c r="S1021" s="1" t="str">
        <f>IF($D1021="LEBL", IF(COUNTIF('Paises ECAC'!B:B, C1021)&gt;0, "ECAC","NO ECAC"), "")</f>
        <v/>
      </c>
    </row>
    <row r="1022" ht="14.25" customHeight="1">
      <c r="A1022" s="1" t="s">
        <v>1657</v>
      </c>
      <c r="B1022" s="1" t="s">
        <v>19</v>
      </c>
      <c r="C1022" s="1" t="s">
        <v>524</v>
      </c>
      <c r="D1022" s="1" t="s">
        <v>21</v>
      </c>
      <c r="E1022" s="1" t="s">
        <v>130</v>
      </c>
      <c r="F1022" s="1">
        <v>370.0</v>
      </c>
      <c r="G1022" s="5">
        <v>0.78125</v>
      </c>
      <c r="H1022" s="1">
        <v>13.0</v>
      </c>
      <c r="I1022" s="5">
        <v>0.8819444444444444</v>
      </c>
      <c r="J1022" s="1" t="str">
        <f t="array" ref="J1022">XLOOKUP(B1022,cat!B:B,cat!C:C)</f>
        <v>D</v>
      </c>
      <c r="K1022" s="1">
        <f t="array" ref="K1022">XLOOKUP(B1022,cat!B:B,cat!D:D)</f>
        <v>184</v>
      </c>
      <c r="L1022" s="7">
        <f t="shared" si="1"/>
        <v>0.1006944444</v>
      </c>
      <c r="M1022" s="7">
        <f t="shared" si="2"/>
        <v>0.07895833333</v>
      </c>
      <c r="P1022" s="9"/>
      <c r="Q1022" s="9">
        <f t="shared" si="3"/>
        <v>1572.85</v>
      </c>
      <c r="R1022" s="1" t="str">
        <f t="shared" si="4"/>
        <v>RYR</v>
      </c>
      <c r="S1022" s="1" t="str">
        <f>IF($D1022="LEBL", IF(COUNTIF('Paises ECAC'!B:B, C1022)&gt;0, "ECAC","NO ECAC"), "")</f>
        <v>ECAC</v>
      </c>
    </row>
    <row r="1023" ht="14.25" customHeight="1">
      <c r="A1023" s="1" t="s">
        <v>1658</v>
      </c>
      <c r="B1023" s="1" t="s">
        <v>30</v>
      </c>
      <c r="C1023" s="1" t="s">
        <v>21</v>
      </c>
      <c r="D1023" s="1" t="s">
        <v>1562</v>
      </c>
      <c r="E1023" s="1" t="s">
        <v>1563</v>
      </c>
      <c r="F1023" s="1">
        <v>370.0</v>
      </c>
      <c r="G1023" s="5">
        <v>0.8854166666666666</v>
      </c>
      <c r="H1023" s="1">
        <v>5.0</v>
      </c>
      <c r="I1023" s="5">
        <v>0.9375</v>
      </c>
      <c r="J1023" s="1" t="str">
        <f t="array" ref="J1023">XLOOKUP(B1023,cat!B:B,cat!C:C)</f>
        <v>D</v>
      </c>
      <c r="K1023" s="1">
        <f t="array" ref="K1023">XLOOKUP(B1023,cat!B:B,cat!D:D)</f>
        <v>173</v>
      </c>
      <c r="L1023" s="7">
        <f t="shared" si="1"/>
        <v>0.05208333333</v>
      </c>
      <c r="M1023" s="1" t="str">
        <f t="shared" si="2"/>
        <v/>
      </c>
      <c r="P1023" s="9"/>
      <c r="Q1023" s="9">
        <f t="shared" si="3"/>
        <v>0</v>
      </c>
      <c r="R1023" s="1" t="str">
        <f t="shared" si="4"/>
        <v>LBT</v>
      </c>
      <c r="S1023" s="1" t="str">
        <f>IF($D1023="LEBL", IF(COUNTIF('Paises ECAC'!B:B, C1023)&gt;0, "ECAC","NO ECAC"), "")</f>
        <v/>
      </c>
    </row>
    <row r="1024" ht="14.25" customHeight="1">
      <c r="A1024" s="1" t="s">
        <v>1659</v>
      </c>
      <c r="B1024" s="1" t="s">
        <v>30</v>
      </c>
      <c r="C1024" s="1" t="s">
        <v>227</v>
      </c>
      <c r="D1024" s="1" t="s">
        <v>21</v>
      </c>
      <c r="E1024" s="1" t="s">
        <v>1660</v>
      </c>
      <c r="F1024" s="1">
        <v>370.0</v>
      </c>
      <c r="G1024" s="5">
        <v>0.8194444444444444</v>
      </c>
      <c r="H1024" s="1">
        <v>14.0</v>
      </c>
      <c r="I1024" s="5">
        <v>0.8819444444444444</v>
      </c>
      <c r="J1024" s="1" t="str">
        <f t="array" ref="J1024">XLOOKUP(B1024,cat!B:B,cat!C:C)</f>
        <v>D</v>
      </c>
      <c r="K1024" s="1">
        <f t="array" ref="K1024">XLOOKUP(B1024,cat!B:B,cat!D:D)</f>
        <v>173</v>
      </c>
      <c r="L1024" s="7">
        <f t="shared" si="1"/>
        <v>0.0625</v>
      </c>
      <c r="M1024" s="7">
        <f t="shared" si="2"/>
        <v>0.04006944444</v>
      </c>
      <c r="P1024" s="9"/>
      <c r="Q1024" s="9">
        <f t="shared" si="3"/>
        <v>798.1833333</v>
      </c>
      <c r="R1024" s="1" t="str">
        <f t="shared" si="4"/>
        <v>DLH</v>
      </c>
      <c r="S1024" s="1" t="str">
        <f>IF($D1024="LEBL", IF(COUNTIF('Paises ECAC'!B:B, C1024)&gt;0, "ECAC","NO ECAC"), "")</f>
        <v>ECAC</v>
      </c>
    </row>
    <row r="1025" ht="14.25" customHeight="1">
      <c r="A1025" s="1" t="s">
        <v>1661</v>
      </c>
      <c r="B1025" s="1" t="s">
        <v>30</v>
      </c>
      <c r="C1025" s="1" t="s">
        <v>21</v>
      </c>
      <c r="D1025" s="1" t="s">
        <v>322</v>
      </c>
      <c r="E1025" s="1" t="s">
        <v>1607</v>
      </c>
      <c r="F1025" s="1">
        <v>350.0</v>
      </c>
      <c r="G1025" s="5">
        <v>0.8777777777777778</v>
      </c>
      <c r="H1025" s="1">
        <v>11.0</v>
      </c>
      <c r="I1025" s="5">
        <v>0.9305555555555556</v>
      </c>
      <c r="J1025" s="1" t="str">
        <f t="array" ref="J1025">XLOOKUP(B1025,cat!B:B,cat!C:C)</f>
        <v>D</v>
      </c>
      <c r="K1025" s="1">
        <f t="array" ref="K1025">XLOOKUP(B1025,cat!B:B,cat!D:D)</f>
        <v>173</v>
      </c>
      <c r="L1025" s="7">
        <f t="shared" si="1"/>
        <v>0.05277777778</v>
      </c>
      <c r="M1025" s="1" t="str">
        <f t="shared" si="2"/>
        <v/>
      </c>
      <c r="P1025" s="9"/>
      <c r="Q1025" s="9">
        <f t="shared" si="3"/>
        <v>0</v>
      </c>
      <c r="R1025" s="1" t="str">
        <f t="shared" si="4"/>
        <v>VLG</v>
      </c>
      <c r="S1025" s="1" t="str">
        <f>IF($D1025="LEBL", IF(COUNTIF('Paises ECAC'!B:B, C1025)&gt;0, "ECAC","NO ECAC"), "")</f>
        <v/>
      </c>
    </row>
    <row r="1026" ht="14.25" customHeight="1">
      <c r="A1026" s="1" t="s">
        <v>1662</v>
      </c>
      <c r="B1026" s="1" t="s">
        <v>25</v>
      </c>
      <c r="C1026" s="1" t="s">
        <v>156</v>
      </c>
      <c r="D1026" s="1" t="s">
        <v>21</v>
      </c>
      <c r="E1026" s="1" t="s">
        <v>362</v>
      </c>
      <c r="F1026" s="1">
        <v>180.0</v>
      </c>
      <c r="G1026" s="5">
        <v>0.8625</v>
      </c>
      <c r="H1026" s="1">
        <v>17.0</v>
      </c>
      <c r="I1026" s="5">
        <v>0.8854166666666666</v>
      </c>
      <c r="J1026" s="1" t="str">
        <f t="array" ref="J1026">XLOOKUP(B1026,cat!B:B,cat!C:C)</f>
        <v>D</v>
      </c>
      <c r="K1026" s="1">
        <f t="array" ref="K1026">XLOOKUP(B1026,cat!B:B,cat!D:D)</f>
        <v>180</v>
      </c>
      <c r="L1026" s="7">
        <f t="shared" si="1"/>
        <v>0.02291666667</v>
      </c>
      <c r="M1026" s="7">
        <f t="shared" si="2"/>
        <v>0.01111111111</v>
      </c>
      <c r="P1026" s="9"/>
      <c r="Q1026" s="9">
        <f t="shared" si="3"/>
        <v>221.3333333</v>
      </c>
      <c r="R1026" s="1" t="str">
        <f t="shared" si="4"/>
        <v>VLG</v>
      </c>
      <c r="S1026" s="1" t="str">
        <f>IF($D1026="LEBL", IF(COUNTIF('Paises ECAC'!B:B, C1026)&gt;0, "ECAC","NO ECAC"), "")</f>
        <v>ECAC</v>
      </c>
    </row>
    <row r="1027" ht="14.25" customHeight="1">
      <c r="A1027" s="1" t="s">
        <v>1663</v>
      </c>
      <c r="B1027" s="1" t="s">
        <v>30</v>
      </c>
      <c r="C1027" s="1" t="s">
        <v>53</v>
      </c>
      <c r="D1027" s="1" t="s">
        <v>21</v>
      </c>
      <c r="E1027" s="1" t="s">
        <v>252</v>
      </c>
      <c r="F1027" s="1">
        <v>360.0</v>
      </c>
      <c r="G1027" s="5">
        <v>0.8090277777777778</v>
      </c>
      <c r="H1027" s="1">
        <v>16.0</v>
      </c>
      <c r="I1027" s="5">
        <v>0.8854166666666666</v>
      </c>
      <c r="J1027" s="1" t="str">
        <f t="array" ref="J1027">XLOOKUP(B1027,cat!B:B,cat!C:C)</f>
        <v>D</v>
      </c>
      <c r="K1027" s="1">
        <f t="array" ref="K1027">XLOOKUP(B1027,cat!B:B,cat!D:D)</f>
        <v>173</v>
      </c>
      <c r="L1027" s="7">
        <f t="shared" si="1"/>
        <v>0.07638888889</v>
      </c>
      <c r="M1027" s="7">
        <f t="shared" si="2"/>
        <v>0.05256944444</v>
      </c>
      <c r="P1027" s="9"/>
      <c r="Q1027" s="9">
        <f t="shared" si="3"/>
        <v>1047.183333</v>
      </c>
      <c r="R1027" s="1" t="str">
        <f t="shared" si="4"/>
        <v>VLG</v>
      </c>
      <c r="S1027" s="1" t="str">
        <f>IF($D1027="LEBL", IF(COUNTIF('Paises ECAC'!B:B, C1027)&gt;0, "ECAC","NO ECAC"), "")</f>
        <v>ECAC</v>
      </c>
    </row>
    <row r="1028" ht="14.25" customHeight="1">
      <c r="A1028" s="1" t="s">
        <v>1664</v>
      </c>
      <c r="B1028" s="1" t="s">
        <v>19</v>
      </c>
      <c r="C1028" s="1" t="s">
        <v>21</v>
      </c>
      <c r="D1028" s="1" t="s">
        <v>91</v>
      </c>
      <c r="E1028" s="1" t="s">
        <v>1587</v>
      </c>
      <c r="F1028" s="1">
        <v>270.0</v>
      </c>
      <c r="G1028" s="5">
        <v>0.8868055555555555</v>
      </c>
      <c r="H1028" s="1">
        <v>12.0</v>
      </c>
      <c r="I1028" s="5">
        <v>0.9305555555555556</v>
      </c>
      <c r="J1028" s="1" t="str">
        <f t="array" ref="J1028">XLOOKUP(B1028,cat!B:B,cat!C:C)</f>
        <v>D</v>
      </c>
      <c r="K1028" s="1">
        <f t="array" ref="K1028">XLOOKUP(B1028,cat!B:B,cat!D:D)</f>
        <v>184</v>
      </c>
      <c r="L1028" s="7">
        <f t="shared" si="1"/>
        <v>0.04375</v>
      </c>
      <c r="M1028" s="1" t="str">
        <f t="shared" si="2"/>
        <v/>
      </c>
      <c r="P1028" s="9"/>
      <c r="Q1028" s="9">
        <f t="shared" si="3"/>
        <v>0</v>
      </c>
      <c r="R1028" s="1" t="str">
        <f t="shared" si="4"/>
        <v>DAH</v>
      </c>
      <c r="S1028" s="1" t="str">
        <f>IF($D1028="LEBL", IF(COUNTIF('Paises ECAC'!B:B, C1028)&gt;0, "ECAC","NO ECAC"), "")</f>
        <v/>
      </c>
    </row>
    <row r="1029" ht="14.25" customHeight="1">
      <c r="A1029" s="1" t="s">
        <v>1665</v>
      </c>
      <c r="B1029" s="1" t="s">
        <v>1666</v>
      </c>
      <c r="C1029" s="1" t="s">
        <v>1667</v>
      </c>
      <c r="D1029" s="1" t="s">
        <v>21</v>
      </c>
      <c r="E1029" s="1" t="s">
        <v>1668</v>
      </c>
      <c r="F1029" s="1">
        <v>430.0</v>
      </c>
      <c r="G1029" s="5">
        <v>0.7583333333333333</v>
      </c>
      <c r="H1029" s="1">
        <v>7.0</v>
      </c>
      <c r="I1029" s="5">
        <v>0.8888888888888888</v>
      </c>
      <c r="J1029" s="1" t="str">
        <f t="array" ref="J1029">XLOOKUP(B1029,cat!B:B,cat!C:C)</f>
        <v>F</v>
      </c>
      <c r="K1029" s="1">
        <f t="array" ref="K1029">XLOOKUP(B1029,cat!B:B,cat!D:D)</f>
        <v>8</v>
      </c>
      <c r="L1029" s="7">
        <f t="shared" si="1"/>
        <v>0.1305555556</v>
      </c>
      <c r="M1029" s="7">
        <f t="shared" si="2"/>
        <v>0.1129861111</v>
      </c>
      <c r="P1029" s="9"/>
      <c r="Q1029" s="9">
        <f t="shared" si="3"/>
        <v>488.1</v>
      </c>
      <c r="R1029" s="1" t="str">
        <f t="shared" si="4"/>
        <v>EOA</v>
      </c>
      <c r="S1029" s="1" t="str">
        <f>IF($D1029="LEBL", IF(COUNTIF('Paises ECAC'!B:B, C1029)&gt;0, "ECAC","NO ECAC"), "")</f>
        <v>ECAC</v>
      </c>
    </row>
    <row r="1030" ht="14.25" customHeight="1">
      <c r="A1030" s="1" t="s">
        <v>1669</v>
      </c>
      <c r="B1030" s="1" t="s">
        <v>212</v>
      </c>
      <c r="C1030" s="1" t="s">
        <v>21</v>
      </c>
      <c r="D1030" s="1" t="s">
        <v>377</v>
      </c>
      <c r="E1030" s="1" t="s">
        <v>1596</v>
      </c>
      <c r="F1030" s="1">
        <v>360.0</v>
      </c>
      <c r="G1030" s="5">
        <v>0.8881944444444444</v>
      </c>
      <c r="H1030" s="1">
        <v>0.0</v>
      </c>
      <c r="I1030" s="5">
        <v>0.96875</v>
      </c>
      <c r="J1030" s="1" t="str">
        <f t="array" ref="J1030">XLOOKUP(B1030,cat!B:B,cat!C:C)</f>
        <v>D</v>
      </c>
      <c r="K1030" s="1">
        <f t="array" ref="K1030">XLOOKUP(B1030,cat!B:B,cat!D:D)</f>
        <v>200</v>
      </c>
      <c r="L1030" s="7">
        <f t="shared" si="1"/>
        <v>0.08055555556</v>
      </c>
      <c r="M1030" s="1" t="str">
        <f t="shared" si="2"/>
        <v/>
      </c>
      <c r="P1030" s="9"/>
      <c r="Q1030" s="9">
        <f t="shared" si="3"/>
        <v>0</v>
      </c>
      <c r="R1030" s="1" t="str">
        <f t="shared" si="4"/>
        <v>WMT</v>
      </c>
      <c r="S1030" s="1" t="str">
        <f>IF($D1030="LEBL", IF(COUNTIF('Paises ECAC'!B:B, C1030)&gt;0, "ECAC","NO ECAC"), "")</f>
        <v/>
      </c>
    </row>
    <row r="1031" ht="14.25" customHeight="1">
      <c r="A1031" s="1" t="s">
        <v>1670</v>
      </c>
      <c r="B1031" s="1" t="s">
        <v>19</v>
      </c>
      <c r="C1031" s="1" t="s">
        <v>1331</v>
      </c>
      <c r="D1031" s="1" t="s">
        <v>21</v>
      </c>
      <c r="E1031" s="1" t="s">
        <v>1215</v>
      </c>
      <c r="F1031" s="1">
        <v>380.0</v>
      </c>
      <c r="G1031" s="5">
        <v>0.8229166666666666</v>
      </c>
      <c r="H1031" s="1">
        <v>15.0</v>
      </c>
      <c r="I1031" s="5">
        <v>0.8888888888888888</v>
      </c>
      <c r="J1031" s="1" t="str">
        <f t="array" ref="J1031">XLOOKUP(B1031,cat!B:B,cat!C:C)</f>
        <v>D</v>
      </c>
      <c r="K1031" s="1">
        <f t="array" ref="K1031">XLOOKUP(B1031,cat!B:B,cat!D:D)</f>
        <v>184</v>
      </c>
      <c r="L1031" s="7">
        <f t="shared" si="1"/>
        <v>0.06597222222</v>
      </c>
      <c r="M1031" s="7">
        <f t="shared" si="2"/>
        <v>0.04284722222</v>
      </c>
      <c r="P1031" s="9"/>
      <c r="Q1031" s="9">
        <f t="shared" si="3"/>
        <v>853.5166667</v>
      </c>
      <c r="R1031" s="1" t="str">
        <f t="shared" si="4"/>
        <v>RYR</v>
      </c>
      <c r="S1031" s="1" t="str">
        <f>IF($D1031="LEBL", IF(COUNTIF('Paises ECAC'!B:B, C1031)&gt;0, "ECAC","NO ECAC"), "")</f>
        <v>NO ECAC</v>
      </c>
    </row>
    <row r="1032" ht="14.25" customHeight="1">
      <c r="A1032" s="1" t="s">
        <v>1671</v>
      </c>
      <c r="B1032" s="1" t="s">
        <v>35</v>
      </c>
      <c r="C1032" s="1" t="s">
        <v>21</v>
      </c>
      <c r="D1032" s="1" t="s">
        <v>245</v>
      </c>
      <c r="E1032" s="1" t="s">
        <v>1426</v>
      </c>
      <c r="F1032" s="1">
        <v>190.0</v>
      </c>
      <c r="G1032" s="5">
        <v>0.8881944444444444</v>
      </c>
      <c r="H1032" s="1">
        <v>9.0</v>
      </c>
      <c r="I1032" s="5">
        <v>0.9131944444444444</v>
      </c>
      <c r="J1032" s="1" t="str">
        <f t="array" ref="J1032">XLOOKUP(B1032,cat!B:B,cat!C:C)</f>
        <v>D</v>
      </c>
      <c r="K1032" s="1">
        <f t="array" ref="K1032">XLOOKUP(B1032,cat!B:B,cat!D:D)</f>
        <v>207</v>
      </c>
      <c r="L1032" s="7">
        <f t="shared" si="1"/>
        <v>0.025</v>
      </c>
      <c r="M1032" s="1" t="str">
        <f t="shared" si="2"/>
        <v/>
      </c>
      <c r="P1032" s="9"/>
      <c r="Q1032" s="9">
        <f t="shared" si="3"/>
        <v>0</v>
      </c>
      <c r="R1032" s="1" t="str">
        <f t="shared" si="4"/>
        <v>VLG</v>
      </c>
      <c r="S1032" s="1" t="str">
        <f>IF($D1032="LEBL", IF(COUNTIF('Paises ECAC'!B:B, C1032)&gt;0, "ECAC","NO ECAC"), "")</f>
        <v/>
      </c>
    </row>
    <row r="1033" ht="14.25" customHeight="1">
      <c r="A1033" s="1" t="s">
        <v>1672</v>
      </c>
      <c r="B1033" s="1" t="s">
        <v>35</v>
      </c>
      <c r="C1033" s="1" t="s">
        <v>169</v>
      </c>
      <c r="D1033" s="1" t="s">
        <v>21</v>
      </c>
      <c r="E1033" s="1" t="s">
        <v>299</v>
      </c>
      <c r="F1033" s="1">
        <v>350.0</v>
      </c>
      <c r="G1033" s="5">
        <v>0.8208333333333333</v>
      </c>
      <c r="H1033" s="1">
        <v>25.0</v>
      </c>
      <c r="I1033" s="5">
        <v>0.8888888888888888</v>
      </c>
      <c r="J1033" s="1" t="str">
        <f t="array" ref="J1033">XLOOKUP(B1033,cat!B:B,cat!C:C)</f>
        <v>D</v>
      </c>
      <c r="K1033" s="1">
        <f t="array" ref="K1033">XLOOKUP(B1033,cat!B:B,cat!D:D)</f>
        <v>207</v>
      </c>
      <c r="L1033" s="7">
        <f t="shared" si="1"/>
        <v>0.06805555556</v>
      </c>
      <c r="M1033" s="7">
        <f t="shared" si="2"/>
        <v>0.03798611111</v>
      </c>
      <c r="P1033" s="9"/>
      <c r="Q1033" s="9">
        <f t="shared" si="3"/>
        <v>756.6833333</v>
      </c>
      <c r="R1033" s="1" t="str">
        <f t="shared" si="4"/>
        <v>VLG</v>
      </c>
      <c r="S1033" s="1" t="str">
        <f>IF($D1033="LEBL", IF(COUNTIF('Paises ECAC'!B:B, C1033)&gt;0, "ECAC","NO ECAC"), "")</f>
        <v>ECAC</v>
      </c>
    </row>
    <row r="1034" ht="14.25" customHeight="1">
      <c r="A1034" s="1" t="s">
        <v>1673</v>
      </c>
      <c r="B1034" s="1" t="s">
        <v>30</v>
      </c>
      <c r="C1034" s="1" t="s">
        <v>21</v>
      </c>
      <c r="D1034" s="1" t="s">
        <v>41</v>
      </c>
      <c r="E1034" s="1" t="s">
        <v>1609</v>
      </c>
      <c r="F1034" s="1">
        <v>360.0</v>
      </c>
      <c r="G1034" s="5">
        <v>0.8923611111111112</v>
      </c>
      <c r="H1034" s="1">
        <v>20.0</v>
      </c>
      <c r="I1034" s="5">
        <v>0.9756944444444444</v>
      </c>
      <c r="J1034" s="1" t="str">
        <f t="array" ref="J1034">XLOOKUP(B1034,cat!B:B,cat!C:C)</f>
        <v>D</v>
      </c>
      <c r="K1034" s="1">
        <f t="array" ref="K1034">XLOOKUP(B1034,cat!B:B,cat!D:D)</f>
        <v>173</v>
      </c>
      <c r="L1034" s="7">
        <f t="shared" si="1"/>
        <v>0.08333333333</v>
      </c>
      <c r="M1034" s="1" t="str">
        <f t="shared" si="2"/>
        <v/>
      </c>
      <c r="P1034" s="9"/>
      <c r="Q1034" s="9">
        <f t="shared" si="3"/>
        <v>0</v>
      </c>
      <c r="R1034" s="1" t="str">
        <f t="shared" si="4"/>
        <v>EIN</v>
      </c>
      <c r="S1034" s="1" t="str">
        <f>IF($D1034="LEBL", IF(COUNTIF('Paises ECAC'!B:B, C1034)&gt;0, "ECAC","NO ECAC"), "")</f>
        <v/>
      </c>
    </row>
    <row r="1035" ht="14.25" customHeight="1">
      <c r="A1035" s="1" t="s">
        <v>1674</v>
      </c>
      <c r="B1035" s="1" t="s">
        <v>30</v>
      </c>
      <c r="C1035" s="1" t="s">
        <v>1562</v>
      </c>
      <c r="D1035" s="1" t="s">
        <v>21</v>
      </c>
      <c r="E1035" s="1" t="s">
        <v>1675</v>
      </c>
      <c r="F1035" s="1">
        <v>360.0</v>
      </c>
      <c r="G1035" s="5">
        <v>0.8263888888888888</v>
      </c>
      <c r="H1035" s="1">
        <v>10.0</v>
      </c>
      <c r="I1035" s="5">
        <v>0.8923611111111112</v>
      </c>
      <c r="J1035" s="1" t="str">
        <f t="array" ref="J1035">XLOOKUP(B1035,cat!B:B,cat!C:C)</f>
        <v>D</v>
      </c>
      <c r="K1035" s="1">
        <f t="array" ref="K1035">XLOOKUP(B1035,cat!B:B,cat!D:D)</f>
        <v>173</v>
      </c>
      <c r="L1035" s="7">
        <f t="shared" si="1"/>
        <v>0.06597222222</v>
      </c>
      <c r="M1035" s="7">
        <f t="shared" si="2"/>
        <v>0.04631944444</v>
      </c>
      <c r="P1035" s="9"/>
      <c r="Q1035" s="9">
        <f t="shared" si="3"/>
        <v>922.6833333</v>
      </c>
      <c r="R1035" s="1" t="str">
        <f t="shared" si="4"/>
        <v>TAR</v>
      </c>
      <c r="S1035" s="1" t="str">
        <f>IF($D1035="LEBL", IF(COUNTIF('Paises ECAC'!B:B, C1035)&gt;0, "ECAC","NO ECAC"), "")</f>
        <v>NO ECAC</v>
      </c>
    </row>
    <row r="1036" ht="14.25" customHeight="1">
      <c r="A1036" s="1" t="s">
        <v>1676</v>
      </c>
      <c r="B1036" s="1" t="s">
        <v>30</v>
      </c>
      <c r="C1036" s="1" t="s">
        <v>287</v>
      </c>
      <c r="D1036" s="1" t="s">
        <v>21</v>
      </c>
      <c r="E1036" s="1" t="s">
        <v>1347</v>
      </c>
      <c r="F1036" s="1">
        <v>370.0</v>
      </c>
      <c r="G1036" s="5">
        <v>0.8263888888888888</v>
      </c>
      <c r="H1036" s="1">
        <v>14.0</v>
      </c>
      <c r="I1036" s="5">
        <v>0.8923611111111112</v>
      </c>
      <c r="J1036" s="1" t="str">
        <f t="array" ref="J1036">XLOOKUP(B1036,cat!B:B,cat!C:C)</f>
        <v>D</v>
      </c>
      <c r="K1036" s="1">
        <f t="array" ref="K1036">XLOOKUP(B1036,cat!B:B,cat!D:D)</f>
        <v>173</v>
      </c>
      <c r="L1036" s="7">
        <f t="shared" si="1"/>
        <v>0.06597222222</v>
      </c>
      <c r="M1036" s="7">
        <f t="shared" si="2"/>
        <v>0.04354166667</v>
      </c>
      <c r="P1036" s="9"/>
      <c r="Q1036" s="9">
        <f t="shared" si="3"/>
        <v>867.35</v>
      </c>
      <c r="R1036" s="1" t="str">
        <f t="shared" si="4"/>
        <v>VLG</v>
      </c>
      <c r="S1036" s="1" t="str">
        <f>IF($D1036="LEBL", IF(COUNTIF('Paises ECAC'!B:B, C1036)&gt;0, "ECAC","NO ECAC"), "")</f>
        <v>ECAC</v>
      </c>
    </row>
    <row r="1037" ht="14.25" customHeight="1">
      <c r="A1037" s="1" t="s">
        <v>1677</v>
      </c>
      <c r="B1037" s="1" t="s">
        <v>35</v>
      </c>
      <c r="C1037" s="1" t="s">
        <v>937</v>
      </c>
      <c r="D1037" s="1" t="s">
        <v>21</v>
      </c>
      <c r="E1037" s="1" t="s">
        <v>272</v>
      </c>
      <c r="F1037" s="1">
        <v>340.0</v>
      </c>
      <c r="G1037" s="5">
        <v>0.825</v>
      </c>
      <c r="H1037" s="1">
        <v>11.0</v>
      </c>
      <c r="I1037" s="5">
        <v>0.8958333333333334</v>
      </c>
      <c r="J1037" s="1" t="str">
        <f t="array" ref="J1037">XLOOKUP(B1037,cat!B:B,cat!C:C)</f>
        <v>D</v>
      </c>
      <c r="K1037" s="1">
        <f t="array" ref="K1037">XLOOKUP(B1037,cat!B:B,cat!D:D)</f>
        <v>207</v>
      </c>
      <c r="L1037" s="7">
        <f t="shared" si="1"/>
        <v>0.07083333333</v>
      </c>
      <c r="M1037" s="7">
        <f t="shared" si="2"/>
        <v>0.05048611111</v>
      </c>
      <c r="P1037" s="9"/>
      <c r="Q1037" s="9">
        <f t="shared" si="3"/>
        <v>1005.683333</v>
      </c>
      <c r="R1037" s="1" t="str">
        <f t="shared" si="4"/>
        <v>VLG</v>
      </c>
      <c r="S1037" s="1" t="str">
        <f>IF($D1037="LEBL", IF(COUNTIF('Paises ECAC'!B:B, C1037)&gt;0, "ECAC","NO ECAC"), "")</f>
        <v>ECAC</v>
      </c>
    </row>
    <row r="1038" ht="14.25" customHeight="1">
      <c r="A1038" s="1" t="s">
        <v>1678</v>
      </c>
      <c r="B1038" s="1" t="s">
        <v>136</v>
      </c>
      <c r="C1038" s="1" t="s">
        <v>97</v>
      </c>
      <c r="D1038" s="1" t="s">
        <v>21</v>
      </c>
      <c r="E1038" s="1" t="s">
        <v>336</v>
      </c>
      <c r="F1038" s="1">
        <v>350.0</v>
      </c>
      <c r="G1038" s="5">
        <v>0.8458333333333333</v>
      </c>
      <c r="H1038" s="1">
        <v>12.0</v>
      </c>
      <c r="I1038" s="5">
        <v>0.8958333333333334</v>
      </c>
      <c r="J1038" s="1" t="str">
        <f t="array" ref="J1038">XLOOKUP(B1038,cat!B:B,cat!C:C)</f>
        <v>D</v>
      </c>
      <c r="K1038" s="1">
        <f t="array" ref="K1038">XLOOKUP(B1038,cat!B:B,cat!D:D)</f>
        <v>144</v>
      </c>
      <c r="L1038" s="7">
        <f t="shared" si="1"/>
        <v>0.05</v>
      </c>
      <c r="M1038" s="7">
        <f t="shared" si="2"/>
        <v>0.02895833333</v>
      </c>
      <c r="P1038" s="9"/>
      <c r="Q1038" s="9">
        <f t="shared" si="3"/>
        <v>576.85</v>
      </c>
      <c r="R1038" s="1" t="str">
        <f t="shared" si="4"/>
        <v>EJU</v>
      </c>
      <c r="S1038" s="1" t="str">
        <f>IF($D1038="LEBL", IF(COUNTIF('Paises ECAC'!B:B, C1038)&gt;0, "ECAC","NO ECAC"), "")</f>
        <v>ECAC</v>
      </c>
    </row>
    <row r="1039" ht="14.25" customHeight="1">
      <c r="A1039" s="1" t="s">
        <v>1679</v>
      </c>
      <c r="B1039" s="1" t="s">
        <v>40</v>
      </c>
      <c r="C1039" s="1" t="s">
        <v>192</v>
      </c>
      <c r="D1039" s="1" t="s">
        <v>21</v>
      </c>
      <c r="E1039" s="1" t="s">
        <v>1680</v>
      </c>
      <c r="F1039" s="1">
        <v>380.0</v>
      </c>
      <c r="G1039" s="5">
        <v>0.8381944444444445</v>
      </c>
      <c r="H1039" s="1">
        <v>15.0</v>
      </c>
      <c r="I1039" s="5">
        <v>0.8958333333333334</v>
      </c>
      <c r="J1039" s="1" t="str">
        <f t="array" ref="J1039">XLOOKUP(B1039,cat!B:B,cat!C:C)</f>
        <v>D</v>
      </c>
      <c r="K1039" s="1">
        <f t="array" ref="K1039">XLOOKUP(B1039,cat!B:B,cat!D:D)</f>
        <v>186</v>
      </c>
      <c r="L1039" s="7">
        <f t="shared" si="1"/>
        <v>0.05763888889</v>
      </c>
      <c r="M1039" s="7">
        <f t="shared" si="2"/>
        <v>0.03451388889</v>
      </c>
      <c r="P1039" s="9"/>
      <c r="Q1039" s="9">
        <f t="shared" si="3"/>
        <v>687.5166667</v>
      </c>
      <c r="R1039" s="1" t="str">
        <f t="shared" si="4"/>
        <v>RYR</v>
      </c>
      <c r="S1039" s="1" t="str">
        <f>IF($D1039="LEBL", IF(COUNTIF('Paises ECAC'!B:B, C1039)&gt;0, "ECAC","NO ECAC"), "")</f>
        <v>ECAC</v>
      </c>
    </row>
    <row r="1040" ht="14.25" customHeight="1">
      <c r="A1040" s="1" t="s">
        <v>1681</v>
      </c>
      <c r="B1040" s="1" t="s">
        <v>182</v>
      </c>
      <c r="C1040" s="1" t="s">
        <v>21</v>
      </c>
      <c r="D1040" s="1" t="s">
        <v>183</v>
      </c>
      <c r="E1040" s="1" t="s">
        <v>1513</v>
      </c>
      <c r="F1040" s="1">
        <v>390.0</v>
      </c>
      <c r="G1040" s="5">
        <v>0.9013888888888889</v>
      </c>
      <c r="H1040" s="1">
        <v>11.0</v>
      </c>
      <c r="I1040" s="5">
        <v>0.13541666666666666</v>
      </c>
      <c r="J1040" s="1" t="str">
        <f t="array" ref="J1040">XLOOKUP(B1040,cat!B:B,cat!C:C)</f>
        <v>B</v>
      </c>
      <c r="K1040" s="1">
        <f t="array" ref="K1040">XLOOKUP(B1040,cat!B:B,cat!D:D)</f>
        <v>284</v>
      </c>
      <c r="L1040" s="7">
        <f t="shared" si="1"/>
        <v>0.2340277778</v>
      </c>
      <c r="M1040" s="1" t="str">
        <f t="shared" si="2"/>
        <v/>
      </c>
      <c r="P1040" s="9"/>
      <c r="Q1040" s="9">
        <f t="shared" si="3"/>
        <v>0</v>
      </c>
      <c r="R1040" s="1" t="str">
        <f t="shared" si="4"/>
        <v>QTR</v>
      </c>
      <c r="S1040" s="1" t="str">
        <f>IF($D1040="LEBL", IF(COUNTIF('Paises ECAC'!B:B, C1040)&gt;0, "ECAC","NO ECAC"), "")</f>
        <v/>
      </c>
    </row>
    <row r="1041" ht="14.25" customHeight="1">
      <c r="A1041" s="1" t="s">
        <v>1682</v>
      </c>
      <c r="B1041" s="1" t="s">
        <v>35</v>
      </c>
      <c r="C1041" s="1" t="s">
        <v>97</v>
      </c>
      <c r="D1041" s="1" t="s">
        <v>21</v>
      </c>
      <c r="E1041" s="1" t="s">
        <v>161</v>
      </c>
      <c r="F1041" s="1">
        <v>290.0</v>
      </c>
      <c r="G1041" s="5">
        <v>0.85625</v>
      </c>
      <c r="H1041" s="1">
        <v>13.0</v>
      </c>
      <c r="I1041" s="5">
        <v>0.8993055555555556</v>
      </c>
      <c r="J1041" s="1" t="str">
        <f t="array" ref="J1041">XLOOKUP(B1041,cat!B:B,cat!C:C)</f>
        <v>D</v>
      </c>
      <c r="K1041" s="1">
        <f t="array" ref="K1041">XLOOKUP(B1041,cat!B:B,cat!D:D)</f>
        <v>207</v>
      </c>
      <c r="L1041" s="7">
        <f t="shared" si="1"/>
        <v>0.04305555556</v>
      </c>
      <c r="M1041" s="7">
        <f t="shared" si="2"/>
        <v>0.02131944444</v>
      </c>
      <c r="P1041" s="9"/>
      <c r="Q1041" s="9">
        <f t="shared" si="3"/>
        <v>424.6833333</v>
      </c>
      <c r="R1041" s="1" t="str">
        <f t="shared" si="4"/>
        <v>VLG</v>
      </c>
      <c r="S1041" s="1" t="str">
        <f>IF($D1041="LEBL", IF(COUNTIF('Paises ECAC'!B:B, C1041)&gt;0, "ECAC","NO ECAC"), "")</f>
        <v>ECAC</v>
      </c>
    </row>
    <row r="1042" ht="14.25" customHeight="1">
      <c r="A1042" s="1" t="s">
        <v>1683</v>
      </c>
      <c r="B1042" s="1" t="s">
        <v>35</v>
      </c>
      <c r="C1042" s="1" t="s">
        <v>646</v>
      </c>
      <c r="D1042" s="1" t="s">
        <v>21</v>
      </c>
      <c r="E1042" s="1" t="s">
        <v>200</v>
      </c>
      <c r="F1042" s="1">
        <v>350.0</v>
      </c>
      <c r="G1042" s="5">
        <v>0.8131944444444444</v>
      </c>
      <c r="H1042" s="1">
        <v>8.0</v>
      </c>
      <c r="I1042" s="5">
        <v>0.8993055555555556</v>
      </c>
      <c r="J1042" s="1" t="str">
        <f t="array" ref="J1042">XLOOKUP(B1042,cat!B:B,cat!C:C)</f>
        <v>D</v>
      </c>
      <c r="K1042" s="1">
        <f t="array" ref="K1042">XLOOKUP(B1042,cat!B:B,cat!D:D)</f>
        <v>207</v>
      </c>
      <c r="L1042" s="7">
        <f t="shared" si="1"/>
        <v>0.08611111111</v>
      </c>
      <c r="M1042" s="7">
        <f t="shared" si="2"/>
        <v>0.06784722222</v>
      </c>
      <c r="P1042" s="9"/>
      <c r="Q1042" s="9">
        <f t="shared" si="3"/>
        <v>1351.516667</v>
      </c>
      <c r="R1042" s="1" t="str">
        <f t="shared" si="4"/>
        <v>VLG</v>
      </c>
      <c r="S1042" s="1" t="str">
        <f>IF($D1042="LEBL", IF(COUNTIF('Paises ECAC'!B:B, C1042)&gt;0, "ECAC","NO ECAC"), "")</f>
        <v>ECAC</v>
      </c>
    </row>
    <row r="1043" ht="14.25" customHeight="1">
      <c r="A1043" s="1" t="s">
        <v>1684</v>
      </c>
      <c r="B1043" s="1" t="s">
        <v>30</v>
      </c>
      <c r="C1043" s="1" t="s">
        <v>21</v>
      </c>
      <c r="D1043" s="1" t="s">
        <v>107</v>
      </c>
      <c r="E1043" s="1" t="s">
        <v>1602</v>
      </c>
      <c r="F1043" s="1">
        <v>330.0</v>
      </c>
      <c r="G1043" s="5">
        <v>0.8965277777777778</v>
      </c>
      <c r="H1043" s="1">
        <v>9.0</v>
      </c>
      <c r="I1043" s="5">
        <v>0.9618055555555556</v>
      </c>
      <c r="J1043" s="1" t="str">
        <f t="array" ref="J1043">XLOOKUP(B1043,cat!B:B,cat!C:C)</f>
        <v>D</v>
      </c>
      <c r="K1043" s="1">
        <f t="array" ref="K1043">XLOOKUP(B1043,cat!B:B,cat!D:D)</f>
        <v>173</v>
      </c>
      <c r="L1043" s="7">
        <f t="shared" si="1"/>
        <v>0.06527777778</v>
      </c>
      <c r="M1043" s="1" t="str">
        <f t="shared" si="2"/>
        <v/>
      </c>
      <c r="P1043" s="9"/>
      <c r="Q1043" s="9">
        <f t="shared" si="3"/>
        <v>0</v>
      </c>
      <c r="R1043" s="1" t="str">
        <f t="shared" si="4"/>
        <v>TAP</v>
      </c>
      <c r="S1043" s="1" t="str">
        <f>IF($D1043="LEBL", IF(COUNTIF('Paises ECAC'!B:B, C1043)&gt;0, "ECAC","NO ECAC"), "")</f>
        <v/>
      </c>
    </row>
    <row r="1044" ht="14.25" customHeight="1">
      <c r="A1044" s="1" t="s">
        <v>1685</v>
      </c>
      <c r="B1044" s="1" t="s">
        <v>35</v>
      </c>
      <c r="C1044" s="1" t="s">
        <v>221</v>
      </c>
      <c r="D1044" s="1" t="s">
        <v>21</v>
      </c>
      <c r="E1044" s="1" t="s">
        <v>37</v>
      </c>
      <c r="F1044" s="1">
        <v>350.0</v>
      </c>
      <c r="G1044" s="5">
        <v>0.8375</v>
      </c>
      <c r="H1044" s="1">
        <v>15.0</v>
      </c>
      <c r="I1044" s="5">
        <v>0.8993055555555556</v>
      </c>
      <c r="J1044" s="1" t="str">
        <f t="array" ref="J1044">XLOOKUP(B1044,cat!B:B,cat!C:C)</f>
        <v>D</v>
      </c>
      <c r="K1044" s="1">
        <f t="array" ref="K1044">XLOOKUP(B1044,cat!B:B,cat!D:D)</f>
        <v>207</v>
      </c>
      <c r="L1044" s="7">
        <f t="shared" si="1"/>
        <v>0.06180555556</v>
      </c>
      <c r="M1044" s="7">
        <f t="shared" si="2"/>
        <v>0.03868055556</v>
      </c>
      <c r="P1044" s="9"/>
      <c r="Q1044" s="9">
        <f t="shared" si="3"/>
        <v>770.5166667</v>
      </c>
      <c r="R1044" s="1" t="str">
        <f t="shared" si="4"/>
        <v>VLG</v>
      </c>
      <c r="S1044" s="1" t="str">
        <f>IF($D1044="LEBL", IF(COUNTIF('Paises ECAC'!B:B, C1044)&gt;0, "ECAC","NO ECAC"), "")</f>
        <v>ECAC</v>
      </c>
    </row>
    <row r="1045" ht="14.25" customHeight="1">
      <c r="A1045" s="1" t="s">
        <v>1686</v>
      </c>
      <c r="B1045" s="1" t="s">
        <v>1068</v>
      </c>
      <c r="C1045" s="1" t="s">
        <v>1189</v>
      </c>
      <c r="D1045" s="1" t="s">
        <v>21</v>
      </c>
      <c r="E1045" s="1" t="s">
        <v>1190</v>
      </c>
      <c r="F1045" s="1">
        <v>320.0</v>
      </c>
      <c r="G1045" s="5">
        <v>0.8402777777777778</v>
      </c>
      <c r="H1045" s="1">
        <v>5.0</v>
      </c>
      <c r="I1045" s="5">
        <v>0.9027777777777778</v>
      </c>
      <c r="J1045" s="1" t="str">
        <f t="array" ref="J1045">XLOOKUP(B1045,cat!B:B,cat!C:C)</f>
        <v>F</v>
      </c>
      <c r="K1045" s="1">
        <f t="array" ref="K1045">XLOOKUP(B1045,cat!B:B,cat!D:D)</f>
        <v>6</v>
      </c>
      <c r="L1045" s="7">
        <f t="shared" si="1"/>
        <v>0.0625</v>
      </c>
      <c r="M1045" s="7">
        <f t="shared" si="2"/>
        <v>0.04631944444</v>
      </c>
      <c r="P1045" s="9"/>
      <c r="Q1045" s="9">
        <f t="shared" si="3"/>
        <v>200.1</v>
      </c>
      <c r="R1045" s="1" t="str">
        <f t="shared" si="4"/>
        <v>PAV</v>
      </c>
      <c r="S1045" s="1" t="str">
        <f>IF($D1045="LEBL", IF(COUNTIF('Paises ECAC'!B:B, C1045)&gt;0, "ECAC","NO ECAC"), "")</f>
        <v>NO ECAC</v>
      </c>
    </row>
    <row r="1046" ht="14.25" customHeight="1">
      <c r="A1046" s="1" t="s">
        <v>1687</v>
      </c>
      <c r="B1046" s="1" t="s">
        <v>136</v>
      </c>
      <c r="C1046" s="1" t="s">
        <v>74</v>
      </c>
      <c r="D1046" s="1" t="s">
        <v>21</v>
      </c>
      <c r="E1046" s="1" t="s">
        <v>1688</v>
      </c>
      <c r="F1046" s="1">
        <v>390.0</v>
      </c>
      <c r="G1046" s="5">
        <v>0.8493055555555555</v>
      </c>
      <c r="H1046" s="1">
        <v>10.0</v>
      </c>
      <c r="I1046" s="5">
        <v>0.9027777777777778</v>
      </c>
      <c r="J1046" s="1" t="str">
        <f t="array" ref="J1046">XLOOKUP(B1046,cat!B:B,cat!C:C)</f>
        <v>D</v>
      </c>
      <c r="K1046" s="1">
        <f t="array" ref="K1046">XLOOKUP(B1046,cat!B:B,cat!D:D)</f>
        <v>144</v>
      </c>
      <c r="L1046" s="7">
        <f t="shared" si="1"/>
        <v>0.05347222222</v>
      </c>
      <c r="M1046" s="7">
        <f t="shared" si="2"/>
        <v>0.03381944444</v>
      </c>
      <c r="P1046" s="9"/>
      <c r="Q1046" s="9">
        <f t="shared" si="3"/>
        <v>673.6833333</v>
      </c>
      <c r="R1046" s="1" t="str">
        <f t="shared" si="4"/>
        <v>VLG</v>
      </c>
      <c r="S1046" s="1" t="str">
        <f>IF($D1046="LEBL", IF(COUNTIF('Paises ECAC'!B:B, C1046)&gt;0, "ECAC","NO ECAC"), "")</f>
        <v>ECAC</v>
      </c>
    </row>
    <row r="1047" ht="14.25" customHeight="1">
      <c r="A1047" s="1" t="s">
        <v>1689</v>
      </c>
      <c r="B1047" s="1" t="s">
        <v>35</v>
      </c>
      <c r="C1047" s="1" t="s">
        <v>140</v>
      </c>
      <c r="D1047" s="1" t="s">
        <v>21</v>
      </c>
      <c r="E1047" s="1" t="s">
        <v>190</v>
      </c>
      <c r="F1047" s="1">
        <v>340.0</v>
      </c>
      <c r="G1047" s="5">
        <v>0.8458333333333333</v>
      </c>
      <c r="H1047" s="1">
        <v>13.0</v>
      </c>
      <c r="I1047" s="5">
        <v>0.90625</v>
      </c>
      <c r="J1047" s="1" t="str">
        <f t="array" ref="J1047">XLOOKUP(B1047,cat!B:B,cat!C:C)</f>
        <v>D</v>
      </c>
      <c r="K1047" s="1">
        <f t="array" ref="K1047">XLOOKUP(B1047,cat!B:B,cat!D:D)</f>
        <v>207</v>
      </c>
      <c r="L1047" s="7">
        <f t="shared" si="1"/>
        <v>0.06041666667</v>
      </c>
      <c r="M1047" s="7">
        <f t="shared" si="2"/>
        <v>0.03868055556</v>
      </c>
      <c r="P1047" s="9"/>
      <c r="Q1047" s="9">
        <f t="shared" si="3"/>
        <v>770.5166667</v>
      </c>
      <c r="R1047" s="1" t="str">
        <f t="shared" si="4"/>
        <v>VLG</v>
      </c>
      <c r="S1047" s="1" t="str">
        <f>IF($D1047="LEBL", IF(COUNTIF('Paises ECAC'!B:B, C1047)&gt;0, "ECAC","NO ECAC"), "")</f>
        <v>ECAC</v>
      </c>
    </row>
    <row r="1048" ht="14.25" customHeight="1">
      <c r="A1048" s="1" t="s">
        <v>1690</v>
      </c>
      <c r="B1048" s="1" t="s">
        <v>212</v>
      </c>
      <c r="C1048" s="1" t="s">
        <v>143</v>
      </c>
      <c r="D1048" s="1" t="s">
        <v>21</v>
      </c>
      <c r="E1048" s="1" t="s">
        <v>213</v>
      </c>
      <c r="F1048" s="1">
        <v>180.0</v>
      </c>
      <c r="G1048" s="5">
        <v>0.8847222222222222</v>
      </c>
      <c r="H1048" s="1">
        <v>10.0</v>
      </c>
      <c r="I1048" s="5">
        <v>0.90625</v>
      </c>
      <c r="J1048" s="1" t="str">
        <f t="array" ref="J1048">XLOOKUP(B1048,cat!B:B,cat!C:C)</f>
        <v>D</v>
      </c>
      <c r="K1048" s="1">
        <f t="array" ref="K1048">XLOOKUP(B1048,cat!B:B,cat!D:D)</f>
        <v>200</v>
      </c>
      <c r="L1048" s="7">
        <f t="shared" si="1"/>
        <v>0.02152777778</v>
      </c>
      <c r="M1048" s="7">
        <f t="shared" si="2"/>
        <v>0.001875</v>
      </c>
      <c r="P1048" s="9"/>
      <c r="Q1048" s="9">
        <f t="shared" si="3"/>
        <v>37.35</v>
      </c>
      <c r="R1048" s="1" t="str">
        <f t="shared" si="4"/>
        <v>VLG</v>
      </c>
      <c r="S1048" s="1" t="str">
        <f>IF($D1048="LEBL", IF(COUNTIF('Paises ECAC'!B:B, C1048)&gt;0, "ECAC","NO ECAC"), "")</f>
        <v>ECAC</v>
      </c>
    </row>
    <row r="1049" ht="14.25" customHeight="1">
      <c r="A1049" s="1" t="s">
        <v>1691</v>
      </c>
      <c r="B1049" s="1" t="s">
        <v>19</v>
      </c>
      <c r="C1049" s="1" t="s">
        <v>156</v>
      </c>
      <c r="D1049" s="1" t="s">
        <v>21</v>
      </c>
      <c r="E1049" s="1" t="s">
        <v>164</v>
      </c>
      <c r="F1049" s="1">
        <v>180.0</v>
      </c>
      <c r="G1049" s="5">
        <v>0.8847222222222222</v>
      </c>
      <c r="H1049" s="1">
        <v>16.0</v>
      </c>
      <c r="I1049" s="5">
        <v>0.9097222222222222</v>
      </c>
      <c r="J1049" s="1" t="str">
        <f t="array" ref="J1049">XLOOKUP(B1049,cat!B:B,cat!C:C)</f>
        <v>D</v>
      </c>
      <c r="K1049" s="1">
        <f t="array" ref="K1049">XLOOKUP(B1049,cat!B:B,cat!D:D)</f>
        <v>184</v>
      </c>
      <c r="L1049" s="7">
        <f t="shared" si="1"/>
        <v>0.025</v>
      </c>
      <c r="M1049" s="7">
        <f t="shared" si="2"/>
        <v>0.001180555556</v>
      </c>
      <c r="P1049" s="9"/>
      <c r="Q1049" s="9">
        <f t="shared" si="3"/>
        <v>23.51666667</v>
      </c>
      <c r="R1049" s="1" t="str">
        <f t="shared" si="4"/>
        <v>RYR</v>
      </c>
      <c r="S1049" s="1" t="str">
        <f>IF($D1049="LEBL", IF(COUNTIF('Paises ECAC'!B:B, C1049)&gt;0, "ECAC","NO ECAC"), "")</f>
        <v>ECAC</v>
      </c>
    </row>
    <row r="1050" ht="14.25" customHeight="1">
      <c r="A1050" s="1" t="s">
        <v>1692</v>
      </c>
      <c r="B1050" s="1" t="s">
        <v>19</v>
      </c>
      <c r="C1050" s="1" t="s">
        <v>21</v>
      </c>
      <c r="D1050" s="1" t="s">
        <v>444</v>
      </c>
      <c r="E1050" s="1" t="s">
        <v>1594</v>
      </c>
      <c r="F1050" s="1">
        <v>370.0</v>
      </c>
      <c r="G1050" s="5">
        <v>0.9118055555555555</v>
      </c>
      <c r="H1050" s="1">
        <v>13.0</v>
      </c>
      <c r="I1050" s="5">
        <v>0.0625</v>
      </c>
      <c r="J1050" s="1" t="str">
        <f t="array" ref="J1050">XLOOKUP(B1050,cat!B:B,cat!C:C)</f>
        <v>D</v>
      </c>
      <c r="K1050" s="1">
        <f t="array" ref="K1050">XLOOKUP(B1050,cat!B:B,cat!D:D)</f>
        <v>184</v>
      </c>
      <c r="L1050" s="7">
        <f t="shared" si="1"/>
        <v>0.1506944444</v>
      </c>
      <c r="M1050" s="1" t="str">
        <f t="shared" si="2"/>
        <v/>
      </c>
      <c r="P1050" s="9"/>
      <c r="Q1050" s="9">
        <f t="shared" si="3"/>
        <v>0</v>
      </c>
      <c r="R1050" s="1" t="str">
        <f t="shared" si="4"/>
        <v>ELY</v>
      </c>
      <c r="S1050" s="1" t="str">
        <f>IF($D1050="LEBL", IF(COUNTIF('Paises ECAC'!B:B, C1050)&gt;0, "ECAC","NO ECAC"), "")</f>
        <v/>
      </c>
    </row>
    <row r="1051" ht="14.25" customHeight="1">
      <c r="A1051" s="1" t="s">
        <v>1693</v>
      </c>
      <c r="B1051" s="1" t="s">
        <v>136</v>
      </c>
      <c r="C1051" s="1" t="s">
        <v>237</v>
      </c>
      <c r="D1051" s="1" t="s">
        <v>21</v>
      </c>
      <c r="E1051" s="1" t="s">
        <v>1694</v>
      </c>
      <c r="F1051" s="1">
        <v>330.0</v>
      </c>
      <c r="G1051" s="5">
        <v>0.8618055555555556</v>
      </c>
      <c r="H1051" s="1">
        <v>15.0</v>
      </c>
      <c r="I1051" s="5">
        <v>0.9097222222222222</v>
      </c>
      <c r="J1051" s="1" t="str">
        <f t="array" ref="J1051">XLOOKUP(B1051,cat!B:B,cat!C:C)</f>
        <v>D</v>
      </c>
      <c r="K1051" s="1">
        <f t="array" ref="K1051">XLOOKUP(B1051,cat!B:B,cat!D:D)</f>
        <v>144</v>
      </c>
      <c r="L1051" s="7">
        <f t="shared" si="1"/>
        <v>0.04791666667</v>
      </c>
      <c r="M1051" s="7">
        <f t="shared" si="2"/>
        <v>0.02479166667</v>
      </c>
      <c r="P1051" s="9"/>
      <c r="Q1051" s="9">
        <f t="shared" si="3"/>
        <v>493.85</v>
      </c>
      <c r="R1051" s="1" t="str">
        <f t="shared" si="4"/>
        <v>EJU</v>
      </c>
      <c r="S1051" s="1" t="str">
        <f>IF($D1051="LEBL", IF(COUNTIF('Paises ECAC'!B:B, C1051)&gt;0, "ECAC","NO ECAC"), "")</f>
        <v>ECAC</v>
      </c>
    </row>
    <row r="1052" ht="14.25" customHeight="1">
      <c r="A1052" s="1" t="s">
        <v>1695</v>
      </c>
      <c r="B1052" s="1" t="s">
        <v>30</v>
      </c>
      <c r="C1052" s="1" t="s">
        <v>116</v>
      </c>
      <c r="D1052" s="1" t="s">
        <v>21</v>
      </c>
      <c r="E1052" s="1" t="s">
        <v>83</v>
      </c>
      <c r="F1052" s="1">
        <v>370.0</v>
      </c>
      <c r="G1052" s="5">
        <v>0.8590277777777777</v>
      </c>
      <c r="H1052" s="1">
        <v>12.0</v>
      </c>
      <c r="I1052" s="5">
        <v>0.9097222222222222</v>
      </c>
      <c r="J1052" s="1" t="str">
        <f t="array" ref="J1052">XLOOKUP(B1052,cat!B:B,cat!C:C)</f>
        <v>D</v>
      </c>
      <c r="K1052" s="1">
        <f t="array" ref="K1052">XLOOKUP(B1052,cat!B:B,cat!D:D)</f>
        <v>173</v>
      </c>
      <c r="L1052" s="7">
        <f t="shared" si="1"/>
        <v>0.05069444444</v>
      </c>
      <c r="M1052" s="7">
        <f t="shared" si="2"/>
        <v>0.02965277778</v>
      </c>
      <c r="P1052" s="9"/>
      <c r="Q1052" s="9">
        <f t="shared" si="3"/>
        <v>590.6833333</v>
      </c>
      <c r="R1052" s="1" t="str">
        <f t="shared" si="4"/>
        <v>VLG</v>
      </c>
      <c r="S1052" s="1" t="str">
        <f>IF($D1052="LEBL", IF(COUNTIF('Paises ECAC'!B:B, C1052)&gt;0, "ECAC","NO ECAC"), "")</f>
        <v>ECAC</v>
      </c>
    </row>
    <row r="1053" ht="14.25" customHeight="1">
      <c r="A1053" s="1" t="s">
        <v>1696</v>
      </c>
      <c r="B1053" s="1" t="s">
        <v>30</v>
      </c>
      <c r="C1053" s="1" t="s">
        <v>251</v>
      </c>
      <c r="D1053" s="1" t="s">
        <v>21</v>
      </c>
      <c r="E1053" s="1" t="s">
        <v>243</v>
      </c>
      <c r="F1053" s="1">
        <v>360.0</v>
      </c>
      <c r="G1053" s="5">
        <v>0.8715277777777778</v>
      </c>
      <c r="H1053" s="1">
        <v>5.0</v>
      </c>
      <c r="I1053" s="5">
        <v>0.9131944444444444</v>
      </c>
      <c r="J1053" s="1" t="str">
        <f t="array" ref="J1053">XLOOKUP(B1053,cat!B:B,cat!C:C)</f>
        <v>D</v>
      </c>
      <c r="K1053" s="1">
        <f t="array" ref="K1053">XLOOKUP(B1053,cat!B:B,cat!D:D)</f>
        <v>173</v>
      </c>
      <c r="L1053" s="7">
        <f t="shared" si="1"/>
        <v>0.04166666667</v>
      </c>
      <c r="M1053" s="7">
        <f t="shared" si="2"/>
        <v>0.02548611111</v>
      </c>
      <c r="P1053" s="9"/>
      <c r="Q1053" s="9">
        <f t="shared" si="3"/>
        <v>507.6833333</v>
      </c>
      <c r="R1053" s="1" t="str">
        <f t="shared" si="4"/>
        <v>VLG</v>
      </c>
      <c r="S1053" s="1" t="str">
        <f>IF($D1053="LEBL", IF(COUNTIF('Paises ECAC'!B:B, C1053)&gt;0, "ECAC","NO ECAC"), "")</f>
        <v>ECAC</v>
      </c>
    </row>
    <row r="1054" ht="14.25" customHeight="1">
      <c r="A1054" s="1" t="s">
        <v>1697</v>
      </c>
      <c r="B1054" s="1" t="s">
        <v>25</v>
      </c>
      <c r="C1054" s="1" t="s">
        <v>369</v>
      </c>
      <c r="D1054" s="1" t="s">
        <v>21</v>
      </c>
      <c r="E1054" s="1" t="s">
        <v>89</v>
      </c>
      <c r="F1054" s="1">
        <v>360.0</v>
      </c>
      <c r="G1054" s="5">
        <v>0.8513888888888889</v>
      </c>
      <c r="H1054" s="1">
        <v>5.0</v>
      </c>
      <c r="I1054" s="5">
        <v>0.9131944444444444</v>
      </c>
      <c r="J1054" s="1" t="str">
        <f t="array" ref="J1054">XLOOKUP(B1054,cat!B:B,cat!C:C)</f>
        <v>D</v>
      </c>
      <c r="K1054" s="1">
        <f t="array" ref="K1054">XLOOKUP(B1054,cat!B:B,cat!D:D)</f>
        <v>180</v>
      </c>
      <c r="L1054" s="7">
        <f t="shared" si="1"/>
        <v>0.06180555556</v>
      </c>
      <c r="M1054" s="7">
        <f t="shared" si="2"/>
        <v>0.045625</v>
      </c>
      <c r="P1054" s="9"/>
      <c r="Q1054" s="9">
        <f t="shared" si="3"/>
        <v>908.85</v>
      </c>
      <c r="R1054" s="1" t="str">
        <f t="shared" si="4"/>
        <v>VLG</v>
      </c>
      <c r="S1054" s="1" t="str">
        <f>IF($D1054="LEBL", IF(COUNTIF('Paises ECAC'!B:B, C1054)&gt;0, "ECAC","NO ECAC"), "")</f>
        <v>ECAC</v>
      </c>
    </row>
    <row r="1055" ht="14.25" customHeight="1">
      <c r="A1055" s="1" t="s">
        <v>1698</v>
      </c>
      <c r="B1055" s="1" t="s">
        <v>30</v>
      </c>
      <c r="C1055" s="1" t="s">
        <v>107</v>
      </c>
      <c r="D1055" s="1" t="s">
        <v>21</v>
      </c>
      <c r="E1055" s="1" t="s">
        <v>356</v>
      </c>
      <c r="F1055" s="1">
        <v>380.0</v>
      </c>
      <c r="G1055" s="5">
        <v>0.8618055555555556</v>
      </c>
      <c r="H1055" s="1">
        <v>15.0</v>
      </c>
      <c r="I1055" s="5">
        <v>0.9131944444444444</v>
      </c>
      <c r="J1055" s="1" t="str">
        <f t="array" ref="J1055">XLOOKUP(B1055,cat!B:B,cat!C:C)</f>
        <v>D</v>
      </c>
      <c r="K1055" s="1">
        <f t="array" ref="K1055">XLOOKUP(B1055,cat!B:B,cat!D:D)</f>
        <v>173</v>
      </c>
      <c r="L1055" s="7">
        <f t="shared" si="1"/>
        <v>0.05138888889</v>
      </c>
      <c r="M1055" s="7">
        <f t="shared" si="2"/>
        <v>0.02826388889</v>
      </c>
      <c r="P1055" s="9"/>
      <c r="Q1055" s="9">
        <f t="shared" si="3"/>
        <v>563.0166667</v>
      </c>
      <c r="R1055" s="1" t="str">
        <f t="shared" si="4"/>
        <v>VLG</v>
      </c>
      <c r="S1055" s="1" t="str">
        <f>IF($D1055="LEBL", IF(COUNTIF('Paises ECAC'!B:B, C1055)&gt;0, "ECAC","NO ECAC"), "")</f>
        <v>ECAC</v>
      </c>
    </row>
    <row r="1056" ht="14.25" customHeight="1">
      <c r="A1056" s="1" t="s">
        <v>1699</v>
      </c>
      <c r="B1056" s="1" t="s">
        <v>35</v>
      </c>
      <c r="C1056" s="1" t="s">
        <v>199</v>
      </c>
      <c r="D1056" s="1" t="s">
        <v>21</v>
      </c>
      <c r="E1056" s="1" t="s">
        <v>269</v>
      </c>
      <c r="F1056" s="1">
        <v>350.0</v>
      </c>
      <c r="G1056" s="5">
        <v>0.8458333333333333</v>
      </c>
      <c r="H1056" s="1">
        <v>22.0</v>
      </c>
      <c r="I1056" s="5">
        <v>0.9166666666666666</v>
      </c>
      <c r="J1056" s="1" t="str">
        <f t="array" ref="J1056">XLOOKUP(B1056,cat!B:B,cat!C:C)</f>
        <v>D</v>
      </c>
      <c r="K1056" s="1">
        <f t="array" ref="K1056">XLOOKUP(B1056,cat!B:B,cat!D:D)</f>
        <v>207</v>
      </c>
      <c r="L1056" s="7">
        <f t="shared" si="1"/>
        <v>0.07083333333</v>
      </c>
      <c r="M1056" s="7">
        <f t="shared" si="2"/>
        <v>0.04284722222</v>
      </c>
      <c r="P1056" s="9"/>
      <c r="Q1056" s="9">
        <f t="shared" si="3"/>
        <v>853.5166667</v>
      </c>
      <c r="R1056" s="1" t="str">
        <f t="shared" si="4"/>
        <v>VLG</v>
      </c>
      <c r="S1056" s="1" t="str">
        <f>IF($D1056="LEBL", IF(COUNTIF('Paises ECAC'!B:B, C1056)&gt;0, "ECAC","NO ECAC"), "")</f>
        <v>ECAC</v>
      </c>
    </row>
    <row r="1057" ht="14.25" customHeight="1">
      <c r="A1057" s="1" t="s">
        <v>1700</v>
      </c>
      <c r="B1057" s="1" t="s">
        <v>30</v>
      </c>
      <c r="C1057" s="1" t="s">
        <v>158</v>
      </c>
      <c r="D1057" s="1" t="s">
        <v>21</v>
      </c>
      <c r="E1057" s="1" t="s">
        <v>1701</v>
      </c>
      <c r="F1057" s="1">
        <v>330.0</v>
      </c>
      <c r="G1057" s="5">
        <v>0.8645833333333334</v>
      </c>
      <c r="H1057" s="1">
        <v>13.0</v>
      </c>
      <c r="I1057" s="5">
        <v>0.9166666666666666</v>
      </c>
      <c r="J1057" s="1" t="str">
        <f t="array" ref="J1057">XLOOKUP(B1057,cat!B:B,cat!C:C)</f>
        <v>D</v>
      </c>
      <c r="K1057" s="1">
        <f t="array" ref="K1057">XLOOKUP(B1057,cat!B:B,cat!D:D)</f>
        <v>173</v>
      </c>
      <c r="L1057" s="7">
        <f t="shared" si="1"/>
        <v>0.05208333333</v>
      </c>
      <c r="M1057" s="7">
        <f t="shared" si="2"/>
        <v>0.03034722222</v>
      </c>
      <c r="P1057" s="9"/>
      <c r="Q1057" s="9">
        <f t="shared" si="3"/>
        <v>604.5166667</v>
      </c>
      <c r="R1057" s="1" t="str">
        <f t="shared" si="4"/>
        <v>SWR</v>
      </c>
      <c r="S1057" s="1" t="str">
        <f>IF($D1057="LEBL", IF(COUNTIF('Paises ECAC'!B:B, C1057)&gt;0, "ECAC","NO ECAC"), "")</f>
        <v>ECAC</v>
      </c>
    </row>
    <row r="1058" ht="14.25" customHeight="1">
      <c r="A1058" s="1" t="s">
        <v>1702</v>
      </c>
      <c r="B1058" s="1" t="s">
        <v>30</v>
      </c>
      <c r="C1058" s="1" t="s">
        <v>21</v>
      </c>
      <c r="D1058" s="1" t="s">
        <v>156</v>
      </c>
      <c r="E1058" s="1" t="s">
        <v>1635</v>
      </c>
      <c r="F1058" s="1">
        <v>190.0</v>
      </c>
      <c r="G1058" s="5">
        <v>0.9097222222222222</v>
      </c>
      <c r="H1058" s="1">
        <v>20.0</v>
      </c>
      <c r="I1058" s="5">
        <v>0.9375</v>
      </c>
      <c r="J1058" s="1" t="str">
        <f t="array" ref="J1058">XLOOKUP(B1058,cat!B:B,cat!C:C)</f>
        <v>D</v>
      </c>
      <c r="K1058" s="1">
        <f t="array" ref="K1058">XLOOKUP(B1058,cat!B:B,cat!D:D)</f>
        <v>173</v>
      </c>
      <c r="L1058" s="7">
        <f t="shared" si="1"/>
        <v>0.02777777778</v>
      </c>
      <c r="M1058" s="1" t="str">
        <f t="shared" si="2"/>
        <v/>
      </c>
      <c r="P1058" s="9"/>
      <c r="Q1058" s="9">
        <f t="shared" si="3"/>
        <v>0</v>
      </c>
      <c r="R1058" s="1" t="str">
        <f t="shared" si="4"/>
        <v>RYR</v>
      </c>
      <c r="S1058" s="1" t="str">
        <f>IF($D1058="LEBL", IF(COUNTIF('Paises ECAC'!B:B, C1058)&gt;0, "ECAC","NO ECAC"), "")</f>
        <v/>
      </c>
    </row>
    <row r="1059" ht="14.25" customHeight="1">
      <c r="A1059" s="1" t="s">
        <v>1703</v>
      </c>
      <c r="B1059" s="1" t="s">
        <v>30</v>
      </c>
      <c r="C1059" s="1" t="s">
        <v>1189</v>
      </c>
      <c r="D1059" s="1" t="s">
        <v>21</v>
      </c>
      <c r="E1059" s="1" t="s">
        <v>127</v>
      </c>
      <c r="F1059" s="1">
        <v>320.0</v>
      </c>
      <c r="G1059" s="5">
        <v>0.8659722222222223</v>
      </c>
      <c r="H1059" s="1">
        <v>7.0</v>
      </c>
      <c r="I1059" s="5">
        <v>0.9166666666666666</v>
      </c>
      <c r="J1059" s="1" t="str">
        <f t="array" ref="J1059">XLOOKUP(B1059,cat!B:B,cat!C:C)</f>
        <v>D</v>
      </c>
      <c r="K1059" s="1">
        <f t="array" ref="K1059">XLOOKUP(B1059,cat!B:B,cat!D:D)</f>
        <v>173</v>
      </c>
      <c r="L1059" s="7">
        <f t="shared" si="1"/>
        <v>0.05069444444</v>
      </c>
      <c r="M1059" s="7">
        <f t="shared" si="2"/>
        <v>0.033125</v>
      </c>
      <c r="P1059" s="9"/>
      <c r="Q1059" s="9">
        <f t="shared" si="3"/>
        <v>659.85</v>
      </c>
      <c r="R1059" s="1" t="str">
        <f t="shared" si="4"/>
        <v>VLG</v>
      </c>
      <c r="S1059" s="1" t="str">
        <f>IF($D1059="LEBL", IF(COUNTIF('Paises ECAC'!B:B, C1059)&gt;0, "ECAC","NO ECAC"), "")</f>
        <v>NO ECAC</v>
      </c>
    </row>
    <row r="1060" ht="14.25" customHeight="1">
      <c r="A1060" s="1" t="s">
        <v>1704</v>
      </c>
      <c r="B1060" s="1" t="s">
        <v>1613</v>
      </c>
      <c r="C1060" s="1" t="s">
        <v>21</v>
      </c>
      <c r="D1060" s="1" t="s">
        <v>485</v>
      </c>
      <c r="E1060" s="1" t="s">
        <v>1705</v>
      </c>
      <c r="F1060" s="1">
        <v>240.0</v>
      </c>
      <c r="G1060" s="5">
        <v>0.9208333333333333</v>
      </c>
      <c r="H1060" s="1">
        <v>17.0</v>
      </c>
      <c r="I1060" s="5">
        <v>0.034722222222222224</v>
      </c>
      <c r="J1060" s="1" t="str">
        <f t="array" ref="J1060">XLOOKUP(B1060,cat!B:B,cat!C:C)</f>
        <v>E</v>
      </c>
      <c r="K1060" s="1">
        <f t="array" ref="K1060">XLOOKUP(B1060,cat!B:B,cat!D:D)</f>
        <v>49</v>
      </c>
      <c r="L1060" s="7">
        <f t="shared" si="1"/>
        <v>0.1138888889</v>
      </c>
      <c r="M1060" s="1" t="str">
        <f t="shared" si="2"/>
        <v/>
      </c>
      <c r="P1060" s="9"/>
      <c r="Q1060" s="9">
        <f t="shared" si="3"/>
        <v>0</v>
      </c>
      <c r="R1060" s="1" t="str">
        <f t="shared" si="4"/>
        <v>SWT</v>
      </c>
      <c r="S1060" s="1" t="str">
        <f>IF($D1060="LEBL", IF(COUNTIF('Paises ECAC'!B:B, C1060)&gt;0, "ECAC","NO ECAC"), "")</f>
        <v/>
      </c>
    </row>
    <row r="1061" ht="14.25" customHeight="1">
      <c r="A1061" s="1" t="s">
        <v>1706</v>
      </c>
      <c r="B1061" s="1" t="s">
        <v>30</v>
      </c>
      <c r="C1061" s="1" t="s">
        <v>274</v>
      </c>
      <c r="D1061" s="1" t="s">
        <v>21</v>
      </c>
      <c r="E1061" s="1" t="s">
        <v>1338</v>
      </c>
      <c r="F1061" s="1">
        <v>370.0</v>
      </c>
      <c r="G1061" s="5">
        <v>0.8479166666666667</v>
      </c>
      <c r="H1061" s="1">
        <v>20.0</v>
      </c>
      <c r="I1061" s="5">
        <v>0.9201388888888888</v>
      </c>
      <c r="J1061" s="1" t="str">
        <f t="array" ref="J1061">XLOOKUP(B1061,cat!B:B,cat!C:C)</f>
        <v>D</v>
      </c>
      <c r="K1061" s="1">
        <f t="array" ref="K1061">XLOOKUP(B1061,cat!B:B,cat!D:D)</f>
        <v>173</v>
      </c>
      <c r="L1061" s="7">
        <f t="shared" si="1"/>
        <v>0.07222222222</v>
      </c>
      <c r="M1061" s="7">
        <f t="shared" si="2"/>
        <v>0.045625</v>
      </c>
      <c r="P1061" s="9"/>
      <c r="Q1061" s="9">
        <f t="shared" si="3"/>
        <v>908.85</v>
      </c>
      <c r="R1061" s="1" t="str">
        <f t="shared" si="4"/>
        <v>VLG</v>
      </c>
      <c r="S1061" s="1" t="str">
        <f>IF($D1061="LEBL", IF(COUNTIF('Paises ECAC'!B:B, C1061)&gt;0, "ECAC","NO ECAC"), "")</f>
        <v>ECAC</v>
      </c>
    </row>
    <row r="1062" ht="14.25" customHeight="1">
      <c r="A1062" s="1" t="s">
        <v>1707</v>
      </c>
      <c r="B1062" s="1" t="s">
        <v>30</v>
      </c>
      <c r="C1062" s="1" t="s">
        <v>646</v>
      </c>
      <c r="D1062" s="1" t="s">
        <v>21</v>
      </c>
      <c r="E1062" s="1" t="s">
        <v>883</v>
      </c>
      <c r="F1062" s="1">
        <v>370.0</v>
      </c>
      <c r="G1062" s="5">
        <v>0.8361111111111111</v>
      </c>
      <c r="H1062" s="1">
        <v>8.0</v>
      </c>
      <c r="I1062" s="5">
        <v>0.9201388888888888</v>
      </c>
      <c r="J1062" s="1" t="str">
        <f t="array" ref="J1062">XLOOKUP(B1062,cat!B:B,cat!C:C)</f>
        <v>D</v>
      </c>
      <c r="K1062" s="1">
        <f t="array" ref="K1062">XLOOKUP(B1062,cat!B:B,cat!D:D)</f>
        <v>173</v>
      </c>
      <c r="L1062" s="7">
        <f t="shared" si="1"/>
        <v>0.08402777778</v>
      </c>
      <c r="M1062" s="7">
        <f t="shared" si="2"/>
        <v>0.06576388889</v>
      </c>
      <c r="P1062" s="9"/>
      <c r="Q1062" s="9">
        <f t="shared" si="3"/>
        <v>1310.016667</v>
      </c>
      <c r="R1062" s="1" t="str">
        <f t="shared" si="4"/>
        <v>VLG</v>
      </c>
      <c r="S1062" s="1" t="str">
        <f>IF($D1062="LEBL", IF(COUNTIF('Paises ECAC'!B:B, C1062)&gt;0, "ECAC","NO ECAC"), "")</f>
        <v>ECAC</v>
      </c>
    </row>
    <row r="1063" ht="14.25" customHeight="1">
      <c r="A1063" s="1" t="s">
        <v>1708</v>
      </c>
      <c r="B1063" s="1" t="s">
        <v>136</v>
      </c>
      <c r="C1063" s="1" t="s">
        <v>107</v>
      </c>
      <c r="D1063" s="1" t="s">
        <v>21</v>
      </c>
      <c r="E1063" s="1" t="s">
        <v>138</v>
      </c>
      <c r="F1063" s="1">
        <v>380.0</v>
      </c>
      <c r="G1063" s="5">
        <v>0.8645833333333334</v>
      </c>
      <c r="H1063" s="1">
        <v>17.0</v>
      </c>
      <c r="I1063" s="5">
        <v>0.9236111111111112</v>
      </c>
      <c r="J1063" s="1" t="str">
        <f t="array" ref="J1063">XLOOKUP(B1063,cat!B:B,cat!C:C)</f>
        <v>D</v>
      </c>
      <c r="K1063" s="1">
        <f t="array" ref="K1063">XLOOKUP(B1063,cat!B:B,cat!D:D)</f>
        <v>144</v>
      </c>
      <c r="L1063" s="7">
        <f t="shared" si="1"/>
        <v>0.05902777778</v>
      </c>
      <c r="M1063" s="7">
        <f t="shared" si="2"/>
        <v>0.03451388889</v>
      </c>
      <c r="P1063" s="9"/>
      <c r="Q1063" s="9">
        <f t="shared" si="3"/>
        <v>687.5166667</v>
      </c>
      <c r="R1063" s="1" t="str">
        <f t="shared" si="4"/>
        <v>EJU</v>
      </c>
      <c r="S1063" s="1" t="str">
        <f>IF($D1063="LEBL", IF(COUNTIF('Paises ECAC'!B:B, C1063)&gt;0, "ECAC","NO ECAC"), "")</f>
        <v>ECAC</v>
      </c>
    </row>
    <row r="1064" ht="14.25" customHeight="1">
      <c r="A1064" s="1" t="s">
        <v>1709</v>
      </c>
      <c r="B1064" s="1" t="s">
        <v>35</v>
      </c>
      <c r="C1064" s="1" t="s">
        <v>100</v>
      </c>
      <c r="D1064" s="1" t="s">
        <v>21</v>
      </c>
      <c r="E1064" s="1" t="s">
        <v>305</v>
      </c>
      <c r="F1064" s="1">
        <v>350.0</v>
      </c>
      <c r="G1064" s="5">
        <v>0.8659722222222223</v>
      </c>
      <c r="H1064" s="1">
        <v>11.0</v>
      </c>
      <c r="I1064" s="5">
        <v>0.9236111111111112</v>
      </c>
      <c r="J1064" s="1" t="str">
        <f t="array" ref="J1064">XLOOKUP(B1064,cat!B:B,cat!C:C)</f>
        <v>D</v>
      </c>
      <c r="K1064" s="1">
        <f t="array" ref="K1064">XLOOKUP(B1064,cat!B:B,cat!D:D)</f>
        <v>207</v>
      </c>
      <c r="L1064" s="7">
        <f t="shared" si="1"/>
        <v>0.05763888889</v>
      </c>
      <c r="M1064" s="7">
        <f t="shared" si="2"/>
        <v>0.03729166667</v>
      </c>
      <c r="P1064" s="9"/>
      <c r="Q1064" s="9">
        <f t="shared" si="3"/>
        <v>742.85</v>
      </c>
      <c r="R1064" s="1" t="str">
        <f t="shared" si="4"/>
        <v>VLG</v>
      </c>
      <c r="S1064" s="1" t="str">
        <f>IF($D1064="LEBL", IF(COUNTIF('Paises ECAC'!B:B, C1064)&gt;0, "ECAC","NO ECAC"), "")</f>
        <v>ECAC</v>
      </c>
    </row>
    <row r="1065" ht="14.25" customHeight="1">
      <c r="A1065" s="1" t="s">
        <v>1710</v>
      </c>
      <c r="B1065" s="1" t="s">
        <v>30</v>
      </c>
      <c r="C1065" s="1" t="s">
        <v>304</v>
      </c>
      <c r="D1065" s="1" t="s">
        <v>21</v>
      </c>
      <c r="E1065" s="1" t="s">
        <v>202</v>
      </c>
      <c r="F1065" s="1">
        <v>370.0</v>
      </c>
      <c r="G1065" s="5">
        <v>0.8402777777777778</v>
      </c>
      <c r="H1065" s="1">
        <v>9.0</v>
      </c>
      <c r="I1065" s="5">
        <v>0.9236111111111112</v>
      </c>
      <c r="J1065" s="1" t="str">
        <f t="array" ref="J1065">XLOOKUP(B1065,cat!B:B,cat!C:C)</f>
        <v>D</v>
      </c>
      <c r="K1065" s="1">
        <f t="array" ref="K1065">XLOOKUP(B1065,cat!B:B,cat!D:D)</f>
        <v>173</v>
      </c>
      <c r="L1065" s="7">
        <f t="shared" si="1"/>
        <v>0.08333333333</v>
      </c>
      <c r="M1065" s="7">
        <f t="shared" si="2"/>
        <v>0.064375</v>
      </c>
      <c r="P1065" s="9"/>
      <c r="Q1065" s="9">
        <f t="shared" si="3"/>
        <v>1282.35</v>
      </c>
      <c r="R1065" s="1" t="str">
        <f t="shared" si="4"/>
        <v>VLG</v>
      </c>
      <c r="S1065" s="1" t="str">
        <f>IF($D1065="LEBL", IF(COUNTIF('Paises ECAC'!B:B, C1065)&gt;0, "ECAC","NO ECAC"), "")</f>
        <v>ECAC</v>
      </c>
    </row>
    <row r="1066" ht="14.25" customHeight="1">
      <c r="A1066" s="1" t="s">
        <v>1711</v>
      </c>
      <c r="B1066" s="1" t="s">
        <v>30</v>
      </c>
      <c r="C1066" s="1" t="s">
        <v>258</v>
      </c>
      <c r="D1066" s="1" t="s">
        <v>21</v>
      </c>
      <c r="E1066" s="1" t="s">
        <v>641</v>
      </c>
      <c r="F1066" s="1">
        <v>320.0</v>
      </c>
      <c r="G1066" s="5">
        <v>0.8805555555555555</v>
      </c>
      <c r="H1066" s="1">
        <v>5.0</v>
      </c>
      <c r="I1066" s="5">
        <v>0.9270833333333334</v>
      </c>
      <c r="J1066" s="1" t="str">
        <f t="array" ref="J1066">XLOOKUP(B1066,cat!B:B,cat!C:C)</f>
        <v>D</v>
      </c>
      <c r="K1066" s="1">
        <f t="array" ref="K1066">XLOOKUP(B1066,cat!B:B,cat!D:D)</f>
        <v>173</v>
      </c>
      <c r="L1066" s="7">
        <f t="shared" si="1"/>
        <v>0.04652777778</v>
      </c>
      <c r="M1066" s="7">
        <f t="shared" si="2"/>
        <v>0.03034722222</v>
      </c>
      <c r="P1066" s="9"/>
      <c r="Q1066" s="9">
        <f t="shared" si="3"/>
        <v>604.5166667</v>
      </c>
      <c r="R1066" s="1" t="str">
        <f t="shared" si="4"/>
        <v>VLG</v>
      </c>
      <c r="S1066" s="1" t="str">
        <f>IF($D1066="LEBL", IF(COUNTIF('Paises ECAC'!B:B, C1066)&gt;0, "ECAC","NO ECAC"), "")</f>
        <v>ECAC</v>
      </c>
    </row>
    <row r="1067" ht="14.25" customHeight="1">
      <c r="A1067" s="1" t="s">
        <v>1712</v>
      </c>
      <c r="B1067" s="1" t="s">
        <v>19</v>
      </c>
      <c r="C1067" s="1" t="s">
        <v>153</v>
      </c>
      <c r="D1067" s="1" t="s">
        <v>21</v>
      </c>
      <c r="E1067" s="1" t="s">
        <v>928</v>
      </c>
      <c r="F1067" s="1">
        <v>370.0</v>
      </c>
      <c r="G1067" s="5">
        <v>0.8680555555555556</v>
      </c>
      <c r="H1067" s="1">
        <v>15.0</v>
      </c>
      <c r="I1067" s="5">
        <v>0.9270833333333334</v>
      </c>
      <c r="J1067" s="1" t="str">
        <f t="array" ref="J1067">XLOOKUP(B1067,cat!B:B,cat!C:C)</f>
        <v>D</v>
      </c>
      <c r="K1067" s="1">
        <f t="array" ref="K1067">XLOOKUP(B1067,cat!B:B,cat!D:D)</f>
        <v>184</v>
      </c>
      <c r="L1067" s="7">
        <f t="shared" si="1"/>
        <v>0.05902777778</v>
      </c>
      <c r="M1067" s="7">
        <f t="shared" si="2"/>
        <v>0.03590277778</v>
      </c>
      <c r="P1067" s="9"/>
      <c r="Q1067" s="9">
        <f t="shared" si="3"/>
        <v>715.1833333</v>
      </c>
      <c r="R1067" s="1" t="str">
        <f t="shared" si="4"/>
        <v>RYR</v>
      </c>
      <c r="S1067" s="1" t="str">
        <f>IF($D1067="LEBL", IF(COUNTIF('Paises ECAC'!B:B, C1067)&gt;0, "ECAC","NO ECAC"), "")</f>
        <v>ECAC</v>
      </c>
    </row>
    <row r="1068" ht="14.25" customHeight="1">
      <c r="A1068" s="1" t="s">
        <v>1713</v>
      </c>
      <c r="B1068" s="1" t="s">
        <v>35</v>
      </c>
      <c r="C1068" s="1" t="s">
        <v>126</v>
      </c>
      <c r="D1068" s="1" t="s">
        <v>21</v>
      </c>
      <c r="E1068" s="1" t="s">
        <v>280</v>
      </c>
      <c r="F1068" s="1">
        <v>340.0</v>
      </c>
      <c r="G1068" s="5">
        <v>0.8173611111111111</v>
      </c>
      <c r="H1068" s="1">
        <v>14.0</v>
      </c>
      <c r="I1068" s="5">
        <v>0.9270833333333334</v>
      </c>
      <c r="J1068" s="1" t="str">
        <f t="array" ref="J1068">XLOOKUP(B1068,cat!B:B,cat!C:C)</f>
        <v>D</v>
      </c>
      <c r="K1068" s="1">
        <f t="array" ref="K1068">XLOOKUP(B1068,cat!B:B,cat!D:D)</f>
        <v>207</v>
      </c>
      <c r="L1068" s="7">
        <f t="shared" si="1"/>
        <v>0.1097222222</v>
      </c>
      <c r="M1068" s="7">
        <f t="shared" si="2"/>
        <v>0.08729166667</v>
      </c>
      <c r="P1068" s="9"/>
      <c r="Q1068" s="9">
        <f t="shared" si="3"/>
        <v>1738.85</v>
      </c>
      <c r="R1068" s="1" t="str">
        <f t="shared" si="4"/>
        <v>VLG</v>
      </c>
      <c r="S1068" s="1" t="str">
        <f>IF($D1068="LEBL", IF(COUNTIF('Paises ECAC'!B:B, C1068)&gt;0, "ECAC","NO ECAC"), "")</f>
        <v>ECAC</v>
      </c>
    </row>
    <row r="1069" ht="14.25" customHeight="1">
      <c r="A1069" s="1" t="s">
        <v>1714</v>
      </c>
      <c r="B1069" s="1" t="s">
        <v>30</v>
      </c>
      <c r="C1069" s="1" t="s">
        <v>156</v>
      </c>
      <c r="D1069" s="1" t="s">
        <v>21</v>
      </c>
      <c r="E1069" s="1" t="s">
        <v>186</v>
      </c>
      <c r="F1069" s="1">
        <v>180.0</v>
      </c>
      <c r="G1069" s="5">
        <v>0.9055555555555556</v>
      </c>
      <c r="H1069" s="1">
        <v>17.0</v>
      </c>
      <c r="I1069" s="5">
        <v>0.9305555555555556</v>
      </c>
      <c r="J1069" s="1" t="str">
        <f t="array" ref="J1069">XLOOKUP(B1069,cat!B:B,cat!C:C)</f>
        <v>D</v>
      </c>
      <c r="K1069" s="1">
        <f t="array" ref="K1069">XLOOKUP(B1069,cat!B:B,cat!D:D)</f>
        <v>173</v>
      </c>
      <c r="L1069" s="7">
        <f t="shared" si="1"/>
        <v>0.025</v>
      </c>
      <c r="M1069" s="7">
        <f t="shared" si="2"/>
        <v>0.0004861111111</v>
      </c>
      <c r="P1069" s="9"/>
      <c r="Q1069" s="9">
        <f t="shared" si="3"/>
        <v>9.683333333</v>
      </c>
      <c r="R1069" s="1" t="str">
        <f t="shared" si="4"/>
        <v>VLG</v>
      </c>
      <c r="S1069" s="1" t="str">
        <f>IF($D1069="LEBL", IF(COUNTIF('Paises ECAC'!B:B, C1069)&gt;0, "ECAC","NO ECAC"), "")</f>
        <v>ECAC</v>
      </c>
    </row>
    <row r="1070" ht="14.25" customHeight="1">
      <c r="A1070" s="1" t="s">
        <v>1715</v>
      </c>
      <c r="B1070" s="1" t="s">
        <v>35</v>
      </c>
      <c r="C1070" s="1" t="s">
        <v>156</v>
      </c>
      <c r="D1070" s="1" t="s">
        <v>21</v>
      </c>
      <c r="E1070" s="1" t="s">
        <v>188</v>
      </c>
      <c r="F1070" s="1">
        <v>180.0</v>
      </c>
      <c r="G1070" s="5">
        <v>0.9076388888888889</v>
      </c>
      <c r="H1070" s="1">
        <v>17.0</v>
      </c>
      <c r="I1070" s="5">
        <v>0.9305555555555556</v>
      </c>
      <c r="J1070" s="1" t="str">
        <f t="array" ref="J1070">XLOOKUP(B1070,cat!B:B,cat!C:C)</f>
        <v>D</v>
      </c>
      <c r="K1070" s="1">
        <f t="array" ref="K1070">XLOOKUP(B1070,cat!B:B,cat!D:D)</f>
        <v>207</v>
      </c>
      <c r="L1070" s="7">
        <f t="shared" si="1"/>
        <v>0.02291666667</v>
      </c>
      <c r="M1070" s="7">
        <f t="shared" si="2"/>
        <v>0.01111111111</v>
      </c>
      <c r="P1070" s="9"/>
      <c r="Q1070" s="9">
        <f t="shared" si="3"/>
        <v>221.3333333</v>
      </c>
      <c r="R1070" s="1" t="str">
        <f t="shared" si="4"/>
        <v>VLG</v>
      </c>
      <c r="S1070" s="1" t="str">
        <f>IF($D1070="LEBL", IF(COUNTIF('Paises ECAC'!B:B, C1070)&gt;0, "ECAC","NO ECAC"), "")</f>
        <v>ECAC</v>
      </c>
    </row>
    <row r="1071" ht="14.25" customHeight="1">
      <c r="A1071" s="1" t="s">
        <v>1716</v>
      </c>
      <c r="B1071" s="1" t="s">
        <v>35</v>
      </c>
      <c r="C1071" s="1" t="s">
        <v>88</v>
      </c>
      <c r="D1071" s="1" t="s">
        <v>21</v>
      </c>
      <c r="E1071" s="1" t="s">
        <v>246</v>
      </c>
      <c r="F1071" s="1">
        <v>350.0</v>
      </c>
      <c r="G1071" s="5">
        <v>0.8284722222222223</v>
      </c>
      <c r="H1071" s="1">
        <v>10.0</v>
      </c>
      <c r="I1071" s="5">
        <v>0.9305555555555556</v>
      </c>
      <c r="J1071" s="1" t="str">
        <f t="array" ref="J1071">XLOOKUP(B1071,cat!B:B,cat!C:C)</f>
        <v>D</v>
      </c>
      <c r="K1071" s="1">
        <f t="array" ref="K1071">XLOOKUP(B1071,cat!B:B,cat!D:D)</f>
        <v>207</v>
      </c>
      <c r="L1071" s="7">
        <f t="shared" si="1"/>
        <v>0.1020833333</v>
      </c>
      <c r="M1071" s="7">
        <f t="shared" si="2"/>
        <v>0.08243055556</v>
      </c>
      <c r="P1071" s="9"/>
      <c r="Q1071" s="9">
        <f t="shared" si="3"/>
        <v>1642.016667</v>
      </c>
      <c r="R1071" s="1" t="str">
        <f t="shared" si="4"/>
        <v>VLG</v>
      </c>
      <c r="S1071" s="1" t="str">
        <f>IF($D1071="LEBL", IF(COUNTIF('Paises ECAC'!B:B, C1071)&gt;0, "ECAC","NO ECAC"), "")</f>
        <v>ECAC</v>
      </c>
    </row>
    <row r="1072" ht="14.25" customHeight="1">
      <c r="A1072" s="1" t="s">
        <v>1717</v>
      </c>
      <c r="B1072" s="1" t="s">
        <v>30</v>
      </c>
      <c r="C1072" s="1" t="s">
        <v>322</v>
      </c>
      <c r="D1072" s="1" t="s">
        <v>21</v>
      </c>
      <c r="E1072" s="1" t="s">
        <v>154</v>
      </c>
      <c r="F1072" s="1">
        <v>340.0</v>
      </c>
      <c r="G1072" s="5">
        <v>0.8743055555555556</v>
      </c>
      <c r="H1072" s="1">
        <v>12.0</v>
      </c>
      <c r="I1072" s="5">
        <v>0.9340277777777778</v>
      </c>
      <c r="J1072" s="1" t="str">
        <f t="array" ref="J1072">XLOOKUP(B1072,cat!B:B,cat!C:C)</f>
        <v>D</v>
      </c>
      <c r="K1072" s="1">
        <f t="array" ref="K1072">XLOOKUP(B1072,cat!B:B,cat!D:D)</f>
        <v>173</v>
      </c>
      <c r="L1072" s="7">
        <f t="shared" si="1"/>
        <v>0.05972222222</v>
      </c>
      <c r="M1072" s="7">
        <f t="shared" si="2"/>
        <v>0.03868055556</v>
      </c>
      <c r="P1072" s="9"/>
      <c r="Q1072" s="9">
        <f t="shared" si="3"/>
        <v>770.5166667</v>
      </c>
      <c r="R1072" s="1" t="str">
        <f t="shared" si="4"/>
        <v>VLG</v>
      </c>
      <c r="S1072" s="1" t="str">
        <f>IF($D1072="LEBL", IF(COUNTIF('Paises ECAC'!B:B, C1072)&gt;0, "ECAC","NO ECAC"), "")</f>
        <v>ECAC</v>
      </c>
    </row>
    <row r="1073" ht="14.25" customHeight="1">
      <c r="A1073" s="1" t="s">
        <v>1718</v>
      </c>
      <c r="B1073" s="1" t="s">
        <v>30</v>
      </c>
      <c r="C1073" s="1" t="s">
        <v>63</v>
      </c>
      <c r="D1073" s="1" t="s">
        <v>21</v>
      </c>
      <c r="E1073" s="1" t="s">
        <v>440</v>
      </c>
      <c r="F1073" s="1">
        <v>290.0</v>
      </c>
      <c r="G1073" s="5">
        <v>0.8972222222222223</v>
      </c>
      <c r="H1073" s="1">
        <v>5.0</v>
      </c>
      <c r="I1073" s="5">
        <v>0.9340277777777778</v>
      </c>
      <c r="J1073" s="1" t="str">
        <f t="array" ref="J1073">XLOOKUP(B1073,cat!B:B,cat!C:C)</f>
        <v>D</v>
      </c>
      <c r="K1073" s="1">
        <f t="array" ref="K1073">XLOOKUP(B1073,cat!B:B,cat!D:D)</f>
        <v>173</v>
      </c>
      <c r="L1073" s="7">
        <f t="shared" si="1"/>
        <v>0.03680555556</v>
      </c>
      <c r="M1073" s="7">
        <f t="shared" si="2"/>
        <v>0.020625</v>
      </c>
      <c r="P1073" s="9"/>
      <c r="Q1073" s="9">
        <f t="shared" si="3"/>
        <v>410.85</v>
      </c>
      <c r="R1073" s="1" t="str">
        <f t="shared" si="4"/>
        <v>VLG</v>
      </c>
      <c r="S1073" s="1" t="str">
        <f>IF($D1073="LEBL", IF(COUNTIF('Paises ECAC'!B:B, C1073)&gt;0, "ECAC","NO ECAC"), "")</f>
        <v>ECAC</v>
      </c>
    </row>
    <row r="1074" ht="14.25" customHeight="1">
      <c r="A1074" s="1" t="s">
        <v>1719</v>
      </c>
      <c r="B1074" s="1" t="s">
        <v>35</v>
      </c>
      <c r="C1074" s="1" t="s">
        <v>271</v>
      </c>
      <c r="D1074" s="1" t="s">
        <v>21</v>
      </c>
      <c r="E1074" s="1" t="s">
        <v>263</v>
      </c>
      <c r="F1074" s="1">
        <v>340.0</v>
      </c>
      <c r="G1074" s="5">
        <v>0.8736111111111111</v>
      </c>
      <c r="H1074" s="1">
        <v>12.0</v>
      </c>
      <c r="I1074" s="5">
        <v>0.9340277777777778</v>
      </c>
      <c r="J1074" s="1" t="str">
        <f t="array" ref="J1074">XLOOKUP(B1074,cat!B:B,cat!C:C)</f>
        <v>D</v>
      </c>
      <c r="K1074" s="1">
        <f t="array" ref="K1074">XLOOKUP(B1074,cat!B:B,cat!D:D)</f>
        <v>207</v>
      </c>
      <c r="L1074" s="7">
        <f t="shared" si="1"/>
        <v>0.06041666667</v>
      </c>
      <c r="M1074" s="7">
        <f t="shared" si="2"/>
        <v>0.039375</v>
      </c>
      <c r="P1074" s="9"/>
      <c r="Q1074" s="9">
        <f t="shared" si="3"/>
        <v>784.35</v>
      </c>
      <c r="R1074" s="1" t="str">
        <f t="shared" si="4"/>
        <v>VLG</v>
      </c>
      <c r="S1074" s="1" t="str">
        <f>IF($D1074="LEBL", IF(COUNTIF('Paises ECAC'!B:B, C1074)&gt;0, "ECAC","NO ECAC"), "")</f>
        <v>ECAC</v>
      </c>
    </row>
    <row r="1075" ht="14.25" customHeight="1">
      <c r="A1075" s="1" t="s">
        <v>1720</v>
      </c>
      <c r="B1075" s="1" t="s">
        <v>19</v>
      </c>
      <c r="C1075" s="1" t="s">
        <v>21</v>
      </c>
      <c r="D1075" s="1" t="s">
        <v>192</v>
      </c>
      <c r="E1075" s="1" t="s">
        <v>1079</v>
      </c>
      <c r="F1075" s="1">
        <v>370.0</v>
      </c>
      <c r="G1075" s="5">
        <v>0.9173611111111111</v>
      </c>
      <c r="H1075" s="1">
        <v>21.0</v>
      </c>
      <c r="I1075" s="5">
        <v>0.9861111111111112</v>
      </c>
      <c r="J1075" s="1" t="str">
        <f t="array" ref="J1075">XLOOKUP(B1075,cat!B:B,cat!C:C)</f>
        <v>D</v>
      </c>
      <c r="K1075" s="1">
        <f t="array" ref="K1075">XLOOKUP(B1075,cat!B:B,cat!D:D)</f>
        <v>184</v>
      </c>
      <c r="L1075" s="7">
        <f t="shared" si="1"/>
        <v>0.06875</v>
      </c>
      <c r="M1075" s="1" t="str">
        <f t="shared" si="2"/>
        <v/>
      </c>
      <c r="P1075" s="9"/>
      <c r="Q1075" s="9">
        <f t="shared" si="3"/>
        <v>0</v>
      </c>
      <c r="R1075" s="1" t="str">
        <f t="shared" si="4"/>
        <v>RYR</v>
      </c>
      <c r="S1075" s="1" t="str">
        <f>IF($D1075="LEBL", IF(COUNTIF('Paises ECAC'!B:B, C1075)&gt;0, "ECAC","NO ECAC"), "")</f>
        <v/>
      </c>
    </row>
    <row r="1076" ht="14.25" customHeight="1">
      <c r="A1076" s="1" t="s">
        <v>1721</v>
      </c>
      <c r="B1076" s="1" t="s">
        <v>30</v>
      </c>
      <c r="C1076" s="1" t="s">
        <v>166</v>
      </c>
      <c r="D1076" s="1" t="s">
        <v>21</v>
      </c>
      <c r="E1076" s="1" t="s">
        <v>206</v>
      </c>
      <c r="F1076" s="1">
        <v>380.0</v>
      </c>
      <c r="G1076" s="5">
        <v>0.8215277777777777</v>
      </c>
      <c r="H1076" s="1">
        <v>4.0</v>
      </c>
      <c r="I1076" s="5">
        <v>0.9375</v>
      </c>
      <c r="J1076" s="1" t="str">
        <f t="array" ref="J1076">XLOOKUP(B1076,cat!B:B,cat!C:C)</f>
        <v>D</v>
      </c>
      <c r="K1076" s="1">
        <f t="array" ref="K1076">XLOOKUP(B1076,cat!B:B,cat!D:D)</f>
        <v>173</v>
      </c>
      <c r="L1076" s="7">
        <f t="shared" si="1"/>
        <v>0.1159722222</v>
      </c>
      <c r="M1076" s="7">
        <f t="shared" si="2"/>
        <v>0.1004861111</v>
      </c>
      <c r="P1076" s="9"/>
      <c r="Q1076" s="9">
        <f t="shared" si="3"/>
        <v>2001.683333</v>
      </c>
      <c r="R1076" s="1" t="str">
        <f t="shared" si="4"/>
        <v>VLG</v>
      </c>
      <c r="S1076" s="1" t="str">
        <f>IF($D1076="LEBL", IF(COUNTIF('Paises ECAC'!B:B, C1076)&gt;0, "ECAC","NO ECAC"), "")</f>
        <v>ECAC</v>
      </c>
    </row>
    <row r="1077" ht="14.25" customHeight="1">
      <c r="A1077" s="1" t="s">
        <v>1722</v>
      </c>
      <c r="B1077" s="1" t="s">
        <v>35</v>
      </c>
      <c r="C1077" s="1" t="s">
        <v>20</v>
      </c>
      <c r="D1077" s="1" t="s">
        <v>21</v>
      </c>
      <c r="E1077" s="1" t="s">
        <v>172</v>
      </c>
      <c r="F1077" s="1">
        <v>340.0</v>
      </c>
      <c r="G1077" s="5">
        <v>0.8833333333333333</v>
      </c>
      <c r="H1077" s="1">
        <v>12.0</v>
      </c>
      <c r="I1077" s="5">
        <v>0.9375</v>
      </c>
      <c r="J1077" s="1" t="str">
        <f t="array" ref="J1077">XLOOKUP(B1077,cat!B:B,cat!C:C)</f>
        <v>D</v>
      </c>
      <c r="K1077" s="1">
        <f t="array" ref="K1077">XLOOKUP(B1077,cat!B:B,cat!D:D)</f>
        <v>207</v>
      </c>
      <c r="L1077" s="7">
        <f t="shared" si="1"/>
        <v>0.05416666667</v>
      </c>
      <c r="M1077" s="7">
        <f t="shared" si="2"/>
        <v>0.033125</v>
      </c>
      <c r="P1077" s="9"/>
      <c r="Q1077" s="9">
        <f t="shared" si="3"/>
        <v>659.85</v>
      </c>
      <c r="R1077" s="1" t="str">
        <f t="shared" si="4"/>
        <v>VLG</v>
      </c>
      <c r="S1077" s="1" t="str">
        <f>IF($D1077="LEBL", IF(COUNTIF('Paises ECAC'!B:B, C1077)&gt;0, "ECAC","NO ECAC"), "")</f>
        <v>ECAC</v>
      </c>
    </row>
    <row r="1078" ht="14.25" customHeight="1">
      <c r="A1078" s="1" t="s">
        <v>1723</v>
      </c>
      <c r="B1078" s="1" t="s">
        <v>30</v>
      </c>
      <c r="C1078" s="1" t="s">
        <v>143</v>
      </c>
      <c r="D1078" s="1" t="s">
        <v>21</v>
      </c>
      <c r="E1078" s="1" t="s">
        <v>1209</v>
      </c>
      <c r="F1078" s="1">
        <v>180.0</v>
      </c>
      <c r="G1078" s="5">
        <v>0.9125</v>
      </c>
      <c r="H1078" s="1">
        <v>10.0</v>
      </c>
      <c r="I1078" s="5">
        <v>0.9375</v>
      </c>
      <c r="J1078" s="1" t="str">
        <f t="array" ref="J1078">XLOOKUP(B1078,cat!B:B,cat!C:C)</f>
        <v>D</v>
      </c>
      <c r="K1078" s="1">
        <f t="array" ref="K1078">XLOOKUP(B1078,cat!B:B,cat!D:D)</f>
        <v>173</v>
      </c>
      <c r="L1078" s="7">
        <f t="shared" si="1"/>
        <v>0.025</v>
      </c>
      <c r="M1078" s="7">
        <f t="shared" si="2"/>
        <v>0.005347222222</v>
      </c>
      <c r="P1078" s="9"/>
      <c r="Q1078" s="9">
        <f t="shared" si="3"/>
        <v>106.5166667</v>
      </c>
      <c r="R1078" s="1" t="str">
        <f t="shared" si="4"/>
        <v>VLG</v>
      </c>
      <c r="S1078" s="1" t="str">
        <f>IF($D1078="LEBL", IF(COUNTIF('Paises ECAC'!B:B, C1078)&gt;0, "ECAC","NO ECAC"), "")</f>
        <v>ECAC</v>
      </c>
    </row>
    <row r="1079" ht="14.25" customHeight="1">
      <c r="A1079" s="1" t="s">
        <v>1665</v>
      </c>
      <c r="B1079" s="1" t="s">
        <v>1666</v>
      </c>
      <c r="C1079" s="1" t="s">
        <v>21</v>
      </c>
      <c r="D1079" s="1" t="s">
        <v>808</v>
      </c>
      <c r="E1079" s="1" t="s">
        <v>1668</v>
      </c>
      <c r="F1079" s="1">
        <v>310.0</v>
      </c>
      <c r="G1079" s="5">
        <v>0.9451388888888889</v>
      </c>
      <c r="H1079" s="1">
        <v>20.0</v>
      </c>
      <c r="I1079" s="5">
        <v>0.9826388888888888</v>
      </c>
      <c r="J1079" s="1" t="str">
        <f t="array" ref="J1079">XLOOKUP(B1079,cat!B:B,cat!C:C)</f>
        <v>F</v>
      </c>
      <c r="K1079" s="1">
        <f t="array" ref="K1079">XLOOKUP(B1079,cat!B:B,cat!D:D)</f>
        <v>8</v>
      </c>
      <c r="L1079" s="7">
        <f t="shared" si="1"/>
        <v>0.0375</v>
      </c>
      <c r="M1079" s="1" t="str">
        <f t="shared" si="2"/>
        <v/>
      </c>
      <c r="P1079" s="9"/>
      <c r="Q1079" s="9">
        <f t="shared" si="3"/>
        <v>0</v>
      </c>
      <c r="R1079" s="1" t="str">
        <f t="shared" si="4"/>
        <v>EOA</v>
      </c>
      <c r="S1079" s="1" t="str">
        <f>IF($D1079="LEBL", IF(COUNTIF('Paises ECAC'!B:B, C1079)&gt;0, "ECAC","NO ECAC"), "")</f>
        <v/>
      </c>
    </row>
    <row r="1080" ht="14.25" customHeight="1">
      <c r="A1080" s="1" t="s">
        <v>1724</v>
      </c>
      <c r="B1080" s="1" t="s">
        <v>35</v>
      </c>
      <c r="C1080" s="1" t="s">
        <v>221</v>
      </c>
      <c r="D1080" s="1" t="s">
        <v>21</v>
      </c>
      <c r="E1080" s="1" t="s">
        <v>193</v>
      </c>
      <c r="F1080" s="1">
        <v>350.0</v>
      </c>
      <c r="G1080" s="5">
        <v>0.8770833333333333</v>
      </c>
      <c r="H1080" s="1">
        <v>12.0</v>
      </c>
      <c r="I1080" s="5">
        <v>0.9409722222222222</v>
      </c>
      <c r="J1080" s="1" t="str">
        <f t="array" ref="J1080">XLOOKUP(B1080,cat!B:B,cat!C:C)</f>
        <v>D</v>
      </c>
      <c r="K1080" s="1">
        <f t="array" ref="K1080">XLOOKUP(B1080,cat!B:B,cat!D:D)</f>
        <v>207</v>
      </c>
      <c r="L1080" s="7">
        <f t="shared" si="1"/>
        <v>0.06388888889</v>
      </c>
      <c r="M1080" s="7">
        <f t="shared" si="2"/>
        <v>0.04284722222</v>
      </c>
      <c r="P1080" s="9"/>
      <c r="Q1080" s="9">
        <f t="shared" si="3"/>
        <v>853.5166667</v>
      </c>
      <c r="R1080" s="1" t="str">
        <f t="shared" si="4"/>
        <v>VLG</v>
      </c>
      <c r="S1080" s="1" t="str">
        <f>IF($D1080="LEBL", IF(COUNTIF('Paises ECAC'!B:B, C1080)&gt;0, "ECAC","NO ECAC"), "")</f>
        <v>ECAC</v>
      </c>
    </row>
    <row r="1081" ht="14.25" customHeight="1">
      <c r="A1081" s="1" t="s">
        <v>1725</v>
      </c>
      <c r="B1081" s="1" t="s">
        <v>19</v>
      </c>
      <c r="C1081" s="1" t="s">
        <v>448</v>
      </c>
      <c r="D1081" s="1" t="s">
        <v>21</v>
      </c>
      <c r="E1081" s="1" t="s">
        <v>797</v>
      </c>
      <c r="F1081" s="1">
        <v>370.0</v>
      </c>
      <c r="G1081" s="5">
        <v>0.8638888888888889</v>
      </c>
      <c r="H1081" s="1">
        <v>10.0</v>
      </c>
      <c r="I1081" s="5">
        <v>0.9409722222222222</v>
      </c>
      <c r="J1081" s="1" t="str">
        <f t="array" ref="J1081">XLOOKUP(B1081,cat!B:B,cat!C:C)</f>
        <v>D</v>
      </c>
      <c r="K1081" s="1">
        <f t="array" ref="K1081">XLOOKUP(B1081,cat!B:B,cat!D:D)</f>
        <v>184</v>
      </c>
      <c r="L1081" s="7">
        <f t="shared" si="1"/>
        <v>0.07708333333</v>
      </c>
      <c r="M1081" s="7">
        <f t="shared" si="2"/>
        <v>0.05743055556</v>
      </c>
      <c r="P1081" s="9"/>
      <c r="Q1081" s="9">
        <f t="shared" si="3"/>
        <v>1144.016667</v>
      </c>
      <c r="R1081" s="1" t="str">
        <f t="shared" si="4"/>
        <v>RYR</v>
      </c>
      <c r="S1081" s="1" t="str">
        <f>IF($D1081="LEBL", IF(COUNTIF('Paises ECAC'!B:B, C1081)&gt;0, "ECAC","NO ECAC"), "")</f>
        <v>ECAC</v>
      </c>
    </row>
    <row r="1082" ht="14.25" customHeight="1">
      <c r="A1082" s="1" t="s">
        <v>1726</v>
      </c>
      <c r="B1082" s="1" t="s">
        <v>30</v>
      </c>
      <c r="C1082" s="1" t="s">
        <v>21</v>
      </c>
      <c r="D1082" s="1" t="s">
        <v>26</v>
      </c>
      <c r="E1082" s="1" t="s">
        <v>114</v>
      </c>
      <c r="F1082" s="1">
        <v>370.0</v>
      </c>
      <c r="G1082" s="5">
        <v>0.9388888888888889</v>
      </c>
      <c r="H1082" s="1">
        <v>11.0</v>
      </c>
      <c r="I1082" s="5">
        <v>0.04513888888888889</v>
      </c>
      <c r="J1082" s="1" t="str">
        <f t="array" ref="J1082">XLOOKUP(B1082,cat!B:B,cat!C:C)</f>
        <v>D</v>
      </c>
      <c r="K1082" s="1">
        <f t="array" ref="K1082">XLOOKUP(B1082,cat!B:B,cat!D:D)</f>
        <v>173</v>
      </c>
      <c r="L1082" s="7">
        <f t="shared" si="1"/>
        <v>0.10625</v>
      </c>
      <c r="M1082" s="1" t="str">
        <f t="shared" si="2"/>
        <v/>
      </c>
      <c r="P1082" s="9"/>
      <c r="Q1082" s="9">
        <f t="shared" si="3"/>
        <v>0</v>
      </c>
      <c r="R1082" s="1" t="str">
        <f t="shared" si="4"/>
        <v>VLG</v>
      </c>
      <c r="S1082" s="1" t="str">
        <f>IF($D1082="LEBL", IF(COUNTIF('Paises ECAC'!B:B, C1082)&gt;0, "ECAC","NO ECAC"), "")</f>
        <v/>
      </c>
    </row>
    <row r="1083" ht="14.25" customHeight="1">
      <c r="A1083" s="1" t="s">
        <v>1727</v>
      </c>
      <c r="B1083" s="1" t="s">
        <v>30</v>
      </c>
      <c r="C1083" s="1" t="s">
        <v>245</v>
      </c>
      <c r="D1083" s="1" t="s">
        <v>21</v>
      </c>
      <c r="E1083" s="1" t="s">
        <v>180</v>
      </c>
      <c r="F1083" s="1">
        <v>160.0</v>
      </c>
      <c r="G1083" s="5">
        <v>0.9104166666666667</v>
      </c>
      <c r="H1083" s="1">
        <v>10.0</v>
      </c>
      <c r="I1083" s="5">
        <v>0.9409722222222222</v>
      </c>
      <c r="J1083" s="1" t="str">
        <f t="array" ref="J1083">XLOOKUP(B1083,cat!B:B,cat!C:C)</f>
        <v>D</v>
      </c>
      <c r="K1083" s="1">
        <f t="array" ref="K1083">XLOOKUP(B1083,cat!B:B,cat!D:D)</f>
        <v>173</v>
      </c>
      <c r="L1083" s="7">
        <f t="shared" si="1"/>
        <v>0.03055555556</v>
      </c>
      <c r="M1083" s="7">
        <f t="shared" si="2"/>
        <v>0.01090277778</v>
      </c>
      <c r="P1083" s="9"/>
      <c r="Q1083" s="9">
        <f t="shared" si="3"/>
        <v>217.1833333</v>
      </c>
      <c r="R1083" s="1" t="str">
        <f t="shared" si="4"/>
        <v>VLG</v>
      </c>
      <c r="S1083" s="1" t="str">
        <f>IF($D1083="LEBL", IF(COUNTIF('Paises ECAC'!B:B, C1083)&gt;0, "ECAC","NO ECAC"), "")</f>
        <v>ECAC</v>
      </c>
    </row>
    <row r="1084" ht="14.25" customHeight="1">
      <c r="A1084" s="1" t="s">
        <v>1728</v>
      </c>
      <c r="B1084" s="1" t="s">
        <v>35</v>
      </c>
      <c r="C1084" s="1" t="s">
        <v>107</v>
      </c>
      <c r="D1084" s="1" t="s">
        <v>21</v>
      </c>
      <c r="E1084" s="1" t="s">
        <v>219</v>
      </c>
      <c r="F1084" s="1">
        <v>340.0</v>
      </c>
      <c r="G1084" s="5">
        <v>0.8895833333333333</v>
      </c>
      <c r="H1084" s="1">
        <v>6.0</v>
      </c>
      <c r="I1084" s="5">
        <v>0.9444444444444444</v>
      </c>
      <c r="J1084" s="1" t="str">
        <f t="array" ref="J1084">XLOOKUP(B1084,cat!B:B,cat!C:C)</f>
        <v>D</v>
      </c>
      <c r="K1084" s="1">
        <f t="array" ref="K1084">XLOOKUP(B1084,cat!B:B,cat!D:D)</f>
        <v>207</v>
      </c>
      <c r="L1084" s="7">
        <f t="shared" si="1"/>
        <v>0.05486111111</v>
      </c>
      <c r="M1084" s="7">
        <f t="shared" si="2"/>
        <v>0.03798611111</v>
      </c>
      <c r="P1084" s="9"/>
      <c r="Q1084" s="9">
        <f t="shared" si="3"/>
        <v>756.6833333</v>
      </c>
      <c r="R1084" s="1" t="str">
        <f t="shared" si="4"/>
        <v>VLG</v>
      </c>
      <c r="S1084" s="1" t="str">
        <f>IF($D1084="LEBL", IF(COUNTIF('Paises ECAC'!B:B, C1084)&gt;0, "ECAC","NO ECAC"), "")</f>
        <v>ECAC</v>
      </c>
    </row>
    <row r="1085" ht="14.25" customHeight="1">
      <c r="A1085" s="1" t="s">
        <v>1729</v>
      </c>
      <c r="B1085" s="1" t="s">
        <v>30</v>
      </c>
      <c r="C1085" s="1" t="s">
        <v>329</v>
      </c>
      <c r="D1085" s="1" t="s">
        <v>21</v>
      </c>
      <c r="E1085" s="1" t="s">
        <v>764</v>
      </c>
      <c r="F1085" s="1">
        <v>320.0</v>
      </c>
      <c r="G1085" s="5">
        <v>0.8958333333333334</v>
      </c>
      <c r="H1085" s="1">
        <v>15.0</v>
      </c>
      <c r="I1085" s="5">
        <v>0.9479166666666666</v>
      </c>
      <c r="J1085" s="1" t="str">
        <f t="array" ref="J1085">XLOOKUP(B1085,cat!B:B,cat!C:C)</f>
        <v>D</v>
      </c>
      <c r="K1085" s="1">
        <f t="array" ref="K1085">XLOOKUP(B1085,cat!B:B,cat!D:D)</f>
        <v>173</v>
      </c>
      <c r="L1085" s="7">
        <f t="shared" si="1"/>
        <v>0.05208333333</v>
      </c>
      <c r="M1085" s="7">
        <f t="shared" si="2"/>
        <v>0.02895833333</v>
      </c>
      <c r="P1085" s="9"/>
      <c r="Q1085" s="9">
        <f t="shared" si="3"/>
        <v>576.85</v>
      </c>
      <c r="R1085" s="1" t="str">
        <f t="shared" si="4"/>
        <v>VLG</v>
      </c>
      <c r="S1085" s="1" t="str">
        <f>IF($D1085="LEBL", IF(COUNTIF('Paises ECAC'!B:B, C1085)&gt;0, "ECAC","NO ECAC"), "")</f>
        <v>ECAC</v>
      </c>
    </row>
    <row r="1086" ht="14.25" customHeight="1">
      <c r="A1086" s="1" t="s">
        <v>1730</v>
      </c>
      <c r="B1086" s="1" t="s">
        <v>30</v>
      </c>
      <c r="C1086" s="1" t="s">
        <v>678</v>
      </c>
      <c r="D1086" s="1" t="s">
        <v>21</v>
      </c>
      <c r="E1086" s="1" t="s">
        <v>275</v>
      </c>
      <c r="F1086" s="1">
        <v>380.0</v>
      </c>
      <c r="G1086" s="5">
        <v>0.8902777777777777</v>
      </c>
      <c r="H1086" s="1">
        <v>12.0</v>
      </c>
      <c r="I1086" s="5">
        <v>0.9479166666666666</v>
      </c>
      <c r="J1086" s="1" t="str">
        <f t="array" ref="J1086">XLOOKUP(B1086,cat!B:B,cat!C:C)</f>
        <v>D</v>
      </c>
      <c r="K1086" s="1">
        <f t="array" ref="K1086">XLOOKUP(B1086,cat!B:B,cat!D:D)</f>
        <v>173</v>
      </c>
      <c r="L1086" s="7">
        <f t="shared" si="1"/>
        <v>0.05763888889</v>
      </c>
      <c r="M1086" s="7">
        <f t="shared" si="2"/>
        <v>0.03659722222</v>
      </c>
      <c r="P1086" s="9"/>
      <c r="Q1086" s="9">
        <f t="shared" si="3"/>
        <v>729.0166667</v>
      </c>
      <c r="R1086" s="1" t="str">
        <f t="shared" si="4"/>
        <v>VLG</v>
      </c>
      <c r="S1086" s="1" t="str">
        <f>IF($D1086="LEBL", IF(COUNTIF('Paises ECAC'!B:B, C1086)&gt;0, "ECAC","NO ECAC"), "")</f>
        <v>ECAC</v>
      </c>
    </row>
    <row r="1087" ht="14.25" customHeight="1">
      <c r="A1087" s="1" t="s">
        <v>1731</v>
      </c>
      <c r="B1087" s="1" t="s">
        <v>136</v>
      </c>
      <c r="C1087" s="1" t="s">
        <v>682</v>
      </c>
      <c r="D1087" s="1" t="s">
        <v>21</v>
      </c>
      <c r="E1087" s="1" t="s">
        <v>311</v>
      </c>
      <c r="F1087" s="1">
        <v>300.0</v>
      </c>
      <c r="G1087" s="5">
        <v>0.9152777777777777</v>
      </c>
      <c r="H1087" s="1">
        <v>12.0</v>
      </c>
      <c r="I1087" s="5">
        <v>0.9479166666666666</v>
      </c>
      <c r="J1087" s="1" t="str">
        <f t="array" ref="J1087">XLOOKUP(B1087,cat!B:B,cat!C:C)</f>
        <v>D</v>
      </c>
      <c r="K1087" s="1">
        <f t="array" ref="K1087">XLOOKUP(B1087,cat!B:B,cat!D:D)</f>
        <v>144</v>
      </c>
      <c r="L1087" s="7">
        <f t="shared" si="1"/>
        <v>0.03263888889</v>
      </c>
      <c r="M1087" s="7">
        <f t="shared" si="2"/>
        <v>0.01159722222</v>
      </c>
      <c r="P1087" s="9"/>
      <c r="Q1087" s="9">
        <f t="shared" si="3"/>
        <v>231.0166667</v>
      </c>
      <c r="R1087" s="1" t="str">
        <f t="shared" si="4"/>
        <v>VLG</v>
      </c>
      <c r="S1087" s="1" t="str">
        <f>IF($D1087="LEBL", IF(COUNTIF('Paises ECAC'!B:B, C1087)&gt;0, "ECAC","NO ECAC"), "")</f>
        <v>ECAC</v>
      </c>
    </row>
    <row r="1088" ht="14.25" customHeight="1">
      <c r="A1088" s="1" t="s">
        <v>1732</v>
      </c>
      <c r="B1088" s="1" t="s">
        <v>35</v>
      </c>
      <c r="C1088" s="1" t="s">
        <v>192</v>
      </c>
      <c r="D1088" s="1" t="s">
        <v>21</v>
      </c>
      <c r="E1088" s="1" t="s">
        <v>256</v>
      </c>
      <c r="F1088" s="1">
        <v>320.0</v>
      </c>
      <c r="G1088" s="5">
        <v>0.9</v>
      </c>
      <c r="H1088" s="1">
        <v>11.0</v>
      </c>
      <c r="I1088" s="5">
        <v>0.9513888888888888</v>
      </c>
      <c r="J1088" s="1" t="str">
        <f t="array" ref="J1088">XLOOKUP(B1088,cat!B:B,cat!C:C)</f>
        <v>D</v>
      </c>
      <c r="K1088" s="1">
        <f t="array" ref="K1088">XLOOKUP(B1088,cat!B:B,cat!D:D)</f>
        <v>207</v>
      </c>
      <c r="L1088" s="7">
        <f t="shared" si="1"/>
        <v>0.05138888889</v>
      </c>
      <c r="M1088" s="7">
        <f t="shared" si="2"/>
        <v>0.03104166667</v>
      </c>
      <c r="P1088" s="9"/>
      <c r="Q1088" s="9">
        <f t="shared" si="3"/>
        <v>618.35</v>
      </c>
      <c r="R1088" s="1" t="str">
        <f t="shared" si="4"/>
        <v>VLG</v>
      </c>
      <c r="S1088" s="1" t="str">
        <f>IF($D1088="LEBL", IF(COUNTIF('Paises ECAC'!B:B, C1088)&gt;0, "ECAC","NO ECAC"), "")</f>
        <v>ECAC</v>
      </c>
    </row>
    <row r="1089" ht="14.25" customHeight="1">
      <c r="A1089" s="1" t="s">
        <v>1733</v>
      </c>
      <c r="B1089" s="1" t="s">
        <v>30</v>
      </c>
      <c r="C1089" s="1" t="s">
        <v>1272</v>
      </c>
      <c r="D1089" s="1" t="s">
        <v>21</v>
      </c>
      <c r="E1089" s="1" t="s">
        <v>302</v>
      </c>
      <c r="F1089" s="1">
        <v>340.0</v>
      </c>
      <c r="G1089" s="5">
        <v>0.9104166666666667</v>
      </c>
      <c r="H1089" s="1">
        <v>8.0</v>
      </c>
      <c r="I1089" s="5">
        <v>0.9513888888888888</v>
      </c>
      <c r="J1089" s="1" t="str">
        <f t="array" ref="J1089">XLOOKUP(B1089,cat!B:B,cat!C:C)</f>
        <v>D</v>
      </c>
      <c r="K1089" s="1">
        <f t="array" ref="K1089">XLOOKUP(B1089,cat!B:B,cat!D:D)</f>
        <v>173</v>
      </c>
      <c r="L1089" s="7">
        <f t="shared" si="1"/>
        <v>0.04097222222</v>
      </c>
      <c r="M1089" s="7">
        <f t="shared" si="2"/>
        <v>0.02270833333</v>
      </c>
      <c r="P1089" s="9"/>
      <c r="Q1089" s="9">
        <f t="shared" si="3"/>
        <v>452.35</v>
      </c>
      <c r="R1089" s="1" t="str">
        <f t="shared" si="4"/>
        <v>VLG</v>
      </c>
      <c r="S1089" s="1" t="str">
        <f>IF($D1089="LEBL", IF(COUNTIF('Paises ECAC'!B:B, C1089)&gt;0, "ECAC","NO ECAC"), "")</f>
        <v>ECAC</v>
      </c>
    </row>
    <row r="1090" ht="14.25" customHeight="1">
      <c r="A1090" s="1" t="s">
        <v>1734</v>
      </c>
      <c r="B1090" s="1" t="s">
        <v>30</v>
      </c>
      <c r="C1090" s="1" t="s">
        <v>21</v>
      </c>
      <c r="D1090" s="1" t="s">
        <v>1562</v>
      </c>
      <c r="E1090" s="1" t="s">
        <v>1675</v>
      </c>
      <c r="F1090" s="1">
        <v>370.0</v>
      </c>
      <c r="G1090" s="5">
        <v>0.9520833333333333</v>
      </c>
      <c r="H1090" s="1">
        <v>12.0</v>
      </c>
      <c r="I1090" s="5">
        <v>0.003472222222222222</v>
      </c>
      <c r="J1090" s="1" t="str">
        <f t="array" ref="J1090">XLOOKUP(B1090,cat!B:B,cat!C:C)</f>
        <v>D</v>
      </c>
      <c r="K1090" s="1">
        <f t="array" ref="K1090">XLOOKUP(B1090,cat!B:B,cat!D:D)</f>
        <v>173</v>
      </c>
      <c r="L1090" s="7">
        <f t="shared" si="1"/>
        <v>0.05138888889</v>
      </c>
      <c r="M1090" s="1" t="str">
        <f t="shared" si="2"/>
        <v/>
      </c>
      <c r="P1090" s="9"/>
      <c r="Q1090" s="9">
        <f t="shared" si="3"/>
        <v>0</v>
      </c>
      <c r="R1090" s="1" t="str">
        <f t="shared" si="4"/>
        <v>TAR</v>
      </c>
      <c r="S1090" s="1" t="str">
        <f>IF($D1090="LEBL", IF(COUNTIF('Paises ECAC'!B:B, C1090)&gt;0, "ECAC","NO ECAC"), "")</f>
        <v/>
      </c>
    </row>
    <row r="1091" ht="14.25" customHeight="1">
      <c r="A1091" s="1" t="s">
        <v>1735</v>
      </c>
      <c r="B1091" s="1" t="s">
        <v>40</v>
      </c>
      <c r="C1091" s="1" t="s">
        <v>374</v>
      </c>
      <c r="D1091" s="1" t="s">
        <v>21</v>
      </c>
      <c r="E1091" s="1" t="s">
        <v>120</v>
      </c>
      <c r="F1091" s="1">
        <v>370.0</v>
      </c>
      <c r="G1091" s="5">
        <v>0.8625</v>
      </c>
      <c r="H1091" s="1">
        <v>12.0</v>
      </c>
      <c r="I1091" s="5">
        <v>0.9548611111111112</v>
      </c>
      <c r="J1091" s="1" t="str">
        <f t="array" ref="J1091">XLOOKUP(B1091,cat!B:B,cat!C:C)</f>
        <v>D</v>
      </c>
      <c r="K1091" s="1">
        <f t="array" ref="K1091">XLOOKUP(B1091,cat!B:B,cat!D:D)</f>
        <v>186</v>
      </c>
      <c r="L1091" s="7">
        <f t="shared" si="1"/>
        <v>0.09236111111</v>
      </c>
      <c r="M1091" s="7">
        <f t="shared" si="2"/>
        <v>0.07131944444</v>
      </c>
      <c r="P1091" s="9"/>
      <c r="Q1091" s="9">
        <f t="shared" si="3"/>
        <v>1420.683333</v>
      </c>
      <c r="R1091" s="1" t="str">
        <f t="shared" si="4"/>
        <v>RYR</v>
      </c>
      <c r="S1091" s="1" t="str">
        <f>IF($D1091="LEBL", IF(COUNTIF('Paises ECAC'!B:B, C1091)&gt;0, "ECAC","NO ECAC"), "")</f>
        <v>ECAC</v>
      </c>
    </row>
    <row r="1092" ht="14.25" customHeight="1">
      <c r="A1092" s="1" t="s">
        <v>1736</v>
      </c>
      <c r="B1092" s="1" t="s">
        <v>30</v>
      </c>
      <c r="C1092" s="1" t="s">
        <v>298</v>
      </c>
      <c r="D1092" s="1" t="s">
        <v>21</v>
      </c>
      <c r="E1092" s="1" t="s">
        <v>103</v>
      </c>
      <c r="F1092" s="1">
        <v>320.0</v>
      </c>
      <c r="G1092" s="5">
        <v>0.9069444444444444</v>
      </c>
      <c r="H1092" s="1">
        <v>6.0</v>
      </c>
      <c r="I1092" s="5">
        <v>0.9548611111111112</v>
      </c>
      <c r="J1092" s="1" t="str">
        <f t="array" ref="J1092">XLOOKUP(B1092,cat!B:B,cat!C:C)</f>
        <v>D</v>
      </c>
      <c r="K1092" s="1">
        <f t="array" ref="K1092">XLOOKUP(B1092,cat!B:B,cat!D:D)</f>
        <v>173</v>
      </c>
      <c r="L1092" s="7">
        <f t="shared" si="1"/>
        <v>0.04791666667</v>
      </c>
      <c r="M1092" s="7">
        <f t="shared" si="2"/>
        <v>0.03104166667</v>
      </c>
      <c r="P1092" s="9"/>
      <c r="Q1092" s="9">
        <f t="shared" si="3"/>
        <v>618.35</v>
      </c>
      <c r="R1092" s="1" t="str">
        <f t="shared" si="4"/>
        <v>VLG</v>
      </c>
      <c r="S1092" s="1" t="str">
        <f>IF($D1092="LEBL", IF(COUNTIF('Paises ECAC'!B:B, C1092)&gt;0, "ECAC","NO ECAC"), "")</f>
        <v>NO ECAC</v>
      </c>
    </row>
    <row r="1093" ht="14.25" customHeight="1">
      <c r="A1093" s="1" t="s">
        <v>1737</v>
      </c>
      <c r="B1093" s="1" t="s">
        <v>19</v>
      </c>
      <c r="C1093" s="1" t="s">
        <v>129</v>
      </c>
      <c r="D1093" s="1" t="s">
        <v>21</v>
      </c>
      <c r="E1093" s="1" t="s">
        <v>167</v>
      </c>
      <c r="F1093" s="1">
        <v>350.0</v>
      </c>
      <c r="G1093" s="5">
        <v>0.9131944444444444</v>
      </c>
      <c r="H1093" s="1">
        <v>7.0</v>
      </c>
      <c r="I1093" s="5">
        <v>0.9583333333333334</v>
      </c>
      <c r="J1093" s="1" t="str">
        <f t="array" ref="J1093">XLOOKUP(B1093,cat!B:B,cat!C:C)</f>
        <v>D</v>
      </c>
      <c r="K1093" s="1">
        <f t="array" ref="K1093">XLOOKUP(B1093,cat!B:B,cat!D:D)</f>
        <v>184</v>
      </c>
      <c r="L1093" s="7">
        <f t="shared" si="1"/>
        <v>0.04513888889</v>
      </c>
      <c r="M1093" s="7">
        <f t="shared" si="2"/>
        <v>0.02756944444</v>
      </c>
      <c r="P1093" s="9"/>
      <c r="Q1093" s="9">
        <f t="shared" si="3"/>
        <v>549.1833333</v>
      </c>
      <c r="R1093" s="1" t="str">
        <f t="shared" si="4"/>
        <v>RYR</v>
      </c>
      <c r="S1093" s="1" t="str">
        <f>IF($D1093="LEBL", IF(COUNTIF('Paises ECAC'!B:B, C1093)&gt;0, "ECAC","NO ECAC"), "")</f>
        <v>ECAC</v>
      </c>
    </row>
    <row r="1094" ht="14.25" customHeight="1">
      <c r="A1094" s="1" t="s">
        <v>1738</v>
      </c>
      <c r="B1094" s="1" t="s">
        <v>19</v>
      </c>
      <c r="C1094" s="1" t="s">
        <v>1243</v>
      </c>
      <c r="D1094" s="1" t="s">
        <v>21</v>
      </c>
      <c r="E1094" s="1" t="s">
        <v>372</v>
      </c>
      <c r="F1094" s="1">
        <v>410.0</v>
      </c>
      <c r="G1094" s="5">
        <v>0.8451388888888889</v>
      </c>
      <c r="H1094" s="1">
        <v>15.0</v>
      </c>
      <c r="I1094" s="5">
        <v>0.9583333333333334</v>
      </c>
      <c r="J1094" s="1" t="str">
        <f t="array" ref="J1094">XLOOKUP(B1094,cat!B:B,cat!C:C)</f>
        <v>D</v>
      </c>
      <c r="K1094" s="1">
        <f t="array" ref="K1094">XLOOKUP(B1094,cat!B:B,cat!D:D)</f>
        <v>184</v>
      </c>
      <c r="L1094" s="7">
        <f t="shared" si="1"/>
        <v>0.1131944444</v>
      </c>
      <c r="M1094" s="7">
        <f t="shared" si="2"/>
        <v>0.09006944444</v>
      </c>
      <c r="P1094" s="9"/>
      <c r="Q1094" s="9">
        <f t="shared" si="3"/>
        <v>1794.183333</v>
      </c>
      <c r="R1094" s="1" t="str">
        <f t="shared" si="4"/>
        <v>NSZ</v>
      </c>
      <c r="S1094" s="1" t="str">
        <f>IF($D1094="LEBL", IF(COUNTIF('Paises ECAC'!B:B, C1094)&gt;0, "ECAC","NO ECAC"), "")</f>
        <v>ECAC</v>
      </c>
    </row>
    <row r="1095" ht="14.25" customHeight="1">
      <c r="A1095" s="1" t="s">
        <v>1739</v>
      </c>
      <c r="B1095" s="1" t="s">
        <v>19</v>
      </c>
      <c r="C1095" s="1" t="s">
        <v>1524</v>
      </c>
      <c r="D1095" s="1" t="s">
        <v>21</v>
      </c>
      <c r="E1095" s="1" t="s">
        <v>1414</v>
      </c>
      <c r="F1095" s="1">
        <v>370.0</v>
      </c>
      <c r="G1095" s="5">
        <v>0.9006944444444445</v>
      </c>
      <c r="H1095" s="1">
        <v>10.0</v>
      </c>
      <c r="I1095" s="5">
        <v>0.9618055555555556</v>
      </c>
      <c r="J1095" s="1" t="str">
        <f t="array" ref="J1095">XLOOKUP(B1095,cat!B:B,cat!C:C)</f>
        <v>D</v>
      </c>
      <c r="K1095" s="1">
        <f t="array" ref="K1095">XLOOKUP(B1095,cat!B:B,cat!D:D)</f>
        <v>184</v>
      </c>
      <c r="L1095" s="7">
        <f t="shared" si="1"/>
        <v>0.06111111111</v>
      </c>
      <c r="M1095" s="7">
        <f t="shared" si="2"/>
        <v>0.04145833333</v>
      </c>
      <c r="P1095" s="9"/>
      <c r="Q1095" s="9">
        <f t="shared" si="3"/>
        <v>825.85</v>
      </c>
      <c r="R1095" s="1" t="str">
        <f t="shared" si="4"/>
        <v>RYR</v>
      </c>
      <c r="S1095" s="1" t="str">
        <f>IF($D1095="LEBL", IF(COUNTIF('Paises ECAC'!B:B, C1095)&gt;0, "ECAC","NO ECAC"), "")</f>
        <v>ECAC</v>
      </c>
    </row>
    <row r="1096" ht="14.25" customHeight="1">
      <c r="A1096" s="1" t="s">
        <v>1740</v>
      </c>
      <c r="B1096" s="1" t="s">
        <v>19</v>
      </c>
      <c r="C1096" s="1" t="s">
        <v>322</v>
      </c>
      <c r="D1096" s="1" t="s">
        <v>21</v>
      </c>
      <c r="E1096" s="1" t="s">
        <v>111</v>
      </c>
      <c r="F1096" s="1">
        <v>380.0</v>
      </c>
      <c r="G1096" s="5">
        <v>0.9222222222222223</v>
      </c>
      <c r="H1096" s="1">
        <v>12.0</v>
      </c>
      <c r="I1096" s="5">
        <v>0.96875</v>
      </c>
      <c r="J1096" s="1" t="str">
        <f t="array" ref="J1096">XLOOKUP(B1096,cat!B:B,cat!C:C)</f>
        <v>D</v>
      </c>
      <c r="K1096" s="1">
        <f t="array" ref="K1096">XLOOKUP(B1096,cat!B:B,cat!D:D)</f>
        <v>184</v>
      </c>
      <c r="L1096" s="7">
        <f t="shared" si="1"/>
        <v>0.04652777778</v>
      </c>
      <c r="M1096" s="7">
        <f t="shared" si="2"/>
        <v>0.02548611111</v>
      </c>
      <c r="P1096" s="9"/>
      <c r="Q1096" s="9">
        <f t="shared" si="3"/>
        <v>507.6833333</v>
      </c>
      <c r="R1096" s="1" t="str">
        <f t="shared" si="4"/>
        <v>RYR</v>
      </c>
      <c r="S1096" s="1" t="str">
        <f>IF($D1096="LEBL", IF(COUNTIF('Paises ECAC'!B:B, C1096)&gt;0, "ECAC","NO ECAC"), "")</f>
        <v>ECAC</v>
      </c>
    </row>
    <row r="1097" ht="14.25" customHeight="1">
      <c r="A1097" s="1" t="s">
        <v>18</v>
      </c>
      <c r="B1097" s="1" t="s">
        <v>19</v>
      </c>
      <c r="C1097" s="1" t="s">
        <v>20</v>
      </c>
      <c r="D1097" s="1" t="s">
        <v>21</v>
      </c>
      <c r="E1097" s="1" t="s">
        <v>144</v>
      </c>
      <c r="F1097" s="1">
        <v>320.0</v>
      </c>
      <c r="G1097" s="5">
        <v>0.9027777777777778</v>
      </c>
      <c r="H1097" s="1">
        <v>15.0</v>
      </c>
      <c r="I1097" s="5">
        <v>0.9722222222222222</v>
      </c>
      <c r="J1097" s="1" t="str">
        <f t="array" ref="J1097">XLOOKUP(B1097,cat!B:B,cat!C:C)</f>
        <v>D</v>
      </c>
      <c r="K1097" s="1">
        <f t="array" ref="K1097">XLOOKUP(B1097,cat!B:B,cat!D:D)</f>
        <v>184</v>
      </c>
      <c r="L1097" s="7">
        <f t="shared" si="1"/>
        <v>0.06944444444</v>
      </c>
      <c r="M1097" s="7">
        <f t="shared" si="2"/>
        <v>0.04631944444</v>
      </c>
      <c r="P1097" s="9"/>
      <c r="Q1097" s="9">
        <f t="shared" si="3"/>
        <v>922.6833333</v>
      </c>
      <c r="R1097" s="1" t="str">
        <f t="shared" si="4"/>
        <v>RYR</v>
      </c>
      <c r="S1097" s="1" t="str">
        <f>IF($D1097="LEBL", IF(COUNTIF('Paises ECAC'!B:B, C1097)&gt;0, "ECAC","NO ECAC"), "")</f>
        <v>ECAC</v>
      </c>
    </row>
    <row r="1098" ht="14.25" customHeight="1">
      <c r="A1098" s="1" t="s">
        <v>39</v>
      </c>
      <c r="B1098" s="1" t="s">
        <v>19</v>
      </c>
      <c r="C1098" s="1" t="s">
        <v>41</v>
      </c>
      <c r="D1098" s="1" t="s">
        <v>21</v>
      </c>
      <c r="E1098" s="1" t="s">
        <v>146</v>
      </c>
      <c r="F1098" s="1">
        <v>370.0</v>
      </c>
      <c r="G1098" s="5">
        <v>0.8888888888888888</v>
      </c>
      <c r="H1098" s="1">
        <v>20.0</v>
      </c>
      <c r="I1098" s="5">
        <v>0.9722222222222222</v>
      </c>
      <c r="J1098" s="1" t="str">
        <f t="array" ref="J1098">XLOOKUP(B1098,cat!B:B,cat!C:C)</f>
        <v>D</v>
      </c>
      <c r="K1098" s="1">
        <f t="array" ref="K1098">XLOOKUP(B1098,cat!B:B,cat!D:D)</f>
        <v>184</v>
      </c>
      <c r="L1098" s="7">
        <f t="shared" si="1"/>
        <v>0.08333333333</v>
      </c>
      <c r="M1098" s="7">
        <f t="shared" si="2"/>
        <v>0.05673611111</v>
      </c>
      <c r="P1098" s="9"/>
      <c r="Q1098" s="9">
        <f t="shared" si="3"/>
        <v>1130.183333</v>
      </c>
      <c r="R1098" s="1" t="str">
        <f t="shared" si="4"/>
        <v>RYR</v>
      </c>
      <c r="S1098" s="1" t="str">
        <f>IF($D1098="LEBL", IF(COUNTIF('Paises ECAC'!B:B, C1098)&gt;0, "ECAC","NO ECAC"), "")</f>
        <v>ECAC</v>
      </c>
    </row>
    <row r="1099" ht="14.25" customHeight="1">
      <c r="A1099" s="1" t="s">
        <v>1741</v>
      </c>
      <c r="B1099" s="1" t="s">
        <v>1742</v>
      </c>
      <c r="C1099" s="1" t="s">
        <v>21</v>
      </c>
      <c r="D1099" s="1" t="s">
        <v>1743</v>
      </c>
      <c r="E1099" s="1" t="s">
        <v>1744</v>
      </c>
      <c r="F1099" s="1">
        <v>490.0</v>
      </c>
      <c r="G1099" s="5">
        <v>0.96875</v>
      </c>
      <c r="H1099" s="1">
        <v>15.0</v>
      </c>
      <c r="I1099" s="5">
        <v>0.25</v>
      </c>
      <c r="J1099" s="1" t="str">
        <f t="array" ref="J1099">XLOOKUP(B1099,cat!B:B,cat!C:C)</f>
        <v>E</v>
      </c>
      <c r="K1099" s="1">
        <f t="array" ref="K1099">XLOOKUP(B1099,cat!B:B,cat!D:D)</f>
        <v>16</v>
      </c>
      <c r="L1099" s="7">
        <f t="shared" si="1"/>
        <v>0.28125</v>
      </c>
      <c r="M1099" s="1" t="str">
        <f t="shared" si="2"/>
        <v/>
      </c>
      <c r="P1099" s="9"/>
      <c r="Q1099" s="9">
        <f t="shared" si="3"/>
        <v>0</v>
      </c>
      <c r="R1099" s="1" t="str">
        <f t="shared" si="4"/>
        <v>VJT</v>
      </c>
      <c r="S1099" s="1" t="str">
        <f>IF($D1099="LEBL", IF(COUNTIF('Paises ECAC'!B:B, C1099)&gt;0, "ECAC","NO ECAC"), "")</f>
        <v/>
      </c>
    </row>
    <row r="1100" ht="14.25" customHeight="1">
      <c r="A1100" s="1" t="s">
        <v>1745</v>
      </c>
      <c r="B1100" s="1" t="s">
        <v>25</v>
      </c>
      <c r="C1100" s="1" t="s">
        <v>26</v>
      </c>
      <c r="D1100" s="1" t="s">
        <v>21</v>
      </c>
      <c r="E1100" s="1" t="s">
        <v>1746</v>
      </c>
      <c r="F1100" s="1">
        <v>380.0</v>
      </c>
      <c r="G1100" s="5">
        <v>0.8701388888888889</v>
      </c>
      <c r="H1100" s="1">
        <v>14.0</v>
      </c>
      <c r="I1100" s="5">
        <v>0.9756944444444444</v>
      </c>
      <c r="J1100" s="1" t="str">
        <f t="array" ref="J1100">XLOOKUP(B1100,cat!B:B,cat!C:C)</f>
        <v>D</v>
      </c>
      <c r="K1100" s="1">
        <f t="array" ref="K1100">XLOOKUP(B1100,cat!B:B,cat!D:D)</f>
        <v>180</v>
      </c>
      <c r="L1100" s="7">
        <f t="shared" si="1"/>
        <v>0.1055555556</v>
      </c>
      <c r="M1100" s="7">
        <f t="shared" si="2"/>
        <v>0.083125</v>
      </c>
      <c r="P1100" s="9"/>
      <c r="Q1100" s="9">
        <f t="shared" si="3"/>
        <v>1655.85</v>
      </c>
      <c r="R1100" s="1" t="str">
        <f t="shared" si="4"/>
        <v>AEE</v>
      </c>
      <c r="S1100" s="1" t="str">
        <f>IF($D1100="LEBL", IF(COUNTIF('Paises ECAC'!B:B, C1100)&gt;0, "ECAC","NO ECAC"), "")</f>
        <v>ECAC</v>
      </c>
    </row>
    <row r="1101" ht="14.25" customHeight="1">
      <c r="A1101" s="1" t="s">
        <v>1747</v>
      </c>
      <c r="B1101" s="1" t="s">
        <v>30</v>
      </c>
      <c r="C1101" s="1" t="s">
        <v>107</v>
      </c>
      <c r="D1101" s="1" t="s">
        <v>21</v>
      </c>
      <c r="E1101" s="1" t="s">
        <v>1748</v>
      </c>
      <c r="F1101" s="1">
        <v>380.0</v>
      </c>
      <c r="G1101" s="5">
        <v>0.9111111111111111</v>
      </c>
      <c r="H1101" s="1">
        <v>16.0</v>
      </c>
      <c r="I1101" s="5">
        <v>0.9756944444444444</v>
      </c>
      <c r="J1101" s="1" t="str">
        <f t="array" ref="J1101">XLOOKUP(B1101,cat!B:B,cat!C:C)</f>
        <v>D</v>
      </c>
      <c r="K1101" s="1">
        <f t="array" ref="K1101">XLOOKUP(B1101,cat!B:B,cat!D:D)</f>
        <v>173</v>
      </c>
      <c r="L1101" s="7">
        <f t="shared" si="1"/>
        <v>0.06458333333</v>
      </c>
      <c r="M1101" s="7">
        <f t="shared" si="2"/>
        <v>0.04076388889</v>
      </c>
      <c r="P1101" s="9"/>
      <c r="Q1101" s="9">
        <f t="shared" si="3"/>
        <v>812.0166667</v>
      </c>
      <c r="R1101" s="1" t="str">
        <f t="shared" si="4"/>
        <v>TAP</v>
      </c>
      <c r="S1101" s="1" t="str">
        <f>IF($D1101="LEBL", IF(COUNTIF('Paises ECAC'!B:B, C1101)&gt;0, "ECAC","NO ECAC"), "")</f>
        <v>ECAC</v>
      </c>
    </row>
    <row r="1102" ht="14.25" customHeight="1">
      <c r="A1102" s="1" t="s">
        <v>1749</v>
      </c>
      <c r="B1102" s="1" t="s">
        <v>57</v>
      </c>
      <c r="C1102" s="1" t="s">
        <v>21</v>
      </c>
      <c r="D1102" s="1" t="s">
        <v>58</v>
      </c>
      <c r="E1102" s="1" t="s">
        <v>1172</v>
      </c>
      <c r="F1102" s="1">
        <v>400.0</v>
      </c>
      <c r="G1102" s="5">
        <v>0.9875</v>
      </c>
      <c r="H1102" s="1">
        <v>12.0</v>
      </c>
      <c r="I1102" s="5">
        <v>0.5</v>
      </c>
      <c r="J1102" s="1" t="str">
        <f t="array" ref="J1102">XLOOKUP(B1102,cat!B:B,cat!C:C)</f>
        <v>B</v>
      </c>
      <c r="K1102" s="1">
        <f t="array" ref="K1102">XLOOKUP(B1102,cat!B:B,cat!D:D)</f>
        <v>281</v>
      </c>
      <c r="L1102" s="7">
        <f t="shared" si="1"/>
        <v>0.5125</v>
      </c>
      <c r="M1102" s="1" t="str">
        <f t="shared" si="2"/>
        <v/>
      </c>
      <c r="P1102" s="9"/>
      <c r="Q1102" s="9">
        <f t="shared" si="3"/>
        <v>0</v>
      </c>
      <c r="R1102" s="1" t="str">
        <f t="shared" si="4"/>
        <v>IBE</v>
      </c>
      <c r="S1102" s="1" t="str">
        <f>IF($D1102="LEBL", IF(COUNTIF('Paises ECAC'!B:B, C1102)&gt;0, "ECAC","NO ECAC"), "")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5" max="1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O1" s="4" t="s">
        <v>15</v>
      </c>
      <c r="P1" s="2" t="s">
        <v>16</v>
      </c>
      <c r="Q1" s="2" t="s">
        <v>17</v>
      </c>
    </row>
    <row r="2">
      <c r="A2" s="1" t="str">
        <f>IFERROR(__xludf.DUMMYFUNCTION("FILTER(LEBL_10AUG2025!A:M, LEBL_10AUG2025!D:D = ""LEBL"")"),"RYR404A")</f>
        <v>RYR404A</v>
      </c>
      <c r="B2" s="1" t="str">
        <f>IFERROR(__xludf.DUMMYFUNCTION("""COMPUTED_VALUE"""),"B738")</f>
        <v>B738</v>
      </c>
      <c r="C2" s="1" t="str">
        <f>IFERROR(__xludf.DUMMYFUNCTION("""COMPUTED_VALUE"""),"LPPR")</f>
        <v>LPPR</v>
      </c>
      <c r="D2" s="1" t="str">
        <f>IFERROR(__xludf.DUMMYFUNCTION("""COMPUTED_VALUE"""),"LEBL")</f>
        <v>LEBL</v>
      </c>
      <c r="E2" s="1" t="str">
        <f>IFERROR(__xludf.DUMMYFUNCTION("""COMPUTED_VALUE"""),"EIDCJ")</f>
        <v>EIDCJ</v>
      </c>
      <c r="F2" s="1">
        <f>IFERROR(__xludf.DUMMYFUNCTION("""COMPUTED_VALUE"""),380.0)</f>
        <v>380</v>
      </c>
      <c r="G2" s="7">
        <f>IFERROR(__xludf.DUMMYFUNCTION("""COMPUTED_VALUE"""),0.9513888888888888)</f>
        <v>0.9513888889</v>
      </c>
      <c r="H2" s="6">
        <f>IFERROR(__xludf.DUMMYFUNCTION("""COMPUTED_VALUE"""),15.0)</f>
        <v>15</v>
      </c>
      <c r="I2" s="7">
        <f>IFERROR(__xludf.DUMMYFUNCTION("""COMPUTED_VALUE"""),0.003472222222222222)</f>
        <v>0.003472222222</v>
      </c>
      <c r="J2" s="1" t="str">
        <f>IFERROR(__xludf.DUMMYFUNCTION("""COMPUTED_VALUE"""),"D")</f>
        <v>D</v>
      </c>
      <c r="K2" s="1">
        <f>IFERROR(__xludf.DUMMYFUNCTION("""COMPUTED_VALUE"""),184.0)</f>
        <v>184</v>
      </c>
      <c r="L2" s="7">
        <f>IFERROR(__xludf.DUMMYFUNCTION("""COMPUTED_VALUE"""),0.05208333333333337)</f>
        <v>0.05208333333</v>
      </c>
      <c r="M2" s="7">
        <f>IFERROR(__xludf.DUMMYFUNCTION("""COMPUTED_VALUE"""),0.02895833333333337)</f>
        <v>0.02895833333</v>
      </c>
      <c r="O2" s="9">
        <f>IFERROR(__xludf.DUMMYFUNCTION("FILTER(LEBL_10AUG2025!Q:S, LEBL_10AUG2025!D:D = ""LEBL"")"),576.8500000000008)</f>
        <v>576.85</v>
      </c>
      <c r="P2" s="1" t="str">
        <f>IFERROR(__xludf.DUMMYFUNCTION("""COMPUTED_VALUE"""),"RYR")</f>
        <v>RYR</v>
      </c>
      <c r="Q2" s="1" t="str">
        <f>IFERROR(__xludf.DUMMYFUNCTION("""COMPUTED_VALUE"""),"ECAC")</f>
        <v>ECAC</v>
      </c>
    </row>
    <row r="3">
      <c r="A3" s="1" t="str">
        <f>IFERROR(__xludf.DUMMYFUNCTION("""COMPUTED_VALUE"""),"VLG7575")</f>
        <v>VLG7575</v>
      </c>
      <c r="B3" s="1" t="str">
        <f>IFERROR(__xludf.DUMMYFUNCTION("""COMPUTED_VALUE"""),"A320")</f>
        <v>A320</v>
      </c>
      <c r="C3" s="1" t="str">
        <f>IFERROR(__xludf.DUMMYFUNCTION("""COMPUTED_VALUE"""),"GBYD")</f>
        <v>GBYD</v>
      </c>
      <c r="D3" s="1" t="str">
        <f>IFERROR(__xludf.DUMMYFUNCTION("""COMPUTED_VALUE"""),"LEBL")</f>
        <v>LEBL</v>
      </c>
      <c r="E3" s="1" t="str">
        <f>IFERROR(__xludf.DUMMYFUNCTION("""COMPUTED_VALUE"""),"ECLVV")</f>
        <v>ECLVV</v>
      </c>
      <c r="F3" s="1">
        <f>IFERROR(__xludf.DUMMYFUNCTION("""COMPUTED_VALUE"""),380.0)</f>
        <v>380</v>
      </c>
      <c r="G3" s="7">
        <f>IFERROR(__xludf.DUMMYFUNCTION("""COMPUTED_VALUE"""),0.8506944444444444)</f>
        <v>0.8506944444</v>
      </c>
      <c r="H3" s="1">
        <f>IFERROR(__xludf.DUMMYFUNCTION("""COMPUTED_VALUE"""),10.0)</f>
        <v>10</v>
      </c>
      <c r="I3" s="7">
        <f>IFERROR(__xludf.DUMMYFUNCTION("""COMPUTED_VALUE"""),0.03125)</f>
        <v>0.03125</v>
      </c>
      <c r="J3" s="1" t="str">
        <f>IFERROR(__xludf.DUMMYFUNCTION("""COMPUTED_VALUE"""),"D")</f>
        <v>D</v>
      </c>
      <c r="K3" s="1">
        <f>IFERROR(__xludf.DUMMYFUNCTION("""COMPUTED_VALUE"""),173.0)</f>
        <v>173</v>
      </c>
      <c r="L3" s="7">
        <f>IFERROR(__xludf.DUMMYFUNCTION("""COMPUTED_VALUE"""),0.18055555555555558)</f>
        <v>0.1805555556</v>
      </c>
      <c r="M3" s="7">
        <f>IFERROR(__xludf.DUMMYFUNCTION("""COMPUTED_VALUE"""),0.1609027777777778)</f>
        <v>0.1609027778</v>
      </c>
      <c r="O3" s="9">
        <f>IFERROR(__xludf.DUMMYFUNCTION("""COMPUTED_VALUE"""),3205.183333333334)</f>
        <v>3205.183333</v>
      </c>
      <c r="P3" s="1" t="str">
        <f>IFERROR(__xludf.DUMMYFUNCTION("""COMPUTED_VALUE"""),"VLG")</f>
        <v>VLG</v>
      </c>
      <c r="Q3" s="1" t="str">
        <f>IFERROR(__xludf.DUMMYFUNCTION("""COMPUTED_VALUE"""),"NO ECAC")</f>
        <v>NO ECAC</v>
      </c>
    </row>
    <row r="4">
      <c r="A4" s="1" t="str">
        <f>IFERROR(__xludf.DUMMYFUNCTION("""COMPUTED_VALUE"""),"VLG2479")</f>
        <v>VLG2479</v>
      </c>
      <c r="B4" s="1" t="str">
        <f>IFERROR(__xludf.DUMMYFUNCTION("""COMPUTED_VALUE"""),"A321")</f>
        <v>A321</v>
      </c>
      <c r="C4" s="1" t="str">
        <f>IFERROR(__xludf.DUMMYFUNCTION("""COMPUTED_VALUE"""),"GCRR")</f>
        <v>GCRR</v>
      </c>
      <c r="D4" s="1" t="str">
        <f>IFERROR(__xludf.DUMMYFUNCTION("""COMPUTED_VALUE"""),"LEBL")</f>
        <v>LEBL</v>
      </c>
      <c r="E4" s="1" t="str">
        <f>IFERROR(__xludf.DUMMYFUNCTION("""COMPUTED_VALUE"""),"ECMQL")</f>
        <v>ECMQL</v>
      </c>
      <c r="F4" s="1">
        <f>IFERROR(__xludf.DUMMYFUNCTION("""COMPUTED_VALUE"""),360.0)</f>
        <v>360</v>
      </c>
      <c r="G4" s="7">
        <f>IFERROR(__xludf.DUMMYFUNCTION("""COMPUTED_VALUE"""),0.9298611111111111)</f>
        <v>0.9298611111</v>
      </c>
      <c r="H4" s="1">
        <f>IFERROR(__xludf.DUMMYFUNCTION("""COMPUTED_VALUE"""),10.0)</f>
        <v>10</v>
      </c>
      <c r="I4" s="7">
        <f>IFERROR(__xludf.DUMMYFUNCTION("""COMPUTED_VALUE"""),0.041666666666666664)</f>
        <v>0.04166666667</v>
      </c>
      <c r="J4" s="1" t="str">
        <f>IFERROR(__xludf.DUMMYFUNCTION("""COMPUTED_VALUE"""),"D")</f>
        <v>D</v>
      </c>
      <c r="K4" s="1">
        <f>IFERROR(__xludf.DUMMYFUNCTION("""COMPUTED_VALUE"""),207.0)</f>
        <v>207</v>
      </c>
      <c r="L4" s="7">
        <f>IFERROR(__xludf.DUMMYFUNCTION("""COMPUTED_VALUE"""),0.11180555555555549)</f>
        <v>0.1118055556</v>
      </c>
      <c r="M4" s="7">
        <f>IFERROR(__xludf.DUMMYFUNCTION("""COMPUTED_VALUE"""),0.09215277777777771)</f>
        <v>0.09215277778</v>
      </c>
      <c r="O4" s="9">
        <f>IFERROR(__xludf.DUMMYFUNCTION("""COMPUTED_VALUE"""),1835.683333333332)</f>
        <v>1835.683333</v>
      </c>
      <c r="P4" s="1" t="str">
        <f>IFERROR(__xludf.DUMMYFUNCTION("""COMPUTED_VALUE"""),"VLG")</f>
        <v>VLG</v>
      </c>
      <c r="Q4" s="1" t="str">
        <f>IFERROR(__xludf.DUMMYFUNCTION("""COMPUTED_VALUE"""),"ECAC")</f>
        <v>ECAC</v>
      </c>
    </row>
    <row r="5">
      <c r="A5" s="1" t="str">
        <f>IFERROR(__xludf.DUMMYFUNCTION("""COMPUTED_VALUE"""),"RYR56YL")</f>
        <v>RYR56YL</v>
      </c>
      <c r="B5" s="1" t="str">
        <f>IFERROR(__xludf.DUMMYFUNCTION("""COMPUTED_VALUE"""),"B38M")</f>
        <v>B38M</v>
      </c>
      <c r="C5" s="1" t="str">
        <f>IFERROR(__xludf.DUMMYFUNCTION("""COMPUTED_VALUE"""),"EIDW")</f>
        <v>EIDW</v>
      </c>
      <c r="D5" s="1" t="str">
        <f>IFERROR(__xludf.DUMMYFUNCTION("""COMPUTED_VALUE"""),"LEBL")</f>
        <v>LEBL</v>
      </c>
      <c r="E5" s="1" t="str">
        <f>IFERROR(__xludf.DUMMYFUNCTION("""COMPUTED_VALUE"""),"EIIHE")</f>
        <v>EIIHE</v>
      </c>
      <c r="F5" s="1">
        <f>IFERROR(__xludf.DUMMYFUNCTION("""COMPUTED_VALUE"""),370.0)</f>
        <v>370</v>
      </c>
      <c r="G5" s="7">
        <f>IFERROR(__xludf.DUMMYFUNCTION("""COMPUTED_VALUE"""),0.9618055555555556)</f>
        <v>0.9618055556</v>
      </c>
      <c r="H5" s="1">
        <f>IFERROR(__xludf.DUMMYFUNCTION("""COMPUTED_VALUE"""),15.0)</f>
        <v>15</v>
      </c>
      <c r="I5" s="7">
        <f>IFERROR(__xludf.DUMMYFUNCTION("""COMPUTED_VALUE"""),0.04513888888888889)</f>
        <v>0.04513888889</v>
      </c>
      <c r="J5" s="1" t="str">
        <f>IFERROR(__xludf.DUMMYFUNCTION("""COMPUTED_VALUE"""),"D")</f>
        <v>D</v>
      </c>
      <c r="K5" s="1">
        <f>IFERROR(__xludf.DUMMYFUNCTION("""COMPUTED_VALUE"""),186.0)</f>
        <v>186</v>
      </c>
      <c r="L5" s="7">
        <f>IFERROR(__xludf.DUMMYFUNCTION("""COMPUTED_VALUE"""),0.08333333333333326)</f>
        <v>0.08333333333</v>
      </c>
      <c r="M5" s="7">
        <f>IFERROR(__xludf.DUMMYFUNCTION("""COMPUTED_VALUE"""),0.06020833333333326)</f>
        <v>0.06020833333</v>
      </c>
      <c r="O5" s="9">
        <f>IFERROR(__xludf.DUMMYFUNCTION("""COMPUTED_VALUE"""),1199.3499999999985)</f>
        <v>1199.35</v>
      </c>
      <c r="P5" s="1" t="str">
        <f>IFERROR(__xludf.DUMMYFUNCTION("""COMPUTED_VALUE"""),"RYR")</f>
        <v>RYR</v>
      </c>
      <c r="Q5" s="1" t="str">
        <f>IFERROR(__xludf.DUMMYFUNCTION("""COMPUTED_VALUE"""),"ECAC")</f>
        <v>ECAC</v>
      </c>
    </row>
    <row r="6">
      <c r="A6" s="1" t="str">
        <f>IFERROR(__xludf.DUMMYFUNCTION("""COMPUTED_VALUE"""),"ANE3053")</f>
        <v>ANE3053</v>
      </c>
      <c r="B6" s="1" t="str">
        <f>IFERROR(__xludf.DUMMYFUNCTION("""COMPUTED_VALUE"""),"CRJX")</f>
        <v>CRJX</v>
      </c>
      <c r="C6" s="1" t="str">
        <f>IFERROR(__xludf.DUMMYFUNCTION("""COMPUTED_VALUE"""),"LEGE")</f>
        <v>LEGE</v>
      </c>
      <c r="D6" s="1" t="str">
        <f>IFERROR(__xludf.DUMMYFUNCTION("""COMPUTED_VALUE"""),"LEBL")</f>
        <v>LEBL</v>
      </c>
      <c r="E6" s="1" t="str">
        <f>IFERROR(__xludf.DUMMYFUNCTION("""COMPUTED_VALUE"""),"ECMLN")</f>
        <v>ECMLN</v>
      </c>
      <c r="F6" s="1">
        <f>IFERROR(__xludf.DUMMYFUNCTION("""COMPUTED_VALUE"""),180.0)</f>
        <v>180</v>
      </c>
      <c r="G6" s="7">
        <f>IFERROR(__xludf.DUMMYFUNCTION("""COMPUTED_VALUE"""),0.027083333333333334)</f>
        <v>0.02708333333</v>
      </c>
      <c r="H6" s="1">
        <f>IFERROR(__xludf.DUMMYFUNCTION("""COMPUTED_VALUE"""),9.0)</f>
        <v>9</v>
      </c>
      <c r="I6" s="7">
        <f>IFERROR(__xludf.DUMMYFUNCTION("""COMPUTED_VALUE"""),0.04861111111111111)</f>
        <v>0.04861111111</v>
      </c>
      <c r="J6" s="1" t="str">
        <f>IFERROR(__xludf.DUMMYFUNCTION("""COMPUTED_VALUE"""),"E")</f>
        <v>E</v>
      </c>
      <c r="K6" s="1">
        <f>IFERROR(__xludf.DUMMYFUNCTION("""COMPUTED_VALUE"""),100.0)</f>
        <v>100</v>
      </c>
      <c r="L6" s="7">
        <f>IFERROR(__xludf.DUMMYFUNCTION("""COMPUTED_VALUE"""),0.021527777777777778)</f>
        <v>0.02152777778</v>
      </c>
      <c r="M6" s="7">
        <f>IFERROR(__xludf.DUMMYFUNCTION("""COMPUTED_VALUE"""),0.0025694444444444436)</f>
        <v>0.002569444444</v>
      </c>
      <c r="O6" s="9">
        <f>IFERROR(__xludf.DUMMYFUNCTION("""COMPUTED_VALUE"""),27.749999999999993)</f>
        <v>27.75</v>
      </c>
      <c r="P6" s="1" t="str">
        <f>IFERROR(__xludf.DUMMYFUNCTION("""COMPUTED_VALUE"""),"ANE")</f>
        <v>ANE</v>
      </c>
      <c r="Q6" s="1" t="str">
        <f>IFERROR(__xludf.DUMMYFUNCTION("""COMPUTED_VALUE"""),"ECAC")</f>
        <v>ECAC</v>
      </c>
    </row>
    <row r="7">
      <c r="A7" s="1" t="str">
        <f>IFERROR(__xludf.DUMMYFUNCTION("""COMPUTED_VALUE"""),"VLG7887")</f>
        <v>VLG7887</v>
      </c>
      <c r="B7" s="1" t="str">
        <f>IFERROR(__xludf.DUMMYFUNCTION("""COMPUTED_VALUE"""),"A320")</f>
        <v>A320</v>
      </c>
      <c r="C7" s="1" t="str">
        <f>IFERROR(__xludf.DUMMYFUNCTION("""COMPUTED_VALUE"""),"GOBD")</f>
        <v>GOBD</v>
      </c>
      <c r="D7" s="1" t="str">
        <f>IFERROR(__xludf.DUMMYFUNCTION("""COMPUTED_VALUE"""),"LEBL")</f>
        <v>LEBL</v>
      </c>
      <c r="E7" s="1" t="str">
        <f>IFERROR(__xludf.DUMMYFUNCTION("""COMPUTED_VALUE"""),"ECMAI")</f>
        <v>ECMAI</v>
      </c>
      <c r="F7" s="1">
        <f>IFERROR(__xludf.DUMMYFUNCTION("""COMPUTED_VALUE"""),380.0)</f>
        <v>380</v>
      </c>
      <c r="G7" s="7">
        <f>IFERROR(__xludf.DUMMYFUNCTION("""COMPUTED_VALUE"""),0.8680555555555556)</f>
        <v>0.8680555556</v>
      </c>
      <c r="H7" s="1">
        <f>IFERROR(__xludf.DUMMYFUNCTION("""COMPUTED_VALUE"""),10.0)</f>
        <v>10</v>
      </c>
      <c r="I7" s="7">
        <f>IFERROR(__xludf.DUMMYFUNCTION("""COMPUTED_VALUE"""),0.04861111111111111)</f>
        <v>0.04861111111</v>
      </c>
      <c r="J7" s="1" t="str">
        <f>IFERROR(__xludf.DUMMYFUNCTION("""COMPUTED_VALUE"""),"D")</f>
        <v>D</v>
      </c>
      <c r="K7" s="1">
        <f>IFERROR(__xludf.DUMMYFUNCTION("""COMPUTED_VALUE"""),173.0)</f>
        <v>173</v>
      </c>
      <c r="L7" s="7">
        <f>IFERROR(__xludf.DUMMYFUNCTION("""COMPUTED_VALUE"""),0.18055555555555558)</f>
        <v>0.1805555556</v>
      </c>
      <c r="M7" s="7">
        <f>IFERROR(__xludf.DUMMYFUNCTION("""COMPUTED_VALUE"""),0.1609027777777778)</f>
        <v>0.1609027778</v>
      </c>
      <c r="O7" s="9">
        <f>IFERROR(__xludf.DUMMYFUNCTION("""COMPUTED_VALUE"""),3205.183333333334)</f>
        <v>3205.183333</v>
      </c>
      <c r="P7" s="1" t="str">
        <f>IFERROR(__xludf.DUMMYFUNCTION("""COMPUTED_VALUE"""),"VLG")</f>
        <v>VLG</v>
      </c>
      <c r="Q7" s="1" t="str">
        <f>IFERROR(__xludf.DUMMYFUNCTION("""COMPUTED_VALUE"""),"NO ECAC")</f>
        <v>NO ECAC</v>
      </c>
    </row>
    <row r="8">
      <c r="A8" s="1" t="str">
        <f>IFERROR(__xludf.DUMMYFUNCTION("""COMPUTED_VALUE"""),"TVP7318")</f>
        <v>TVP7318</v>
      </c>
      <c r="B8" s="1" t="str">
        <f>IFERROR(__xludf.DUMMYFUNCTION("""COMPUTED_VALUE"""),"B38M")</f>
        <v>B38M</v>
      </c>
      <c r="C8" s="1" t="str">
        <f>IFERROR(__xludf.DUMMYFUNCTION("""COMPUTED_VALUE"""),"LKPR")</f>
        <v>LKPR</v>
      </c>
      <c r="D8" s="1" t="str">
        <f>IFERROR(__xludf.DUMMYFUNCTION("""COMPUTED_VALUE"""),"LEBL")</f>
        <v>LEBL</v>
      </c>
      <c r="E8" s="1" t="str">
        <f>IFERROR(__xludf.DUMMYFUNCTION("""COMPUTED_VALUE"""),"OKSWF")</f>
        <v>OKSWF</v>
      </c>
      <c r="F8" s="1">
        <f>IFERROR(__xludf.DUMMYFUNCTION("""COMPUTED_VALUE"""),370.0)</f>
        <v>370</v>
      </c>
      <c r="G8" s="7">
        <f>IFERROR(__xludf.DUMMYFUNCTION("""COMPUTED_VALUE"""),0.9868055555555556)</f>
        <v>0.9868055556</v>
      </c>
      <c r="H8" s="1">
        <f>IFERROR(__xludf.DUMMYFUNCTION("""COMPUTED_VALUE"""),7.0)</f>
        <v>7</v>
      </c>
      <c r="I8" s="7">
        <f>IFERROR(__xludf.DUMMYFUNCTION("""COMPUTED_VALUE"""),0.06944444444444445)</f>
        <v>0.06944444444</v>
      </c>
      <c r="J8" s="1" t="str">
        <f>IFERROR(__xludf.DUMMYFUNCTION("""COMPUTED_VALUE"""),"D")</f>
        <v>D</v>
      </c>
      <c r="K8" s="1">
        <f>IFERROR(__xludf.DUMMYFUNCTION("""COMPUTED_VALUE"""),186.0)</f>
        <v>186</v>
      </c>
      <c r="L8" s="7">
        <f>IFERROR(__xludf.DUMMYFUNCTION("""COMPUTED_VALUE"""),0.08263888888888882)</f>
        <v>0.08263888889</v>
      </c>
      <c r="M8" s="7">
        <f>IFERROR(__xludf.DUMMYFUNCTION("""COMPUTED_VALUE"""),0.06506944444444437)</f>
        <v>0.06506944444</v>
      </c>
      <c r="O8" s="9">
        <f>IFERROR(__xludf.DUMMYFUNCTION("""COMPUTED_VALUE"""),1296.183333333332)</f>
        <v>1296.183333</v>
      </c>
      <c r="P8" s="1" t="str">
        <f>IFERROR(__xludf.DUMMYFUNCTION("""COMPUTED_VALUE"""),"TVP")</f>
        <v>TVP</v>
      </c>
      <c r="Q8" s="1" t="str">
        <f>IFERROR(__xludf.DUMMYFUNCTION("""COMPUTED_VALUE"""),"ECAC")</f>
        <v>ECAC</v>
      </c>
    </row>
    <row r="9">
      <c r="A9" s="1" t="str">
        <f>IFERROR(__xludf.DUMMYFUNCTION("""COMPUTED_VALUE"""),"IBE2602")</f>
        <v>IBE2602</v>
      </c>
      <c r="B9" s="1" t="str">
        <f>IFERROR(__xludf.DUMMYFUNCTION("""COMPUTED_VALUE"""),"A332")</f>
        <v>A332</v>
      </c>
      <c r="C9" s="1" t="str">
        <f>IFERROR(__xludf.DUMMYFUNCTION("""COMPUTED_VALUE"""),"SAEZ")</f>
        <v>SAEZ</v>
      </c>
      <c r="D9" s="1" t="str">
        <f>IFERROR(__xludf.DUMMYFUNCTION("""COMPUTED_VALUE"""),"LEBL")</f>
        <v>LEBL</v>
      </c>
      <c r="E9" s="1" t="str">
        <f>IFERROR(__xludf.DUMMYFUNCTION("""COMPUTED_VALUE"""),"ECNEN")</f>
        <v>ECNEN</v>
      </c>
      <c r="F9" s="1">
        <f>IFERROR(__xludf.DUMMYFUNCTION("""COMPUTED_VALUE"""),400.0)</f>
        <v>400</v>
      </c>
      <c r="G9" s="7">
        <f>IFERROR(__xludf.DUMMYFUNCTION("""COMPUTED_VALUE"""),0.625)</f>
        <v>0.625</v>
      </c>
      <c r="H9" s="1">
        <f>IFERROR(__xludf.DUMMYFUNCTION("""COMPUTED_VALUE"""),10.0)</f>
        <v>10</v>
      </c>
      <c r="I9" s="7">
        <f>IFERROR(__xludf.DUMMYFUNCTION("""COMPUTED_VALUE"""),0.12152777777777778)</f>
        <v>0.1215277778</v>
      </c>
      <c r="J9" s="1" t="str">
        <f>IFERROR(__xludf.DUMMYFUNCTION("""COMPUTED_VALUE"""),"B")</f>
        <v>B</v>
      </c>
      <c r="K9" s="1">
        <f>IFERROR(__xludf.DUMMYFUNCTION("""COMPUTED_VALUE"""),281.0)</f>
        <v>281</v>
      </c>
      <c r="L9" s="7">
        <f>IFERROR(__xludf.DUMMYFUNCTION("""COMPUTED_VALUE"""),0.4965277777777778)</f>
        <v>0.4965277778</v>
      </c>
      <c r="M9" s="7">
        <f>IFERROR(__xludf.DUMMYFUNCTION("""COMPUTED_VALUE"""),0.47687500000000005)</f>
        <v>0.476875</v>
      </c>
      <c r="O9" s="9">
        <f>IFERROR(__xludf.DUMMYFUNCTION("""COMPUTED_VALUE"""),10300.5)</f>
        <v>10300.5</v>
      </c>
      <c r="P9" s="1" t="str">
        <f>IFERROR(__xludf.DUMMYFUNCTION("""COMPUTED_VALUE"""),"IBE")</f>
        <v>IBE</v>
      </c>
      <c r="Q9" s="1" t="str">
        <f>IFERROR(__xludf.DUMMYFUNCTION("""COMPUTED_VALUE"""),"NO ECAC")</f>
        <v>NO ECAC</v>
      </c>
    </row>
    <row r="10">
      <c r="A10" s="1" t="str">
        <f>IFERROR(__xludf.DUMMYFUNCTION("""COMPUTED_VALUE"""),"VLG101P")</f>
        <v>VLG101P</v>
      </c>
      <c r="B10" s="1" t="str">
        <f>IFERROR(__xludf.DUMMYFUNCTION("""COMPUTED_VALUE"""),"A20N")</f>
        <v>A20N</v>
      </c>
      <c r="C10" s="1" t="str">
        <f>IFERROR(__xludf.DUMMYFUNCTION("""COMPUTED_VALUE"""),"LFML")</f>
        <v>LFML</v>
      </c>
      <c r="D10" s="1" t="str">
        <f>IFERROR(__xludf.DUMMYFUNCTION("""COMPUTED_VALUE"""),"LEBL")</f>
        <v>LEBL</v>
      </c>
      <c r="E10" s="1" t="str">
        <f>IFERROR(__xludf.DUMMYFUNCTION("""COMPUTED_VALUE"""),"ECNDA")</f>
        <v>ECNDA</v>
      </c>
      <c r="F10" s="1">
        <f>IFERROR(__xludf.DUMMYFUNCTION("""COMPUTED_VALUE"""),290.0)</f>
        <v>290</v>
      </c>
      <c r="G10" s="7">
        <f>IFERROR(__xludf.DUMMYFUNCTION("""COMPUTED_VALUE"""),0.10277777777777777)</f>
        <v>0.1027777778</v>
      </c>
      <c r="H10" s="1">
        <f>IFERROR(__xludf.DUMMYFUNCTION("""COMPUTED_VALUE"""),6.0)</f>
        <v>6</v>
      </c>
      <c r="I10" s="7">
        <f>IFERROR(__xludf.DUMMYFUNCTION("""COMPUTED_VALUE"""),0.125)</f>
        <v>0.125</v>
      </c>
      <c r="J10" s="1" t="str">
        <f>IFERROR(__xludf.DUMMYFUNCTION("""COMPUTED_VALUE"""),"D")</f>
        <v>D</v>
      </c>
      <c r="K10" s="1">
        <f>IFERROR(__xludf.DUMMYFUNCTION("""COMPUTED_VALUE"""),180.0)</f>
        <v>180</v>
      </c>
      <c r="L10" s="7">
        <f>IFERROR(__xludf.DUMMYFUNCTION("""COMPUTED_VALUE"""),0.022222222222222227)</f>
        <v>0.02222222222</v>
      </c>
      <c r="M10" s="7">
        <f>IFERROR(__xludf.DUMMYFUNCTION("""COMPUTED_VALUE"""),0.005347222222222226)</f>
        <v>0.005347222222</v>
      </c>
      <c r="O10" s="9">
        <f>IFERROR(__xludf.DUMMYFUNCTION("""COMPUTED_VALUE"""),106.51666666666675)</f>
        <v>106.5166667</v>
      </c>
      <c r="P10" s="1" t="str">
        <f>IFERROR(__xludf.DUMMYFUNCTION("""COMPUTED_VALUE"""),"VLG")</f>
        <v>VLG</v>
      </c>
      <c r="Q10" s="1" t="str">
        <f>IFERROR(__xludf.DUMMYFUNCTION("""COMPUTED_VALUE"""),"ECAC")</f>
        <v>ECAC</v>
      </c>
    </row>
    <row r="11">
      <c r="A11" s="1" t="str">
        <f>IFERROR(__xludf.DUMMYFUNCTION("""COMPUTED_VALUE"""),"IBE2606")</f>
        <v>IBE2606</v>
      </c>
      <c r="B11" s="1" t="str">
        <f>IFERROR(__xludf.DUMMYFUNCTION("""COMPUTED_VALUE"""),"A332")</f>
        <v>A332</v>
      </c>
      <c r="C11" s="1" t="str">
        <f>IFERROR(__xludf.DUMMYFUNCTION("""COMPUTED_VALUE"""),"SCEL")</f>
        <v>SCEL</v>
      </c>
      <c r="D11" s="1" t="str">
        <f>IFERROR(__xludf.DUMMYFUNCTION("""COMPUTED_VALUE"""),"LEBL")</f>
        <v>LEBL</v>
      </c>
      <c r="E11" s="1" t="str">
        <f>IFERROR(__xludf.DUMMYFUNCTION("""COMPUTED_VALUE"""),"ECNNH")</f>
        <v>ECNNH</v>
      </c>
      <c r="F11" s="1">
        <f>IFERROR(__xludf.DUMMYFUNCTION("""COMPUTED_VALUE"""),400.0)</f>
        <v>400</v>
      </c>
      <c r="G11" s="7">
        <f>IFERROR(__xludf.DUMMYFUNCTION("""COMPUTED_VALUE"""),0.6076388888888888)</f>
        <v>0.6076388889</v>
      </c>
      <c r="H11" s="1">
        <f>IFERROR(__xludf.DUMMYFUNCTION("""COMPUTED_VALUE"""),10.0)</f>
        <v>10</v>
      </c>
      <c r="I11" s="7">
        <f>IFERROR(__xludf.DUMMYFUNCTION("""COMPUTED_VALUE"""),0.1423611111111111)</f>
        <v>0.1423611111</v>
      </c>
      <c r="J11" s="1" t="str">
        <f>IFERROR(__xludf.DUMMYFUNCTION("""COMPUTED_VALUE"""),"B")</f>
        <v>B</v>
      </c>
      <c r="K11" s="1">
        <f>IFERROR(__xludf.DUMMYFUNCTION("""COMPUTED_VALUE"""),281.0)</f>
        <v>281</v>
      </c>
      <c r="L11" s="7">
        <f>IFERROR(__xludf.DUMMYFUNCTION("""COMPUTED_VALUE"""),0.5347222222222223)</f>
        <v>0.5347222222</v>
      </c>
      <c r="M11" s="7">
        <f>IFERROR(__xludf.DUMMYFUNCTION("""COMPUTED_VALUE"""),0.5150694444444446)</f>
        <v>0.5150694444</v>
      </c>
      <c r="O11" s="9">
        <f>IFERROR(__xludf.DUMMYFUNCTION("""COMPUTED_VALUE"""),11125.500000000004)</f>
        <v>11125.5</v>
      </c>
      <c r="P11" s="1" t="str">
        <f>IFERROR(__xludf.DUMMYFUNCTION("""COMPUTED_VALUE"""),"IBE")</f>
        <v>IBE</v>
      </c>
      <c r="Q11" s="1" t="str">
        <f>IFERROR(__xludf.DUMMYFUNCTION("""COMPUTED_VALUE"""),"NO ECAC")</f>
        <v>NO ECAC</v>
      </c>
    </row>
    <row r="12">
      <c r="A12" s="1" t="str">
        <f>IFERROR(__xludf.DUMMYFUNCTION("""COMPUTED_VALUE"""),"VLG6DZ")</f>
        <v>VLG6DZ</v>
      </c>
      <c r="B12" s="1" t="str">
        <f>IFERROR(__xludf.DUMMYFUNCTION("""COMPUTED_VALUE"""),"A320")</f>
        <v>A320</v>
      </c>
      <c r="C12" s="1" t="str">
        <f>IFERROR(__xludf.DUMMYFUNCTION("""COMPUTED_VALUE"""),"LGIR")</f>
        <v>LGIR</v>
      </c>
      <c r="D12" s="1" t="str">
        <f>IFERROR(__xludf.DUMMYFUNCTION("""COMPUTED_VALUE"""),"LEBL")</f>
        <v>LEBL</v>
      </c>
      <c r="E12" s="1" t="str">
        <f>IFERROR(__xludf.DUMMYFUNCTION("""COMPUTED_VALUE"""),"ECKHN")</f>
        <v>ECKHN</v>
      </c>
      <c r="F12" s="1">
        <f>IFERROR(__xludf.DUMMYFUNCTION("""COMPUTED_VALUE"""),360.0)</f>
        <v>360</v>
      </c>
      <c r="G12" s="7">
        <f>IFERROR(__xludf.DUMMYFUNCTION("""COMPUTED_VALUE"""),0.04513888888888889)</f>
        <v>0.04513888889</v>
      </c>
      <c r="H12" s="1">
        <f>IFERROR(__xludf.DUMMYFUNCTION("""COMPUTED_VALUE"""),10.0)</f>
        <v>10</v>
      </c>
      <c r="I12" s="7">
        <f>IFERROR(__xludf.DUMMYFUNCTION("""COMPUTED_VALUE"""),0.15625)</f>
        <v>0.15625</v>
      </c>
      <c r="J12" s="1" t="str">
        <f>IFERROR(__xludf.DUMMYFUNCTION("""COMPUTED_VALUE"""),"D")</f>
        <v>D</v>
      </c>
      <c r="K12" s="1">
        <f>IFERROR(__xludf.DUMMYFUNCTION("""COMPUTED_VALUE"""),173.0)</f>
        <v>173</v>
      </c>
      <c r="L12" s="7">
        <f>IFERROR(__xludf.DUMMYFUNCTION("""COMPUTED_VALUE"""),0.1111111111111111)</f>
        <v>0.1111111111</v>
      </c>
      <c r="M12" s="7">
        <f>IFERROR(__xludf.DUMMYFUNCTION("""COMPUTED_VALUE"""),0.09145833333333332)</f>
        <v>0.09145833333</v>
      </c>
      <c r="O12" s="9">
        <f>IFERROR(__xludf.DUMMYFUNCTION("""COMPUTED_VALUE"""),1821.85)</f>
        <v>1821.85</v>
      </c>
      <c r="P12" s="1" t="str">
        <f>IFERROR(__xludf.DUMMYFUNCTION("""COMPUTED_VALUE"""),"VLG")</f>
        <v>VLG</v>
      </c>
      <c r="Q12" s="1" t="str">
        <f>IFERROR(__xludf.DUMMYFUNCTION("""COMPUTED_VALUE"""),"ECAC")</f>
        <v>ECAC</v>
      </c>
    </row>
    <row r="13">
      <c r="A13" s="1" t="str">
        <f>IFERROR(__xludf.DUMMYFUNCTION("""COMPUTED_VALUE"""),"VLG8113")</f>
        <v>VLG8113</v>
      </c>
      <c r="B13" s="1" t="str">
        <f>IFERROR(__xludf.DUMMYFUNCTION("""COMPUTED_VALUE"""),"A320")</f>
        <v>A320</v>
      </c>
      <c r="C13" s="1" t="str">
        <f>IFERROR(__xludf.DUMMYFUNCTION("""COMPUTED_VALUE"""),"LGAV")</f>
        <v>LGAV</v>
      </c>
      <c r="D13" s="1" t="str">
        <f>IFERROR(__xludf.DUMMYFUNCTION("""COMPUTED_VALUE"""),"LEBL")</f>
        <v>LEBL</v>
      </c>
      <c r="E13" s="1" t="str">
        <f>IFERROR(__xludf.DUMMYFUNCTION("""COMPUTED_VALUE"""),"ECOFX")</f>
        <v>ECOFX</v>
      </c>
      <c r="F13" s="1">
        <f>IFERROR(__xludf.DUMMYFUNCTION("""COMPUTED_VALUE"""),360.0)</f>
        <v>360</v>
      </c>
      <c r="G13" s="7">
        <f>IFERROR(__xludf.DUMMYFUNCTION("""COMPUTED_VALUE"""),0.07013888888888889)</f>
        <v>0.07013888889</v>
      </c>
      <c r="H13" s="1">
        <f>IFERROR(__xludf.DUMMYFUNCTION("""COMPUTED_VALUE"""),13.0)</f>
        <v>13</v>
      </c>
      <c r="I13" s="7">
        <f>IFERROR(__xludf.DUMMYFUNCTION("""COMPUTED_VALUE"""),0.1701388888888889)</f>
        <v>0.1701388889</v>
      </c>
      <c r="J13" s="1" t="str">
        <f>IFERROR(__xludf.DUMMYFUNCTION("""COMPUTED_VALUE"""),"D")</f>
        <v>D</v>
      </c>
      <c r="K13" s="1">
        <f>IFERROR(__xludf.DUMMYFUNCTION("""COMPUTED_VALUE"""),173.0)</f>
        <v>173</v>
      </c>
      <c r="L13" s="7">
        <f>IFERROR(__xludf.DUMMYFUNCTION("""COMPUTED_VALUE"""),0.1)</f>
        <v>0.1</v>
      </c>
      <c r="M13" s="7">
        <f>IFERROR(__xludf.DUMMYFUNCTION("""COMPUTED_VALUE"""),0.0782638888888889)</f>
        <v>0.07826388889</v>
      </c>
      <c r="O13" s="9">
        <f>IFERROR(__xludf.DUMMYFUNCTION("""COMPUTED_VALUE"""),1559.0166666666667)</f>
        <v>1559.016667</v>
      </c>
      <c r="P13" s="1" t="str">
        <f>IFERROR(__xludf.DUMMYFUNCTION("""COMPUTED_VALUE"""),"VLG")</f>
        <v>VLG</v>
      </c>
      <c r="Q13" s="1" t="str">
        <f>IFERROR(__xludf.DUMMYFUNCTION("""COMPUTED_VALUE"""),"ECAC")</f>
        <v>ECAC</v>
      </c>
    </row>
    <row r="14">
      <c r="A14" s="1" t="str">
        <f>IFERROR(__xludf.DUMMYFUNCTION("""COMPUTED_VALUE"""),"SIA388")</f>
        <v>SIA388</v>
      </c>
      <c r="B14" s="1" t="str">
        <f>IFERROR(__xludf.DUMMYFUNCTION("""COMPUTED_VALUE"""),"A359")</f>
        <v>A359</v>
      </c>
      <c r="C14" s="1" t="str">
        <f>IFERROR(__xludf.DUMMYFUNCTION("""COMPUTED_VALUE"""),"WSSS")</f>
        <v>WSSS</v>
      </c>
      <c r="D14" s="1" t="str">
        <f>IFERROR(__xludf.DUMMYFUNCTION("""COMPUTED_VALUE"""),"LEBL")</f>
        <v>LEBL</v>
      </c>
      <c r="E14" s="1" t="str">
        <f>IFERROR(__xludf.DUMMYFUNCTION("""COMPUTED_VALUE"""),"9VSMK")</f>
        <v>9VSMK</v>
      </c>
      <c r="F14" s="1">
        <f>IFERROR(__xludf.DUMMYFUNCTION("""COMPUTED_VALUE"""),400.0)</f>
        <v>400</v>
      </c>
      <c r="G14" s="7">
        <f>IFERROR(__xludf.DUMMYFUNCTION("""COMPUTED_VALUE"""),0.65625)</f>
        <v>0.65625</v>
      </c>
      <c r="H14" s="1">
        <f>IFERROR(__xludf.DUMMYFUNCTION("""COMPUTED_VALUE"""),10.0)</f>
        <v>10</v>
      </c>
      <c r="I14" s="7">
        <f>IFERROR(__xludf.DUMMYFUNCTION("""COMPUTED_VALUE"""),0.18055555555555555)</f>
        <v>0.1805555556</v>
      </c>
      <c r="J14" s="1" t="str">
        <f>IFERROR(__xludf.DUMMYFUNCTION("""COMPUTED_VALUE"""),"B")</f>
        <v>B</v>
      </c>
      <c r="K14" s="1">
        <f>IFERROR(__xludf.DUMMYFUNCTION("""COMPUTED_VALUE"""),297.0)</f>
        <v>297</v>
      </c>
      <c r="L14" s="7">
        <f>IFERROR(__xludf.DUMMYFUNCTION("""COMPUTED_VALUE"""),0.5243055555555556)</f>
        <v>0.5243055556</v>
      </c>
      <c r="M14" s="7">
        <f>IFERROR(__xludf.DUMMYFUNCTION("""COMPUTED_VALUE"""),0.5046527777777778)</f>
        <v>0.5046527778</v>
      </c>
      <c r="O14" s="9">
        <f>IFERROR(__xludf.DUMMYFUNCTION("""COMPUTED_VALUE"""),10900.500000000002)</f>
        <v>10900.5</v>
      </c>
      <c r="P14" s="1" t="str">
        <f>IFERROR(__xludf.DUMMYFUNCTION("""COMPUTED_VALUE"""),"SIA")</f>
        <v>SIA</v>
      </c>
      <c r="Q14" s="1" t="str">
        <f>IFERROR(__xludf.DUMMYFUNCTION("""COMPUTED_VALUE"""),"NO ECAC")</f>
        <v>NO ECAC</v>
      </c>
    </row>
    <row r="15">
      <c r="A15" s="1" t="str">
        <f>IFERROR(__xludf.DUMMYFUNCTION("""COMPUTED_VALUE"""),"AAL66")</f>
        <v>AAL66</v>
      </c>
      <c r="B15" s="1" t="str">
        <f>IFERROR(__xludf.DUMMYFUNCTION("""COMPUTED_VALUE"""),"B772")</f>
        <v>B772</v>
      </c>
      <c r="C15" s="1" t="str">
        <f>IFERROR(__xludf.DUMMYFUNCTION("""COMPUTED_VALUE"""),"KJFK")</f>
        <v>KJFK</v>
      </c>
      <c r="D15" s="1" t="str">
        <f>IFERROR(__xludf.DUMMYFUNCTION("""COMPUTED_VALUE"""),"LEBL")</f>
        <v>LEBL</v>
      </c>
      <c r="E15" s="1" t="str">
        <f>IFERROR(__xludf.DUMMYFUNCTION("""COMPUTED_VALUE"""),"N795AN")</f>
        <v>N795AN</v>
      </c>
      <c r="F15" s="1">
        <f>IFERROR(__xludf.DUMMYFUNCTION("""COMPUTED_VALUE"""),390.0)</f>
        <v>390</v>
      </c>
      <c r="G15" s="7">
        <f>IFERROR(__xludf.DUMMYFUNCTION("""COMPUTED_VALUE"""),0.9069444444444444)</f>
        <v>0.9069444444</v>
      </c>
      <c r="H15" s="1">
        <f>IFERROR(__xludf.DUMMYFUNCTION("""COMPUTED_VALUE"""),36.0)</f>
        <v>36</v>
      </c>
      <c r="I15" s="7">
        <f>IFERROR(__xludf.DUMMYFUNCTION("""COMPUTED_VALUE"""),0.1840277777777778)</f>
        <v>0.1840277778</v>
      </c>
      <c r="J15" s="1" t="str">
        <f>IFERROR(__xludf.DUMMYFUNCTION("""COMPUTED_VALUE"""),"B")</f>
        <v>B</v>
      </c>
      <c r="K15" s="1">
        <f>IFERROR(__xludf.DUMMYFUNCTION("""COMPUTED_VALUE"""),296.0)</f>
        <v>296</v>
      </c>
      <c r="L15" s="7">
        <f>IFERROR(__xludf.DUMMYFUNCTION("""COMPUTED_VALUE"""),0.27708333333333335)</f>
        <v>0.2770833333</v>
      </c>
      <c r="M15" s="7">
        <f>IFERROR(__xludf.DUMMYFUNCTION("""COMPUTED_VALUE"""),0.23937500000000003)</f>
        <v>0.239375</v>
      </c>
      <c r="O15" s="9">
        <f>IFERROR(__xludf.DUMMYFUNCTION("""COMPUTED_VALUE"""),5170.500000000001)</f>
        <v>5170.5</v>
      </c>
      <c r="P15" s="1" t="str">
        <f>IFERROR(__xludf.DUMMYFUNCTION("""COMPUTED_VALUE"""),"AAL")</f>
        <v>AAL</v>
      </c>
      <c r="Q15" s="1" t="str">
        <f>IFERROR(__xludf.DUMMYFUNCTION("""COMPUTED_VALUE"""),"NO ECAC")</f>
        <v>NO ECAC</v>
      </c>
    </row>
    <row r="16">
      <c r="A16" s="1" t="str">
        <f>IFERROR(__xludf.DUMMYFUNCTION("""COMPUTED_VALUE"""),"ETD1HA")</f>
        <v>ETD1HA</v>
      </c>
      <c r="B16" s="1" t="str">
        <f>IFERROR(__xludf.DUMMYFUNCTION("""COMPUTED_VALUE"""),"B78X")</f>
        <v>B78X</v>
      </c>
      <c r="C16" s="1" t="str">
        <f>IFERROR(__xludf.DUMMYFUNCTION("""COMPUTED_VALUE"""),"OMAA")</f>
        <v>OMAA</v>
      </c>
      <c r="D16" s="1" t="str">
        <f>IFERROR(__xludf.DUMMYFUNCTION("""COMPUTED_VALUE"""),"LEBL")</f>
        <v>LEBL</v>
      </c>
      <c r="E16" s="1" t="str">
        <f>IFERROR(__xludf.DUMMYFUNCTION("""COMPUTED_VALUE"""),"A6BMI")</f>
        <v>A6BMI</v>
      </c>
      <c r="F16" s="1">
        <f>IFERROR(__xludf.DUMMYFUNCTION("""COMPUTED_VALUE"""),380.0)</f>
        <v>380</v>
      </c>
      <c r="G16" s="7">
        <f>IFERROR(__xludf.DUMMYFUNCTION("""COMPUTED_VALUE"""),0.9340277777777778)</f>
        <v>0.9340277778</v>
      </c>
      <c r="H16" s="1">
        <f>IFERROR(__xludf.DUMMYFUNCTION("""COMPUTED_VALUE"""),10.0)</f>
        <v>10</v>
      </c>
      <c r="I16" s="7">
        <f>IFERROR(__xludf.DUMMYFUNCTION("""COMPUTED_VALUE"""),0.2013888888888889)</f>
        <v>0.2013888889</v>
      </c>
      <c r="J16" s="1" t="str">
        <f>IFERROR(__xludf.DUMMYFUNCTION("""COMPUTED_VALUE"""),"B")</f>
        <v>B</v>
      </c>
      <c r="K16" s="1">
        <f>IFERROR(__xludf.DUMMYFUNCTION("""COMPUTED_VALUE"""),327.0)</f>
        <v>327</v>
      </c>
      <c r="L16" s="7">
        <f>IFERROR(__xludf.DUMMYFUNCTION("""COMPUTED_VALUE"""),0.26736111111111116)</f>
        <v>0.2673611111</v>
      </c>
      <c r="M16" s="7">
        <f>IFERROR(__xludf.DUMMYFUNCTION("""COMPUTED_VALUE"""),0.2477083333333334)</f>
        <v>0.2477083333</v>
      </c>
      <c r="O16" s="9">
        <f>IFERROR(__xludf.DUMMYFUNCTION("""COMPUTED_VALUE"""),5350.500000000001)</f>
        <v>5350.5</v>
      </c>
      <c r="P16" s="1" t="str">
        <f>IFERROR(__xludf.DUMMYFUNCTION("""COMPUTED_VALUE"""),"ETD")</f>
        <v>ETD</v>
      </c>
      <c r="Q16" s="1" t="str">
        <f>IFERROR(__xludf.DUMMYFUNCTION("""COMPUTED_VALUE"""),"NO ECAC")</f>
        <v>NO ECAC</v>
      </c>
    </row>
    <row r="17">
      <c r="A17" s="1" t="str">
        <f>IFERROR(__xludf.DUMMYFUNCTION("""COMPUTED_VALUE"""),"QTR68R")</f>
        <v>QTR68R</v>
      </c>
      <c r="B17" s="1" t="str">
        <f>IFERROR(__xludf.DUMMYFUNCTION("""COMPUTED_VALUE"""),"B789")</f>
        <v>B789</v>
      </c>
      <c r="C17" s="1" t="str">
        <f>IFERROR(__xludf.DUMMYFUNCTION("""COMPUTED_VALUE"""),"OTHH")</f>
        <v>OTHH</v>
      </c>
      <c r="D17" s="1" t="str">
        <f>IFERROR(__xludf.DUMMYFUNCTION("""COMPUTED_VALUE"""),"LEBL")</f>
        <v>LEBL</v>
      </c>
      <c r="E17" s="1" t="str">
        <f>IFERROR(__xludf.DUMMYFUNCTION("""COMPUTED_VALUE"""),"A7BHF")</f>
        <v>A7BHF</v>
      </c>
      <c r="F17" s="1">
        <f>IFERROR(__xludf.DUMMYFUNCTION("""COMPUTED_VALUE"""),380.0)</f>
        <v>380</v>
      </c>
      <c r="G17" s="7">
        <f>IFERROR(__xludf.DUMMYFUNCTION("""COMPUTED_VALUE"""),0.9548611111111112)</f>
        <v>0.9548611111</v>
      </c>
      <c r="H17" s="1">
        <f>IFERROR(__xludf.DUMMYFUNCTION("""COMPUTED_VALUE"""),10.0)</f>
        <v>10</v>
      </c>
      <c r="I17" s="7">
        <f>IFERROR(__xludf.DUMMYFUNCTION("""COMPUTED_VALUE"""),0.2048611111111111)</f>
        <v>0.2048611111</v>
      </c>
      <c r="J17" s="1" t="str">
        <f>IFERROR(__xludf.DUMMYFUNCTION("""COMPUTED_VALUE"""),"B")</f>
        <v>B</v>
      </c>
      <c r="K17" s="1">
        <f>IFERROR(__xludf.DUMMYFUNCTION("""COMPUTED_VALUE"""),284.0)</f>
        <v>284</v>
      </c>
      <c r="L17" s="7">
        <f>IFERROR(__xludf.DUMMYFUNCTION("""COMPUTED_VALUE"""),0.25)</f>
        <v>0.25</v>
      </c>
      <c r="M17" s="7">
        <f>IFERROR(__xludf.DUMMYFUNCTION("""COMPUTED_VALUE"""),0.23034722222222223)</f>
        <v>0.2303472222</v>
      </c>
      <c r="O17" s="9">
        <f>IFERROR(__xludf.DUMMYFUNCTION("""COMPUTED_VALUE"""),4975.5)</f>
        <v>4975.5</v>
      </c>
      <c r="P17" s="1" t="str">
        <f>IFERROR(__xludf.DUMMYFUNCTION("""COMPUTED_VALUE"""),"QTR")</f>
        <v>QTR</v>
      </c>
      <c r="Q17" s="1" t="str">
        <f>IFERROR(__xludf.DUMMYFUNCTION("""COMPUTED_VALUE"""),"NO ECAC")</f>
        <v>NO ECAC</v>
      </c>
    </row>
    <row r="18">
      <c r="A18" s="1" t="str">
        <f>IFERROR(__xludf.DUMMYFUNCTION("""COMPUTED_VALUE"""),"DAL250")</f>
        <v>DAL250</v>
      </c>
      <c r="B18" s="1" t="str">
        <f>IFERROR(__xludf.DUMMYFUNCTION("""COMPUTED_VALUE"""),"A339")</f>
        <v>A339</v>
      </c>
      <c r="C18" s="1" t="str">
        <f>IFERROR(__xludf.DUMMYFUNCTION("""COMPUTED_VALUE"""),"KBOS")</f>
        <v>KBOS</v>
      </c>
      <c r="D18" s="1" t="str">
        <f>IFERROR(__xludf.DUMMYFUNCTION("""COMPUTED_VALUE"""),"LEBL")</f>
        <v>LEBL</v>
      </c>
      <c r="E18" s="1" t="str">
        <f>IFERROR(__xludf.DUMMYFUNCTION("""COMPUTED_VALUE"""),"N401DZ")</f>
        <v>N401DZ</v>
      </c>
      <c r="F18" s="1">
        <f>IFERROR(__xludf.DUMMYFUNCTION("""COMPUTED_VALUE"""),410.0)</f>
        <v>410</v>
      </c>
      <c r="G18" s="7">
        <f>IFERROR(__xludf.DUMMYFUNCTION("""COMPUTED_VALUE"""),0.9298611111111111)</f>
        <v>0.9298611111</v>
      </c>
      <c r="H18" s="1">
        <f>IFERROR(__xludf.DUMMYFUNCTION("""COMPUTED_VALUE"""),19.0)</f>
        <v>19</v>
      </c>
      <c r="I18" s="7">
        <f>IFERROR(__xludf.DUMMYFUNCTION("""COMPUTED_VALUE"""),0.21180555555555555)</f>
        <v>0.2118055556</v>
      </c>
      <c r="J18" s="1" t="str">
        <f>IFERROR(__xludf.DUMMYFUNCTION("""COMPUTED_VALUE"""),"B")</f>
        <v>B</v>
      </c>
      <c r="K18" s="1">
        <f>IFERROR(__xludf.DUMMYFUNCTION("""COMPUTED_VALUE"""),281.0)</f>
        <v>281</v>
      </c>
      <c r="L18" s="7">
        <f>IFERROR(__xludf.DUMMYFUNCTION("""COMPUTED_VALUE"""),0.28194444444444444)</f>
        <v>0.2819444444</v>
      </c>
      <c r="M18" s="7">
        <f>IFERROR(__xludf.DUMMYFUNCTION("""COMPUTED_VALUE"""),0.25604166666666667)</f>
        <v>0.2560416667</v>
      </c>
      <c r="O18" s="9">
        <f>IFERROR(__xludf.DUMMYFUNCTION("""COMPUTED_VALUE"""),5530.5)</f>
        <v>5530.5</v>
      </c>
      <c r="P18" s="1" t="str">
        <f>IFERROR(__xludf.DUMMYFUNCTION("""COMPUTED_VALUE"""),"DAL")</f>
        <v>DAL</v>
      </c>
      <c r="Q18" s="1" t="str">
        <f>IFERROR(__xludf.DUMMYFUNCTION("""COMPUTED_VALUE"""),"NO ECAC")</f>
        <v>NO ECAC</v>
      </c>
    </row>
    <row r="19">
      <c r="A19" s="1" t="str">
        <f>IFERROR(__xludf.DUMMYFUNCTION("""COMPUTED_VALUE"""),"RYR77ZB")</f>
        <v>RYR77ZB</v>
      </c>
      <c r="B19" s="1" t="str">
        <f>IFERROR(__xludf.DUMMYFUNCTION("""COMPUTED_VALUE"""),"B738")</f>
        <v>B738</v>
      </c>
      <c r="C19" s="1" t="str">
        <f>IFERROR(__xludf.DUMMYFUNCTION("""COMPUTED_VALUE"""),"LEMG")</f>
        <v>LEMG</v>
      </c>
      <c r="D19" s="1" t="str">
        <f>IFERROR(__xludf.DUMMYFUNCTION("""COMPUTED_VALUE"""),"LEBL")</f>
        <v>LEBL</v>
      </c>
      <c r="E19" s="1" t="str">
        <f>IFERROR(__xludf.DUMMYFUNCTION("""COMPUTED_VALUE"""),"EIEFG")</f>
        <v>EIEFG</v>
      </c>
      <c r="F19" s="1">
        <f>IFERROR(__xludf.DUMMYFUNCTION("""COMPUTED_VALUE"""),380.0)</f>
        <v>380</v>
      </c>
      <c r="G19" s="7">
        <f>IFERROR(__xludf.DUMMYFUNCTION("""COMPUTED_VALUE"""),0.16597222222222222)</f>
        <v>0.1659722222</v>
      </c>
      <c r="H19" s="1">
        <f>IFERROR(__xludf.DUMMYFUNCTION("""COMPUTED_VALUE"""),12.0)</f>
        <v>12</v>
      </c>
      <c r="I19" s="7">
        <f>IFERROR(__xludf.DUMMYFUNCTION("""COMPUTED_VALUE"""),0.2152777777777778)</f>
        <v>0.2152777778</v>
      </c>
      <c r="J19" s="1" t="str">
        <f>IFERROR(__xludf.DUMMYFUNCTION("""COMPUTED_VALUE"""),"D")</f>
        <v>D</v>
      </c>
      <c r="K19" s="1">
        <f>IFERROR(__xludf.DUMMYFUNCTION("""COMPUTED_VALUE"""),184.0)</f>
        <v>184</v>
      </c>
      <c r="L19" s="7">
        <f>IFERROR(__xludf.DUMMYFUNCTION("""COMPUTED_VALUE"""),0.049305555555555575)</f>
        <v>0.04930555556</v>
      </c>
      <c r="M19" s="7">
        <f>IFERROR(__xludf.DUMMYFUNCTION("""COMPUTED_VALUE"""),0.028263888888888908)</f>
        <v>0.02826388889</v>
      </c>
      <c r="O19" s="9">
        <f>IFERROR(__xludf.DUMMYFUNCTION("""COMPUTED_VALUE"""),563.016666666667)</f>
        <v>563.0166667</v>
      </c>
      <c r="P19" s="1" t="str">
        <f>IFERROR(__xludf.DUMMYFUNCTION("""COMPUTED_VALUE"""),"RYR")</f>
        <v>RYR</v>
      </c>
      <c r="Q19" s="1" t="str">
        <f>IFERROR(__xludf.DUMMYFUNCTION("""COMPUTED_VALUE"""),"ECAC")</f>
        <v>ECAC</v>
      </c>
    </row>
    <row r="20">
      <c r="A20" s="1" t="str">
        <f>IFERROR(__xludf.DUMMYFUNCTION("""COMPUTED_VALUE"""),"CCA577")</f>
        <v>CCA577</v>
      </c>
      <c r="B20" s="1" t="str">
        <f>IFERROR(__xludf.DUMMYFUNCTION("""COMPUTED_VALUE"""),"A359")</f>
        <v>A359</v>
      </c>
      <c r="C20" s="1" t="str">
        <f>IFERROR(__xludf.DUMMYFUNCTION("""COMPUTED_VALUE"""),"ZSPD")</f>
        <v>ZSPD</v>
      </c>
      <c r="D20" s="1" t="str">
        <f>IFERROR(__xludf.DUMMYFUNCTION("""COMPUTED_VALUE"""),"LEBL")</f>
        <v>LEBL</v>
      </c>
      <c r="E20" s="1" t="str">
        <f>IFERROR(__xludf.DUMMYFUNCTION("""COMPUTED_VALUE"""),"B1085")</f>
        <v>B1085</v>
      </c>
      <c r="F20" s="1">
        <f>IFERROR(__xludf.DUMMYFUNCTION("""COMPUTED_VALUE"""),390.0)</f>
        <v>390</v>
      </c>
      <c r="G20" s="7">
        <f>IFERROR(__xludf.DUMMYFUNCTION("""COMPUTED_VALUE"""),0.7013888888888888)</f>
        <v>0.7013888889</v>
      </c>
      <c r="H20" s="1">
        <f>IFERROR(__xludf.DUMMYFUNCTION("""COMPUTED_VALUE"""),10.0)</f>
        <v>10</v>
      </c>
      <c r="I20" s="7">
        <f>IFERROR(__xludf.DUMMYFUNCTION("""COMPUTED_VALUE"""),0.2152777777777778)</f>
        <v>0.2152777778</v>
      </c>
      <c r="J20" s="1" t="str">
        <f>IFERROR(__xludf.DUMMYFUNCTION("""COMPUTED_VALUE"""),"B")</f>
        <v>B</v>
      </c>
      <c r="K20" s="1">
        <f>IFERROR(__xludf.DUMMYFUNCTION("""COMPUTED_VALUE"""),297.0)</f>
        <v>297</v>
      </c>
      <c r="L20" s="7">
        <f>IFERROR(__xludf.DUMMYFUNCTION("""COMPUTED_VALUE"""),0.513888888888889)</f>
        <v>0.5138888889</v>
      </c>
      <c r="M20" s="7">
        <f>IFERROR(__xludf.DUMMYFUNCTION("""COMPUTED_VALUE"""),0.4942361111111112)</f>
        <v>0.4942361111</v>
      </c>
      <c r="O20" s="9">
        <f>IFERROR(__xludf.DUMMYFUNCTION("""COMPUTED_VALUE"""),10675.500000000002)</f>
        <v>10675.5</v>
      </c>
      <c r="P20" s="1" t="str">
        <f>IFERROR(__xludf.DUMMYFUNCTION("""COMPUTED_VALUE"""),"CCA")</f>
        <v>CCA</v>
      </c>
      <c r="Q20" s="1" t="str">
        <f>IFERROR(__xludf.DUMMYFUNCTION("""COMPUTED_VALUE"""),"NO ECAC")</f>
        <v>NO ECAC</v>
      </c>
    </row>
    <row r="21">
      <c r="A21" s="1" t="str">
        <f>IFERROR(__xludf.DUMMYFUNCTION("""COMPUTED_VALUE"""),"EJU85AR")</f>
        <v>EJU85AR</v>
      </c>
      <c r="B21" s="1" t="str">
        <f>IFERROR(__xludf.DUMMYFUNCTION("""COMPUTED_VALUE"""),"A20N")</f>
        <v>A20N</v>
      </c>
      <c r="C21" s="1" t="str">
        <f>IFERROR(__xludf.DUMMYFUNCTION("""COMPUTED_VALUE"""),"LIMC")</f>
        <v>LIMC</v>
      </c>
      <c r="D21" s="1" t="str">
        <f>IFERROR(__xludf.DUMMYFUNCTION("""COMPUTED_VALUE"""),"LEBL")</f>
        <v>LEBL</v>
      </c>
      <c r="E21" s="1" t="str">
        <f>IFERROR(__xludf.DUMMYFUNCTION("""COMPUTED_VALUE"""),"OELSF")</f>
        <v>OELSF</v>
      </c>
      <c r="F21" s="1">
        <f>IFERROR(__xludf.DUMMYFUNCTION("""COMPUTED_VALUE"""),290.0)</f>
        <v>290</v>
      </c>
      <c r="G21" s="7">
        <f>IFERROR(__xludf.DUMMYFUNCTION("""COMPUTED_VALUE"""),0.17083333333333334)</f>
        <v>0.1708333333</v>
      </c>
      <c r="H21" s="1">
        <f>IFERROR(__xludf.DUMMYFUNCTION("""COMPUTED_VALUE"""),12.0)</f>
        <v>12</v>
      </c>
      <c r="I21" s="7">
        <f>IFERROR(__xludf.DUMMYFUNCTION("""COMPUTED_VALUE"""),0.21875)</f>
        <v>0.21875</v>
      </c>
      <c r="J21" s="1" t="str">
        <f>IFERROR(__xludf.DUMMYFUNCTION("""COMPUTED_VALUE"""),"D")</f>
        <v>D</v>
      </c>
      <c r="K21" s="1">
        <f>IFERROR(__xludf.DUMMYFUNCTION("""COMPUTED_VALUE"""),180.0)</f>
        <v>180</v>
      </c>
      <c r="L21" s="7">
        <f>IFERROR(__xludf.DUMMYFUNCTION("""COMPUTED_VALUE"""),0.04791666666666666)</f>
        <v>0.04791666667</v>
      </c>
      <c r="M21" s="7">
        <f>IFERROR(__xludf.DUMMYFUNCTION("""COMPUTED_VALUE"""),0.026874999999999996)</f>
        <v>0.026875</v>
      </c>
      <c r="O21" s="9">
        <f>IFERROR(__xludf.DUMMYFUNCTION("""COMPUTED_VALUE"""),535.3499999999999)</f>
        <v>535.35</v>
      </c>
      <c r="P21" s="1" t="str">
        <f>IFERROR(__xludf.DUMMYFUNCTION("""COMPUTED_VALUE"""),"EJU")</f>
        <v>EJU</v>
      </c>
      <c r="Q21" s="1" t="str">
        <f>IFERROR(__xludf.DUMMYFUNCTION("""COMPUTED_VALUE"""),"ECAC")</f>
        <v>ECAC</v>
      </c>
    </row>
    <row r="22">
      <c r="A22" s="1" t="str">
        <f>IFERROR(__xludf.DUMMYFUNCTION("""COMPUTED_VALUE"""),"VLG64ZA")</f>
        <v>VLG64ZA</v>
      </c>
      <c r="B22" s="1" t="str">
        <f>IFERROR(__xludf.DUMMYFUNCTION("""COMPUTED_VALUE"""),"A320")</f>
        <v>A320</v>
      </c>
      <c r="C22" s="1" t="str">
        <f>IFERROR(__xludf.DUMMYFUNCTION("""COMPUTED_VALUE"""),"LEPA")</f>
        <v>LEPA</v>
      </c>
      <c r="D22" s="1" t="str">
        <f>IFERROR(__xludf.DUMMYFUNCTION("""COMPUTED_VALUE"""),"LEBL")</f>
        <v>LEBL</v>
      </c>
      <c r="E22" s="1" t="str">
        <f>IFERROR(__xludf.DUMMYFUNCTION("""COMPUTED_VALUE"""),"ECMXP")</f>
        <v>ECMXP</v>
      </c>
      <c r="F22" s="1">
        <f>IFERROR(__xludf.DUMMYFUNCTION("""COMPUTED_VALUE"""),180.0)</f>
        <v>180</v>
      </c>
      <c r="G22" s="7">
        <f>IFERROR(__xludf.DUMMYFUNCTION("""COMPUTED_VALUE"""),0.20972222222222223)</f>
        <v>0.2097222222</v>
      </c>
      <c r="H22" s="1">
        <f>IFERROR(__xludf.DUMMYFUNCTION("""COMPUTED_VALUE"""),17.0)</f>
        <v>17</v>
      </c>
      <c r="I22" s="7">
        <f>IFERROR(__xludf.DUMMYFUNCTION("""COMPUTED_VALUE"""),0.2222222222222222)</f>
        <v>0.2222222222</v>
      </c>
      <c r="J22" s="1" t="str">
        <f>IFERROR(__xludf.DUMMYFUNCTION("""COMPUTED_VALUE"""),"D")</f>
        <v>D</v>
      </c>
      <c r="K22" s="1">
        <f>IFERROR(__xludf.DUMMYFUNCTION("""COMPUTED_VALUE"""),173.0)</f>
        <v>173</v>
      </c>
      <c r="L22" s="7">
        <f>IFERROR(__xludf.DUMMYFUNCTION("""COMPUTED_VALUE"""),0.012499999999999983)</f>
        <v>0.0125</v>
      </c>
      <c r="M22" s="7">
        <f>IFERROR(__xludf.DUMMYFUNCTION("""COMPUTED_VALUE"""),6.944444444444281E-4)</f>
        <v>0.0006944444444</v>
      </c>
      <c r="O22" s="9">
        <f>IFERROR(__xludf.DUMMYFUNCTION("""COMPUTED_VALUE"""),13.833333333333007)</f>
        <v>13.83333333</v>
      </c>
      <c r="P22" s="1" t="str">
        <f>IFERROR(__xludf.DUMMYFUNCTION("""COMPUTED_VALUE"""),"VLG")</f>
        <v>VLG</v>
      </c>
      <c r="Q22" s="1" t="str">
        <f>IFERROR(__xludf.DUMMYFUNCTION("""COMPUTED_VALUE"""),"ECAC")</f>
        <v>ECAC</v>
      </c>
    </row>
    <row r="23">
      <c r="A23" s="1" t="str">
        <f>IFERROR(__xludf.DUMMYFUNCTION("""COMPUTED_VALUE"""),"RYR14DQ")</f>
        <v>RYR14DQ</v>
      </c>
      <c r="B23" s="1" t="str">
        <f>IFERROR(__xludf.DUMMYFUNCTION("""COMPUTED_VALUE"""),"B38M")</f>
        <v>B38M</v>
      </c>
      <c r="C23" s="1" t="str">
        <f>IFERROR(__xludf.DUMMYFUNCTION("""COMPUTED_VALUE"""),"LMML")</f>
        <v>LMML</v>
      </c>
      <c r="D23" s="1" t="str">
        <f>IFERROR(__xludf.DUMMYFUNCTION("""COMPUTED_VALUE"""),"LEBL")</f>
        <v>LEBL</v>
      </c>
      <c r="E23" s="1" t="str">
        <f>IFERROR(__xludf.DUMMYFUNCTION("""COMPUTED_VALUE"""),"EIIJL")</f>
        <v>EIIJL</v>
      </c>
      <c r="F23" s="1">
        <f>IFERROR(__xludf.DUMMYFUNCTION("""COMPUTED_VALUE"""),360.0)</f>
        <v>360</v>
      </c>
      <c r="G23" s="7">
        <f>IFERROR(__xludf.DUMMYFUNCTION("""COMPUTED_VALUE"""),0.1701388888888889)</f>
        <v>0.1701388889</v>
      </c>
      <c r="H23" s="1">
        <f>IFERROR(__xludf.DUMMYFUNCTION("""COMPUTED_VALUE"""),15.0)</f>
        <v>15</v>
      </c>
      <c r="I23" s="7">
        <f>IFERROR(__xludf.DUMMYFUNCTION("""COMPUTED_VALUE"""),0.22916666666666666)</f>
        <v>0.2291666667</v>
      </c>
      <c r="J23" s="1" t="str">
        <f>IFERROR(__xludf.DUMMYFUNCTION("""COMPUTED_VALUE"""),"D")</f>
        <v>D</v>
      </c>
      <c r="K23" s="1">
        <f>IFERROR(__xludf.DUMMYFUNCTION("""COMPUTED_VALUE"""),186.0)</f>
        <v>186</v>
      </c>
      <c r="L23" s="7">
        <f>IFERROR(__xludf.DUMMYFUNCTION("""COMPUTED_VALUE"""),0.05902777777777776)</f>
        <v>0.05902777778</v>
      </c>
      <c r="M23" s="7">
        <f>IFERROR(__xludf.DUMMYFUNCTION("""COMPUTED_VALUE"""),0.03590277777777776)</f>
        <v>0.03590277778</v>
      </c>
      <c r="O23" s="9">
        <f>IFERROR(__xludf.DUMMYFUNCTION("""COMPUTED_VALUE"""),715.183333333333)</f>
        <v>715.1833333</v>
      </c>
      <c r="P23" s="1" t="str">
        <f>IFERROR(__xludf.DUMMYFUNCTION("""COMPUTED_VALUE"""),"RYR")</f>
        <v>RYR</v>
      </c>
      <c r="Q23" s="1" t="str">
        <f>IFERROR(__xludf.DUMMYFUNCTION("""COMPUTED_VALUE"""),"ECAC")</f>
        <v>ECAC</v>
      </c>
    </row>
    <row r="24">
      <c r="A24" s="1" t="str">
        <f>IFERROR(__xludf.DUMMYFUNCTION("""COMPUTED_VALUE"""),"VLG1XG")</f>
        <v>VLG1XG</v>
      </c>
      <c r="B24" s="1" t="str">
        <f>IFERROR(__xludf.DUMMYFUNCTION("""COMPUTED_VALUE"""),"A320")</f>
        <v>A320</v>
      </c>
      <c r="C24" s="1" t="str">
        <f>IFERROR(__xludf.DUMMYFUNCTION("""COMPUTED_VALUE"""),"LEIB")</f>
        <v>LEIB</v>
      </c>
      <c r="D24" s="1" t="str">
        <f>IFERROR(__xludf.DUMMYFUNCTION("""COMPUTED_VALUE"""),"LEBL")</f>
        <v>LEBL</v>
      </c>
      <c r="E24" s="1" t="str">
        <f>IFERROR(__xludf.DUMMYFUNCTION("""COMPUTED_VALUE"""),"ECLUN")</f>
        <v>ECLUN</v>
      </c>
      <c r="F24" s="1">
        <f>IFERROR(__xludf.DUMMYFUNCTION("""COMPUTED_VALUE"""),180.0)</f>
        <v>180</v>
      </c>
      <c r="G24" s="7">
        <f>IFERROR(__xludf.DUMMYFUNCTION("""COMPUTED_VALUE"""),0.21597222222222223)</f>
        <v>0.2159722222</v>
      </c>
      <c r="H24" s="1">
        <f>IFERROR(__xludf.DUMMYFUNCTION("""COMPUTED_VALUE"""),7.0)</f>
        <v>7</v>
      </c>
      <c r="I24" s="7">
        <f>IFERROR(__xludf.DUMMYFUNCTION("""COMPUTED_VALUE"""),0.2361111111111111)</f>
        <v>0.2361111111</v>
      </c>
      <c r="J24" s="1" t="str">
        <f>IFERROR(__xludf.DUMMYFUNCTION("""COMPUTED_VALUE"""),"D")</f>
        <v>D</v>
      </c>
      <c r="K24" s="1">
        <f>IFERROR(__xludf.DUMMYFUNCTION("""COMPUTED_VALUE"""),173.0)</f>
        <v>173</v>
      </c>
      <c r="L24" s="7">
        <f>IFERROR(__xludf.DUMMYFUNCTION("""COMPUTED_VALUE"""),0.020138888888888873)</f>
        <v>0.02013888889</v>
      </c>
      <c r="M24" s="7">
        <f>IFERROR(__xludf.DUMMYFUNCTION("""COMPUTED_VALUE"""),0.002569444444444428)</f>
        <v>0.002569444444</v>
      </c>
      <c r="O24" s="9">
        <f>IFERROR(__xludf.DUMMYFUNCTION("""COMPUTED_VALUE"""),51.183333333333)</f>
        <v>51.18333333</v>
      </c>
      <c r="P24" s="1" t="str">
        <f>IFERROR(__xludf.DUMMYFUNCTION("""COMPUTED_VALUE"""),"VLG")</f>
        <v>VLG</v>
      </c>
      <c r="Q24" s="1" t="str">
        <f>IFERROR(__xludf.DUMMYFUNCTION("""COMPUTED_VALUE"""),"ECAC")</f>
        <v>ECAC</v>
      </c>
    </row>
    <row r="25">
      <c r="A25" s="1" t="str">
        <f>IFERROR(__xludf.DUMMYFUNCTION("""COMPUTED_VALUE"""),"VLG4CG")</f>
        <v>VLG4CG</v>
      </c>
      <c r="B25" s="1" t="str">
        <f>IFERROR(__xludf.DUMMYFUNCTION("""COMPUTED_VALUE"""),"A320")</f>
        <v>A320</v>
      </c>
      <c r="C25" s="1" t="str">
        <f>IFERROR(__xludf.DUMMYFUNCTION("""COMPUTED_VALUE"""),"LEAL")</f>
        <v>LEAL</v>
      </c>
      <c r="D25" s="1" t="str">
        <f>IFERROR(__xludf.DUMMYFUNCTION("""COMPUTED_VALUE"""),"LEBL")</f>
        <v>LEBL</v>
      </c>
      <c r="E25" s="1" t="str">
        <f>IFERROR(__xludf.DUMMYFUNCTION("""COMPUTED_VALUE"""),"ECMVD")</f>
        <v>ECMVD</v>
      </c>
      <c r="F25" s="1">
        <f>IFERROR(__xludf.DUMMYFUNCTION("""COMPUTED_VALUE"""),260.0)</f>
        <v>260</v>
      </c>
      <c r="G25" s="7">
        <f>IFERROR(__xludf.DUMMYFUNCTION("""COMPUTED_VALUE"""),0.20416666666666666)</f>
        <v>0.2041666667</v>
      </c>
      <c r="H25" s="1">
        <f>IFERROR(__xludf.DUMMYFUNCTION("""COMPUTED_VALUE"""),9.0)</f>
        <v>9</v>
      </c>
      <c r="I25" s="7">
        <f>IFERROR(__xludf.DUMMYFUNCTION("""COMPUTED_VALUE"""),0.2361111111111111)</f>
        <v>0.2361111111</v>
      </c>
      <c r="J25" s="1" t="str">
        <f>IFERROR(__xludf.DUMMYFUNCTION("""COMPUTED_VALUE"""),"D")</f>
        <v>D</v>
      </c>
      <c r="K25" s="1">
        <f>IFERROR(__xludf.DUMMYFUNCTION("""COMPUTED_VALUE"""),173.0)</f>
        <v>173</v>
      </c>
      <c r="L25" s="7">
        <f>IFERROR(__xludf.DUMMYFUNCTION("""COMPUTED_VALUE"""),0.03194444444444444)</f>
        <v>0.03194444444</v>
      </c>
      <c r="M25" s="7">
        <f>IFERROR(__xludf.DUMMYFUNCTION("""COMPUTED_VALUE"""),0.012986111111111106)</f>
        <v>0.01298611111</v>
      </c>
      <c r="O25" s="9">
        <f>IFERROR(__xludf.DUMMYFUNCTION("""COMPUTED_VALUE"""),258.6833333333332)</f>
        <v>258.6833333</v>
      </c>
      <c r="P25" s="1" t="str">
        <f>IFERROR(__xludf.DUMMYFUNCTION("""COMPUTED_VALUE"""),"VLG")</f>
        <v>VLG</v>
      </c>
      <c r="Q25" s="1" t="str">
        <f>IFERROR(__xludf.DUMMYFUNCTION("""COMPUTED_VALUE"""),"ECAC")</f>
        <v>ECAC</v>
      </c>
    </row>
    <row r="26">
      <c r="A26" s="1" t="str">
        <f>IFERROR(__xludf.DUMMYFUNCTION("""COMPUTED_VALUE"""),"WMT262")</f>
        <v>WMT262</v>
      </c>
      <c r="B26" s="1" t="str">
        <f>IFERROR(__xludf.DUMMYFUNCTION("""COMPUTED_VALUE"""),"A21N")</f>
        <v>A21N</v>
      </c>
      <c r="C26" s="1" t="str">
        <f>IFERROR(__xludf.DUMMYFUNCTION("""COMPUTED_VALUE"""),"LROP")</f>
        <v>LROP</v>
      </c>
      <c r="D26" s="1" t="str">
        <f>IFERROR(__xludf.DUMMYFUNCTION("""COMPUTED_VALUE"""),"LEBL")</f>
        <v>LEBL</v>
      </c>
      <c r="E26" s="1" t="str">
        <f>IFERROR(__xludf.DUMMYFUNCTION("""COMPUTED_VALUE"""),"9HWAY")</f>
        <v>9HWAY</v>
      </c>
      <c r="F26" s="1">
        <f>IFERROR(__xludf.DUMMYFUNCTION("""COMPUTED_VALUE"""),350.0)</f>
        <v>350</v>
      </c>
      <c r="G26" s="7">
        <f>IFERROR(__xludf.DUMMYFUNCTION("""COMPUTED_VALUE"""),0.13194444444444445)</f>
        <v>0.1319444444</v>
      </c>
      <c r="H26" s="1">
        <f>IFERROR(__xludf.DUMMYFUNCTION("""COMPUTED_VALUE"""),10.0)</f>
        <v>10</v>
      </c>
      <c r="I26" s="7">
        <f>IFERROR(__xludf.DUMMYFUNCTION("""COMPUTED_VALUE"""),0.23958333333333334)</f>
        <v>0.2395833333</v>
      </c>
      <c r="J26" s="1" t="str">
        <f>IFERROR(__xludf.DUMMYFUNCTION("""COMPUTED_VALUE"""),"D")</f>
        <v>D</v>
      </c>
      <c r="K26" s="1">
        <f>IFERROR(__xludf.DUMMYFUNCTION("""COMPUTED_VALUE"""),200.0)</f>
        <v>200</v>
      </c>
      <c r="L26" s="7">
        <f>IFERROR(__xludf.DUMMYFUNCTION("""COMPUTED_VALUE"""),0.1076388888888889)</f>
        <v>0.1076388889</v>
      </c>
      <c r="M26" s="7">
        <f>IFERROR(__xludf.DUMMYFUNCTION("""COMPUTED_VALUE"""),0.08798611111111111)</f>
        <v>0.08798611111</v>
      </c>
      <c r="O26" s="9">
        <f>IFERROR(__xludf.DUMMYFUNCTION("""COMPUTED_VALUE"""),1752.6833333333334)</f>
        <v>1752.683333</v>
      </c>
      <c r="P26" s="1" t="str">
        <f>IFERROR(__xludf.DUMMYFUNCTION("""COMPUTED_VALUE"""),"WMT")</f>
        <v>WMT</v>
      </c>
      <c r="Q26" s="1" t="str">
        <f>IFERROR(__xludf.DUMMYFUNCTION("""COMPUTED_VALUE"""),"ECAC")</f>
        <v>ECAC</v>
      </c>
    </row>
    <row r="27">
      <c r="A27" s="1" t="str">
        <f>IFERROR(__xludf.DUMMYFUNCTION("""COMPUTED_VALUE"""),"ACA822")</f>
        <v>ACA822</v>
      </c>
      <c r="B27" s="1" t="str">
        <f>IFERROR(__xludf.DUMMYFUNCTION("""COMPUTED_VALUE"""),"B77W")</f>
        <v>B77W</v>
      </c>
      <c r="C27" s="1" t="str">
        <f>IFERROR(__xludf.DUMMYFUNCTION("""COMPUTED_VALUE"""),"CYUL")</f>
        <v>CYUL</v>
      </c>
      <c r="D27" s="1" t="str">
        <f>IFERROR(__xludf.DUMMYFUNCTION("""COMPUTED_VALUE"""),"LEBL")</f>
        <v>LEBL</v>
      </c>
      <c r="E27" s="1" t="str">
        <f>IFERROR(__xludf.DUMMYFUNCTION("""COMPUTED_VALUE"""),"CFIUL")</f>
        <v>CFIUL</v>
      </c>
      <c r="F27" s="1">
        <f>IFERROR(__xludf.DUMMYFUNCTION("""COMPUTED_VALUE"""),370.0)</f>
        <v>370</v>
      </c>
      <c r="G27" s="7">
        <f>IFERROR(__xludf.DUMMYFUNCTION("""COMPUTED_VALUE"""),0.9444444444444444)</f>
        <v>0.9444444444</v>
      </c>
      <c r="H27" s="1">
        <f>IFERROR(__xludf.DUMMYFUNCTION("""COMPUTED_VALUE"""),10.0)</f>
        <v>10</v>
      </c>
      <c r="I27" s="7">
        <f>IFERROR(__xludf.DUMMYFUNCTION("""COMPUTED_VALUE"""),0.23958333333333334)</f>
        <v>0.2395833333</v>
      </c>
      <c r="J27" s="1" t="str">
        <f>IFERROR(__xludf.DUMMYFUNCTION("""COMPUTED_VALUE"""),"B")</f>
        <v>B</v>
      </c>
      <c r="K27" s="1">
        <f>IFERROR(__xludf.DUMMYFUNCTION("""COMPUTED_VALUE"""),331.0)</f>
        <v>331</v>
      </c>
      <c r="L27" s="7">
        <f>IFERROR(__xludf.DUMMYFUNCTION("""COMPUTED_VALUE"""),0.29513888888888895)</f>
        <v>0.2951388889</v>
      </c>
      <c r="M27" s="7">
        <f>IFERROR(__xludf.DUMMYFUNCTION("""COMPUTED_VALUE"""),0.2754861111111112)</f>
        <v>0.2754861111</v>
      </c>
      <c r="O27" s="9">
        <f>IFERROR(__xludf.DUMMYFUNCTION("""COMPUTED_VALUE"""),5950.500000000002)</f>
        <v>5950.5</v>
      </c>
      <c r="P27" s="1" t="str">
        <f>IFERROR(__xludf.DUMMYFUNCTION("""COMPUTED_VALUE"""),"ACA")</f>
        <v>ACA</v>
      </c>
      <c r="Q27" s="1" t="str">
        <f>IFERROR(__xludf.DUMMYFUNCTION("""COMPUTED_VALUE"""),"NO ECAC")</f>
        <v>NO ECAC</v>
      </c>
    </row>
    <row r="28">
      <c r="A28" s="1" t="str">
        <f>IFERROR(__xludf.DUMMYFUNCTION("""COMPUTED_VALUE"""),"CCA845")</f>
        <v>CCA845</v>
      </c>
      <c r="B28" s="1" t="str">
        <f>IFERROR(__xludf.DUMMYFUNCTION("""COMPUTED_VALUE"""),"A359")</f>
        <v>A359</v>
      </c>
      <c r="C28" s="1" t="str">
        <f>IFERROR(__xludf.DUMMYFUNCTION("""COMPUTED_VALUE"""),"ZBAA")</f>
        <v>ZBAA</v>
      </c>
      <c r="D28" s="1" t="str">
        <f>IFERROR(__xludf.DUMMYFUNCTION("""COMPUTED_VALUE"""),"LEBL")</f>
        <v>LEBL</v>
      </c>
      <c r="E28" s="1" t="str">
        <f>IFERROR(__xludf.DUMMYFUNCTION("""COMPUTED_VALUE"""),"B307C")</f>
        <v>B307C</v>
      </c>
      <c r="F28" s="1">
        <f>IFERROR(__xludf.DUMMYFUNCTION("""COMPUTED_VALUE"""),390.0)</f>
        <v>390</v>
      </c>
      <c r="G28" s="7">
        <f>IFERROR(__xludf.DUMMYFUNCTION("""COMPUTED_VALUE"""),0.7916666666666666)</f>
        <v>0.7916666667</v>
      </c>
      <c r="H28" s="1">
        <f>IFERROR(__xludf.DUMMYFUNCTION("""COMPUTED_VALUE"""),10.0)</f>
        <v>10</v>
      </c>
      <c r="I28" s="7">
        <f>IFERROR(__xludf.DUMMYFUNCTION("""COMPUTED_VALUE"""),0.2465277777777778)</f>
        <v>0.2465277778</v>
      </c>
      <c r="J28" s="1" t="str">
        <f>IFERROR(__xludf.DUMMYFUNCTION("""COMPUTED_VALUE"""),"B")</f>
        <v>B</v>
      </c>
      <c r="K28" s="1">
        <f>IFERROR(__xludf.DUMMYFUNCTION("""COMPUTED_VALUE"""),297.0)</f>
        <v>297</v>
      </c>
      <c r="L28" s="7">
        <f>IFERROR(__xludf.DUMMYFUNCTION("""COMPUTED_VALUE"""),0.45486111111111116)</f>
        <v>0.4548611111</v>
      </c>
      <c r="M28" s="7">
        <f>IFERROR(__xludf.DUMMYFUNCTION("""COMPUTED_VALUE"""),0.4352083333333334)</f>
        <v>0.4352083333</v>
      </c>
      <c r="O28" s="9">
        <f>IFERROR(__xludf.DUMMYFUNCTION("""COMPUTED_VALUE"""),9400.500000000002)</f>
        <v>9400.5</v>
      </c>
      <c r="P28" s="1" t="str">
        <f>IFERROR(__xludf.DUMMYFUNCTION("""COMPUTED_VALUE"""),"CCA")</f>
        <v>CCA</v>
      </c>
      <c r="Q28" s="1" t="str">
        <f>IFERROR(__xludf.DUMMYFUNCTION("""COMPUTED_VALUE"""),"NO ECAC")</f>
        <v>NO ECAC</v>
      </c>
    </row>
    <row r="29">
      <c r="A29" s="1" t="str">
        <f>IFERROR(__xludf.DUMMYFUNCTION("""COMPUTED_VALUE"""),"AEA14ZJ")</f>
        <v>AEA14ZJ</v>
      </c>
      <c r="B29" s="1" t="str">
        <f>IFERROR(__xludf.DUMMYFUNCTION("""COMPUTED_VALUE"""),"B738")</f>
        <v>B738</v>
      </c>
      <c r="C29" s="1" t="str">
        <f>IFERROR(__xludf.DUMMYFUNCTION("""COMPUTED_VALUE"""),"LEPA")</f>
        <v>LEPA</v>
      </c>
      <c r="D29" s="1" t="str">
        <f>IFERROR(__xludf.DUMMYFUNCTION("""COMPUTED_VALUE"""),"LEBL")</f>
        <v>LEBL</v>
      </c>
      <c r="E29" s="1" t="str">
        <f>IFERROR(__xludf.DUMMYFUNCTION("""COMPUTED_VALUE"""),"ECLQX")</f>
        <v>ECLQX</v>
      </c>
      <c r="F29" s="1">
        <f>IFERROR(__xludf.DUMMYFUNCTION("""COMPUTED_VALUE"""),180.0)</f>
        <v>180</v>
      </c>
      <c r="G29" s="7">
        <f>IFERROR(__xludf.DUMMYFUNCTION("""COMPUTED_VALUE"""),0.22361111111111112)</f>
        <v>0.2236111111</v>
      </c>
      <c r="H29" s="1">
        <f>IFERROR(__xludf.DUMMYFUNCTION("""COMPUTED_VALUE"""),17.0)</f>
        <v>17</v>
      </c>
      <c r="I29" s="7">
        <f>IFERROR(__xludf.DUMMYFUNCTION("""COMPUTED_VALUE"""),0.2465277777777778)</f>
        <v>0.2465277778</v>
      </c>
      <c r="J29" s="1" t="str">
        <f>IFERROR(__xludf.DUMMYFUNCTION("""COMPUTED_VALUE"""),"D")</f>
        <v>D</v>
      </c>
      <c r="K29" s="1">
        <f>IFERROR(__xludf.DUMMYFUNCTION("""COMPUTED_VALUE"""),184.0)</f>
        <v>184</v>
      </c>
      <c r="L29" s="7">
        <f>IFERROR(__xludf.DUMMYFUNCTION("""COMPUTED_VALUE"""),0.02291666666666667)</f>
        <v>0.02291666667</v>
      </c>
      <c r="M29" s="7">
        <f>IFERROR(__xludf.DUMMYFUNCTION("""COMPUTED_VALUE"""),0.011111111111111113)</f>
        <v>0.01111111111</v>
      </c>
      <c r="O29" s="9">
        <f>IFERROR(__xludf.DUMMYFUNCTION("""COMPUTED_VALUE"""),221.33333333333337)</f>
        <v>221.3333333</v>
      </c>
      <c r="P29" s="1" t="str">
        <f>IFERROR(__xludf.DUMMYFUNCTION("""COMPUTED_VALUE"""),"AEA")</f>
        <v>AEA</v>
      </c>
      <c r="Q29" s="1" t="str">
        <f>IFERROR(__xludf.DUMMYFUNCTION("""COMPUTED_VALUE"""),"ECAC")</f>
        <v>ECAC</v>
      </c>
    </row>
    <row r="30">
      <c r="A30" s="1" t="str">
        <f>IFERROR(__xludf.DUMMYFUNCTION("""COMPUTED_VALUE"""),"VLG47KA")</f>
        <v>VLG47KA</v>
      </c>
      <c r="B30" s="1" t="str">
        <f>IFERROR(__xludf.DUMMYFUNCTION("""COMPUTED_VALUE"""),"A320")</f>
        <v>A320</v>
      </c>
      <c r="C30" s="1" t="str">
        <f>IFERROR(__xludf.DUMMYFUNCTION("""COMPUTED_VALUE"""),"LFPO")</f>
        <v>LFPO</v>
      </c>
      <c r="D30" s="1" t="str">
        <f>IFERROR(__xludf.DUMMYFUNCTION("""COMPUTED_VALUE"""),"LEBL")</f>
        <v>LEBL</v>
      </c>
      <c r="E30" s="1" t="str">
        <f>IFERROR(__xludf.DUMMYFUNCTION("""COMPUTED_VALUE"""),"ECMFK")</f>
        <v>ECMFK</v>
      </c>
      <c r="F30" s="1">
        <f>IFERROR(__xludf.DUMMYFUNCTION("""COMPUTED_VALUE"""),370.0)</f>
        <v>370</v>
      </c>
      <c r="G30" s="7">
        <f>IFERROR(__xludf.DUMMYFUNCTION("""COMPUTED_VALUE"""),0.20208333333333334)</f>
        <v>0.2020833333</v>
      </c>
      <c r="H30" s="1">
        <f>IFERROR(__xludf.DUMMYFUNCTION("""COMPUTED_VALUE"""),16.0)</f>
        <v>16</v>
      </c>
      <c r="I30" s="7">
        <f>IFERROR(__xludf.DUMMYFUNCTION("""COMPUTED_VALUE"""),0.2465277777777778)</f>
        <v>0.2465277778</v>
      </c>
      <c r="J30" s="1" t="str">
        <f>IFERROR(__xludf.DUMMYFUNCTION("""COMPUTED_VALUE"""),"D")</f>
        <v>D</v>
      </c>
      <c r="K30" s="1">
        <f>IFERROR(__xludf.DUMMYFUNCTION("""COMPUTED_VALUE"""),173.0)</f>
        <v>173</v>
      </c>
      <c r="L30" s="7">
        <f>IFERROR(__xludf.DUMMYFUNCTION("""COMPUTED_VALUE"""),0.04444444444444445)</f>
        <v>0.04444444444</v>
      </c>
      <c r="M30" s="7">
        <f>IFERROR(__xludf.DUMMYFUNCTION("""COMPUTED_VALUE"""),0.020625000000000004)</f>
        <v>0.020625</v>
      </c>
      <c r="O30" s="9">
        <f>IFERROR(__xludf.DUMMYFUNCTION("""COMPUTED_VALUE"""),410.8500000000001)</f>
        <v>410.85</v>
      </c>
      <c r="P30" s="1" t="str">
        <f>IFERROR(__xludf.DUMMYFUNCTION("""COMPUTED_VALUE"""),"VLG")</f>
        <v>VLG</v>
      </c>
      <c r="Q30" s="1" t="str">
        <f>IFERROR(__xludf.DUMMYFUNCTION("""COMPUTED_VALUE"""),"ECAC")</f>
        <v>ECAC</v>
      </c>
    </row>
    <row r="31">
      <c r="A31" s="1" t="str">
        <f>IFERROR(__xludf.DUMMYFUNCTION("""COMPUTED_VALUE"""),"VLG26NX")</f>
        <v>VLG26NX</v>
      </c>
      <c r="B31" s="1" t="str">
        <f>IFERROR(__xludf.DUMMYFUNCTION("""COMPUTED_VALUE"""),"A320")</f>
        <v>A320</v>
      </c>
      <c r="C31" s="1" t="str">
        <f>IFERROR(__xludf.DUMMYFUNCTION("""COMPUTED_VALUE"""),"LEMG")</f>
        <v>LEMG</v>
      </c>
      <c r="D31" s="1" t="str">
        <f>IFERROR(__xludf.DUMMYFUNCTION("""COMPUTED_VALUE"""),"LEBL")</f>
        <v>LEBL</v>
      </c>
      <c r="E31" s="1" t="str">
        <f>IFERROR(__xludf.DUMMYFUNCTION("""COMPUTED_VALUE"""),"ECMEA")</f>
        <v>ECMEA</v>
      </c>
      <c r="F31" s="1">
        <f>IFERROR(__xludf.DUMMYFUNCTION("""COMPUTED_VALUE"""),360.0)</f>
        <v>360</v>
      </c>
      <c r="G31" s="7">
        <f>IFERROR(__xludf.DUMMYFUNCTION("""COMPUTED_VALUE"""),0.19791666666666666)</f>
        <v>0.1979166667</v>
      </c>
      <c r="H31" s="1">
        <f>IFERROR(__xludf.DUMMYFUNCTION("""COMPUTED_VALUE"""),15.0)</f>
        <v>15</v>
      </c>
      <c r="I31" s="7">
        <f>IFERROR(__xludf.DUMMYFUNCTION("""COMPUTED_VALUE"""),0.25)</f>
        <v>0.25</v>
      </c>
      <c r="J31" s="1" t="str">
        <f>IFERROR(__xludf.DUMMYFUNCTION("""COMPUTED_VALUE"""),"D")</f>
        <v>D</v>
      </c>
      <c r="K31" s="1">
        <f>IFERROR(__xludf.DUMMYFUNCTION("""COMPUTED_VALUE"""),173.0)</f>
        <v>173</v>
      </c>
      <c r="L31" s="7">
        <f>IFERROR(__xludf.DUMMYFUNCTION("""COMPUTED_VALUE"""),0.05208333333333334)</f>
        <v>0.05208333333</v>
      </c>
      <c r="M31" s="7">
        <f>IFERROR(__xludf.DUMMYFUNCTION("""COMPUTED_VALUE"""),0.028958333333333343)</f>
        <v>0.02895833333</v>
      </c>
      <c r="O31" s="9">
        <f>IFERROR(__xludf.DUMMYFUNCTION("""COMPUTED_VALUE"""),576.8500000000003)</f>
        <v>576.85</v>
      </c>
      <c r="P31" s="1" t="str">
        <f>IFERROR(__xludf.DUMMYFUNCTION("""COMPUTED_VALUE"""),"VLG")</f>
        <v>VLG</v>
      </c>
      <c r="Q31" s="1" t="str">
        <f>IFERROR(__xludf.DUMMYFUNCTION("""COMPUTED_VALUE"""),"ECAC")</f>
        <v>ECAC</v>
      </c>
    </row>
    <row r="32">
      <c r="A32" s="1" t="str">
        <f>IFERROR(__xludf.DUMMYFUNCTION("""COMPUTED_VALUE"""),"VLG6HA")</f>
        <v>VLG6HA</v>
      </c>
      <c r="B32" s="1" t="str">
        <f>IFERROR(__xludf.DUMMYFUNCTION("""COMPUTED_VALUE"""),"A320")</f>
        <v>A320</v>
      </c>
      <c r="C32" s="1" t="str">
        <f>IFERROR(__xludf.DUMMYFUNCTION("""COMPUTED_VALUE"""),"LEZL")</f>
        <v>LEZL</v>
      </c>
      <c r="D32" s="1" t="str">
        <f>IFERROR(__xludf.DUMMYFUNCTION("""COMPUTED_VALUE"""),"LEBL")</f>
        <v>LEBL</v>
      </c>
      <c r="E32" s="1" t="str">
        <f>IFERROR(__xludf.DUMMYFUNCTION("""COMPUTED_VALUE"""),"ECOKH")</f>
        <v>ECOKH</v>
      </c>
      <c r="F32" s="1">
        <f>IFERROR(__xludf.DUMMYFUNCTION("""COMPUTED_VALUE"""),340.0)</f>
        <v>340</v>
      </c>
      <c r="G32" s="7">
        <f>IFERROR(__xludf.DUMMYFUNCTION("""COMPUTED_VALUE"""),0.20069444444444445)</f>
        <v>0.2006944444</v>
      </c>
      <c r="H32" s="1">
        <f>IFERROR(__xludf.DUMMYFUNCTION("""COMPUTED_VALUE"""),10.0)</f>
        <v>10</v>
      </c>
      <c r="I32" s="7">
        <f>IFERROR(__xludf.DUMMYFUNCTION("""COMPUTED_VALUE"""),0.25)</f>
        <v>0.25</v>
      </c>
      <c r="J32" s="1" t="str">
        <f>IFERROR(__xludf.DUMMYFUNCTION("""COMPUTED_VALUE"""),"D")</f>
        <v>D</v>
      </c>
      <c r="K32" s="1">
        <f>IFERROR(__xludf.DUMMYFUNCTION("""COMPUTED_VALUE"""),173.0)</f>
        <v>173</v>
      </c>
      <c r="L32" s="7">
        <f>IFERROR(__xludf.DUMMYFUNCTION("""COMPUTED_VALUE"""),0.04930555555555555)</f>
        <v>0.04930555556</v>
      </c>
      <c r="M32" s="7">
        <f>IFERROR(__xludf.DUMMYFUNCTION("""COMPUTED_VALUE"""),0.029652777777777767)</f>
        <v>0.02965277778</v>
      </c>
      <c r="O32" s="9">
        <f>IFERROR(__xludf.DUMMYFUNCTION("""COMPUTED_VALUE"""),590.6833333333332)</f>
        <v>590.6833333</v>
      </c>
      <c r="P32" s="1" t="str">
        <f>IFERROR(__xludf.DUMMYFUNCTION("""COMPUTED_VALUE"""),"VLG")</f>
        <v>VLG</v>
      </c>
      <c r="Q32" s="1" t="str">
        <f>IFERROR(__xludf.DUMMYFUNCTION("""COMPUTED_VALUE"""),"ECAC")</f>
        <v>ECAC</v>
      </c>
    </row>
    <row r="33">
      <c r="A33" s="1" t="str">
        <f>IFERROR(__xludf.DUMMYFUNCTION("""COMPUTED_VALUE"""),"VLG6XL")</f>
        <v>VLG6XL</v>
      </c>
      <c r="B33" s="1" t="str">
        <f>IFERROR(__xludf.DUMMYFUNCTION("""COMPUTED_VALUE"""),"A320")</f>
        <v>A320</v>
      </c>
      <c r="C33" s="1" t="str">
        <f>IFERROR(__xludf.DUMMYFUNCTION("""COMPUTED_VALUE"""),"LEPA")</f>
        <v>LEPA</v>
      </c>
      <c r="D33" s="1" t="str">
        <f>IFERROR(__xludf.DUMMYFUNCTION("""COMPUTED_VALUE"""),"LEBL")</f>
        <v>LEBL</v>
      </c>
      <c r="E33" s="1" t="str">
        <f>IFERROR(__xludf.DUMMYFUNCTION("""COMPUTED_VALUE"""),"ECOGC")</f>
        <v>ECOGC</v>
      </c>
      <c r="F33" s="1">
        <f>IFERROR(__xludf.DUMMYFUNCTION("""COMPUTED_VALUE"""),180.0)</f>
        <v>180</v>
      </c>
      <c r="G33" s="7">
        <f>IFERROR(__xludf.DUMMYFUNCTION("""COMPUTED_VALUE"""),0.2375)</f>
        <v>0.2375</v>
      </c>
      <c r="H33" s="1">
        <f>IFERROR(__xludf.DUMMYFUNCTION("""COMPUTED_VALUE"""),17.0)</f>
        <v>17</v>
      </c>
      <c r="I33" s="7">
        <f>IFERROR(__xludf.DUMMYFUNCTION("""COMPUTED_VALUE"""),0.25)</f>
        <v>0.25</v>
      </c>
      <c r="J33" s="1" t="str">
        <f>IFERROR(__xludf.DUMMYFUNCTION("""COMPUTED_VALUE"""),"D")</f>
        <v>D</v>
      </c>
      <c r="K33" s="1">
        <f>IFERROR(__xludf.DUMMYFUNCTION("""COMPUTED_VALUE"""),173.0)</f>
        <v>173</v>
      </c>
      <c r="L33" s="7">
        <f>IFERROR(__xludf.DUMMYFUNCTION("""COMPUTED_VALUE"""),0.012500000000000011)</f>
        <v>0.0125</v>
      </c>
      <c r="M33" s="7">
        <f>IFERROR(__xludf.DUMMYFUNCTION("""COMPUTED_VALUE"""),6.944444444444559E-4)</f>
        <v>0.0006944444444</v>
      </c>
      <c r="O33" s="9">
        <f>IFERROR(__xludf.DUMMYFUNCTION("""COMPUTED_VALUE"""),13.833333333333561)</f>
        <v>13.83333333</v>
      </c>
      <c r="P33" s="1" t="str">
        <f>IFERROR(__xludf.DUMMYFUNCTION("""COMPUTED_VALUE"""),"VLG")</f>
        <v>VLG</v>
      </c>
      <c r="Q33" s="1" t="str">
        <f>IFERROR(__xludf.DUMMYFUNCTION("""COMPUTED_VALUE"""),"ECAC")</f>
        <v>ECAC</v>
      </c>
    </row>
    <row r="34">
      <c r="A34" s="1" t="str">
        <f>IFERROR(__xludf.DUMMYFUNCTION("""COMPUTED_VALUE"""),"FIA511")</f>
        <v>FIA511</v>
      </c>
      <c r="B34" s="1" t="str">
        <f>IFERROR(__xludf.DUMMYFUNCTION("""COMPUTED_VALUE"""),"A320")</f>
        <v>A320</v>
      </c>
      <c r="C34" s="1" t="str">
        <f>IFERROR(__xludf.DUMMYFUNCTION("""COMPUTED_VALUE"""),"LUKK")</f>
        <v>LUKK</v>
      </c>
      <c r="D34" s="1" t="str">
        <f>IFERROR(__xludf.DUMMYFUNCTION("""COMPUTED_VALUE"""),"LEBL")</f>
        <v>LEBL</v>
      </c>
      <c r="E34" s="1" t="str">
        <f>IFERROR(__xludf.DUMMYFUNCTION("""COMPUTED_VALUE"""),"ER00008")</f>
        <v>ER00008</v>
      </c>
      <c r="F34" s="1">
        <f>IFERROR(__xludf.DUMMYFUNCTION("""COMPUTED_VALUE"""),360.0)</f>
        <v>360</v>
      </c>
      <c r="G34" s="7">
        <f>IFERROR(__xludf.DUMMYFUNCTION("""COMPUTED_VALUE"""),0.11458333333333333)</f>
        <v>0.1145833333</v>
      </c>
      <c r="H34" s="1">
        <f>IFERROR(__xludf.DUMMYFUNCTION("""COMPUTED_VALUE"""),15.0)</f>
        <v>15</v>
      </c>
      <c r="I34" s="7">
        <f>IFERROR(__xludf.DUMMYFUNCTION("""COMPUTED_VALUE"""),0.25)</f>
        <v>0.25</v>
      </c>
      <c r="J34" s="1" t="str">
        <f>IFERROR(__xludf.DUMMYFUNCTION("""COMPUTED_VALUE"""),"D")</f>
        <v>D</v>
      </c>
      <c r="K34" s="1">
        <f>IFERROR(__xludf.DUMMYFUNCTION("""COMPUTED_VALUE"""),173.0)</f>
        <v>173</v>
      </c>
      <c r="L34" s="7">
        <f>IFERROR(__xludf.DUMMYFUNCTION("""COMPUTED_VALUE"""),0.13541666666666669)</f>
        <v>0.1354166667</v>
      </c>
      <c r="M34" s="7">
        <f>IFERROR(__xludf.DUMMYFUNCTION("""COMPUTED_VALUE"""),0.11229166666666668)</f>
        <v>0.1122916667</v>
      </c>
      <c r="O34" s="9">
        <f>IFERROR(__xludf.DUMMYFUNCTION("""COMPUTED_VALUE"""),2236.8500000000004)</f>
        <v>2236.85</v>
      </c>
      <c r="P34" s="1" t="str">
        <f>IFERROR(__xludf.DUMMYFUNCTION("""COMPUTED_VALUE"""),"FIA")</f>
        <v>FIA</v>
      </c>
      <c r="Q34" s="1" t="str">
        <f>IFERROR(__xludf.DUMMYFUNCTION("""COMPUTED_VALUE"""),"ECAC")</f>
        <v>ECAC</v>
      </c>
    </row>
    <row r="35">
      <c r="A35" s="1" t="str">
        <f>IFERROR(__xludf.DUMMYFUNCTION("""COMPUTED_VALUE"""),"RYR47WZ")</f>
        <v>RYR47WZ</v>
      </c>
      <c r="B35" s="1" t="str">
        <f>IFERROR(__xludf.DUMMYFUNCTION("""COMPUTED_VALUE"""),"B38M")</f>
        <v>B38M</v>
      </c>
      <c r="C35" s="1" t="str">
        <f>IFERROR(__xludf.DUMMYFUNCTION("""COMPUTED_VALUE"""),"EYVI")</f>
        <v>EYVI</v>
      </c>
      <c r="D35" s="1" t="str">
        <f>IFERROR(__xludf.DUMMYFUNCTION("""COMPUTED_VALUE"""),"LEBL")</f>
        <v>LEBL</v>
      </c>
      <c r="E35" s="1" t="str">
        <f>IFERROR(__xludf.DUMMYFUNCTION("""COMPUTED_VALUE"""),"SPRZK")</f>
        <v>SPRZK</v>
      </c>
      <c r="F35" s="1">
        <f>IFERROR(__xludf.DUMMYFUNCTION("""COMPUTED_VALUE"""),380.0)</f>
        <v>380</v>
      </c>
      <c r="G35" s="7">
        <f>IFERROR(__xludf.DUMMYFUNCTION("""COMPUTED_VALUE"""),0.12152777777777778)</f>
        <v>0.1215277778</v>
      </c>
      <c r="H35" s="1">
        <f>IFERROR(__xludf.DUMMYFUNCTION("""COMPUTED_VALUE"""),10.0)</f>
        <v>10</v>
      </c>
      <c r="I35" s="7">
        <f>IFERROR(__xludf.DUMMYFUNCTION("""COMPUTED_VALUE"""),0.2534722222222222)</f>
        <v>0.2534722222</v>
      </c>
      <c r="J35" s="1" t="str">
        <f>IFERROR(__xludf.DUMMYFUNCTION("""COMPUTED_VALUE"""),"D")</f>
        <v>D</v>
      </c>
      <c r="K35" s="1">
        <f>IFERROR(__xludf.DUMMYFUNCTION("""COMPUTED_VALUE"""),186.0)</f>
        <v>186</v>
      </c>
      <c r="L35" s="7">
        <f>IFERROR(__xludf.DUMMYFUNCTION("""COMPUTED_VALUE"""),0.13194444444444442)</f>
        <v>0.1319444444</v>
      </c>
      <c r="M35" s="7">
        <f>IFERROR(__xludf.DUMMYFUNCTION("""COMPUTED_VALUE"""),0.11229166666666664)</f>
        <v>0.1122916667</v>
      </c>
      <c r="O35" s="9">
        <f>IFERROR(__xludf.DUMMYFUNCTION("""COMPUTED_VALUE"""),2236.8499999999995)</f>
        <v>2236.85</v>
      </c>
      <c r="P35" s="1" t="str">
        <f>IFERROR(__xludf.DUMMYFUNCTION("""COMPUTED_VALUE"""),"RYR")</f>
        <v>RYR</v>
      </c>
      <c r="Q35" s="1" t="str">
        <f>IFERROR(__xludf.DUMMYFUNCTION("""COMPUTED_VALUE"""),"ECAC")</f>
        <v>ECAC</v>
      </c>
    </row>
    <row r="36">
      <c r="A36" s="1" t="str">
        <f>IFERROR(__xludf.DUMMYFUNCTION("""COMPUTED_VALUE"""),"LHX93U")</f>
        <v>LHX93U</v>
      </c>
      <c r="B36" s="1" t="str">
        <f>IFERROR(__xludf.DUMMYFUNCTION("""COMPUTED_VALUE"""),"A20N")</f>
        <v>A20N</v>
      </c>
      <c r="C36" s="1" t="str">
        <f>IFERROR(__xludf.DUMMYFUNCTION("""COMPUTED_VALUE"""),"EDDM")</f>
        <v>EDDM</v>
      </c>
      <c r="D36" s="1" t="str">
        <f>IFERROR(__xludf.DUMMYFUNCTION("""COMPUTED_VALUE"""),"LEBL")</f>
        <v>LEBL</v>
      </c>
      <c r="E36" s="1" t="str">
        <f>IFERROR(__xludf.DUMMYFUNCTION("""COMPUTED_VALUE"""),"DAIJN")</f>
        <v>DAIJN</v>
      </c>
      <c r="F36" s="1">
        <f>IFERROR(__xludf.DUMMYFUNCTION("""COMPUTED_VALUE"""),370.0)</f>
        <v>370</v>
      </c>
      <c r="G36" s="7">
        <f>IFERROR(__xludf.DUMMYFUNCTION("""COMPUTED_VALUE"""),0.19027777777777777)</f>
        <v>0.1902777778</v>
      </c>
      <c r="H36" s="1">
        <f>IFERROR(__xludf.DUMMYFUNCTION("""COMPUTED_VALUE"""),12.0)</f>
        <v>12</v>
      </c>
      <c r="I36" s="7">
        <f>IFERROR(__xludf.DUMMYFUNCTION("""COMPUTED_VALUE"""),0.2534722222222222)</f>
        <v>0.2534722222</v>
      </c>
      <c r="J36" s="1" t="str">
        <f>IFERROR(__xludf.DUMMYFUNCTION("""COMPUTED_VALUE"""),"D")</f>
        <v>D</v>
      </c>
      <c r="K36" s="1">
        <f>IFERROR(__xludf.DUMMYFUNCTION("""COMPUTED_VALUE"""),180.0)</f>
        <v>180</v>
      </c>
      <c r="L36" s="7">
        <f>IFERROR(__xludf.DUMMYFUNCTION("""COMPUTED_VALUE"""),0.06319444444444444)</f>
        <v>0.06319444444</v>
      </c>
      <c r="M36" s="7">
        <f>IFERROR(__xludf.DUMMYFUNCTION("""COMPUTED_VALUE"""),0.042152777777777775)</f>
        <v>0.04215277778</v>
      </c>
      <c r="O36" s="9">
        <f>IFERROR(__xludf.DUMMYFUNCTION("""COMPUTED_VALUE"""),839.6833333333334)</f>
        <v>839.6833333</v>
      </c>
      <c r="P36" s="1" t="str">
        <f>IFERROR(__xludf.DUMMYFUNCTION("""COMPUTED_VALUE"""),"LHX")</f>
        <v>LHX</v>
      </c>
      <c r="Q36" s="1" t="str">
        <f>IFERROR(__xludf.DUMMYFUNCTION("""COMPUTED_VALUE"""),"ECAC")</f>
        <v>ECAC</v>
      </c>
    </row>
    <row r="37">
      <c r="A37" s="1" t="str">
        <f>IFERROR(__xludf.DUMMYFUNCTION("""COMPUTED_VALUE"""),"RYR4VD")</f>
        <v>RYR4VD</v>
      </c>
      <c r="B37" s="1" t="str">
        <f>IFERROR(__xludf.DUMMYFUNCTION("""COMPUTED_VALUE"""),"B738")</f>
        <v>B738</v>
      </c>
      <c r="C37" s="1" t="str">
        <f>IFERROR(__xludf.DUMMYFUNCTION("""COMPUTED_VALUE"""),"LEZL")</f>
        <v>LEZL</v>
      </c>
      <c r="D37" s="1" t="str">
        <f>IFERROR(__xludf.DUMMYFUNCTION("""COMPUTED_VALUE"""),"LEBL")</f>
        <v>LEBL</v>
      </c>
      <c r="E37" s="1" t="str">
        <f>IFERROR(__xludf.DUMMYFUNCTION("""COMPUTED_VALUE"""),"9HQEU")</f>
        <v>9HQEU</v>
      </c>
      <c r="F37" s="1">
        <f>IFERROR(__xludf.DUMMYFUNCTION("""COMPUTED_VALUE"""),380.0)</f>
        <v>380</v>
      </c>
      <c r="G37" s="7">
        <f>IFERROR(__xludf.DUMMYFUNCTION("""COMPUTED_VALUE"""),0.19236111111111112)</f>
        <v>0.1923611111</v>
      </c>
      <c r="H37" s="1">
        <f>IFERROR(__xludf.DUMMYFUNCTION("""COMPUTED_VALUE"""),10.0)</f>
        <v>10</v>
      </c>
      <c r="I37" s="7">
        <f>IFERROR(__xludf.DUMMYFUNCTION("""COMPUTED_VALUE"""),0.2534722222222222)</f>
        <v>0.2534722222</v>
      </c>
      <c r="J37" s="1" t="str">
        <f>IFERROR(__xludf.DUMMYFUNCTION("""COMPUTED_VALUE"""),"D")</f>
        <v>D</v>
      </c>
      <c r="K37" s="1">
        <f>IFERROR(__xludf.DUMMYFUNCTION("""COMPUTED_VALUE"""),184.0)</f>
        <v>184</v>
      </c>
      <c r="L37" s="7">
        <f>IFERROR(__xludf.DUMMYFUNCTION("""COMPUTED_VALUE"""),0.06111111111111109)</f>
        <v>0.06111111111</v>
      </c>
      <c r="M37" s="7">
        <f>IFERROR(__xludf.DUMMYFUNCTION("""COMPUTED_VALUE"""),0.041458333333333305)</f>
        <v>0.04145833333</v>
      </c>
      <c r="O37" s="9">
        <f>IFERROR(__xludf.DUMMYFUNCTION("""COMPUTED_VALUE"""),825.8499999999995)</f>
        <v>825.85</v>
      </c>
      <c r="P37" s="1" t="str">
        <f>IFERROR(__xludf.DUMMYFUNCTION("""COMPUTED_VALUE"""),"RYR")</f>
        <v>RYR</v>
      </c>
      <c r="Q37" s="1" t="str">
        <f>IFERROR(__xludf.DUMMYFUNCTION("""COMPUTED_VALUE"""),"ECAC")</f>
        <v>ECAC</v>
      </c>
    </row>
    <row r="38">
      <c r="A38" s="1" t="str">
        <f>IFERROR(__xludf.DUMMYFUNCTION("""COMPUTED_VALUE"""),"TRA5B")</f>
        <v>TRA5B</v>
      </c>
      <c r="B38" s="1" t="str">
        <f>IFERROR(__xludf.DUMMYFUNCTION("""COMPUTED_VALUE"""),"B738")</f>
        <v>B738</v>
      </c>
      <c r="C38" s="1" t="str">
        <f>IFERROR(__xludf.DUMMYFUNCTION("""COMPUTED_VALUE"""),"EHAM")</f>
        <v>EHAM</v>
      </c>
      <c r="D38" s="1" t="str">
        <f>IFERROR(__xludf.DUMMYFUNCTION("""COMPUTED_VALUE"""),"LEBL")</f>
        <v>LEBL</v>
      </c>
      <c r="E38" s="1" t="str">
        <f>IFERROR(__xludf.DUMMYFUNCTION("""COMPUTED_VALUE"""),"PHHSI")</f>
        <v>PHHSI</v>
      </c>
      <c r="F38" s="1">
        <f>IFERROR(__xludf.DUMMYFUNCTION("""COMPUTED_VALUE"""),390.0)</f>
        <v>390</v>
      </c>
      <c r="G38" s="7">
        <f>IFERROR(__xludf.DUMMYFUNCTION("""COMPUTED_VALUE"""),0.175)</f>
        <v>0.175</v>
      </c>
      <c r="H38" s="1">
        <f>IFERROR(__xludf.DUMMYFUNCTION("""COMPUTED_VALUE"""),15.0)</f>
        <v>15</v>
      </c>
      <c r="I38" s="7">
        <f>IFERROR(__xludf.DUMMYFUNCTION("""COMPUTED_VALUE"""),0.2534722222222222)</f>
        <v>0.2534722222</v>
      </c>
      <c r="J38" s="1" t="str">
        <f>IFERROR(__xludf.DUMMYFUNCTION("""COMPUTED_VALUE"""),"D")</f>
        <v>D</v>
      </c>
      <c r="K38" s="1">
        <f>IFERROR(__xludf.DUMMYFUNCTION("""COMPUTED_VALUE"""),184.0)</f>
        <v>184</v>
      </c>
      <c r="L38" s="7">
        <f>IFERROR(__xludf.DUMMYFUNCTION("""COMPUTED_VALUE"""),0.07847222222222222)</f>
        <v>0.07847222222</v>
      </c>
      <c r="M38" s="7">
        <f>IFERROR(__xludf.DUMMYFUNCTION("""COMPUTED_VALUE"""),0.05534722222222222)</f>
        <v>0.05534722222</v>
      </c>
      <c r="O38" s="9">
        <f>IFERROR(__xludf.DUMMYFUNCTION("""COMPUTED_VALUE"""),1102.5166666666667)</f>
        <v>1102.516667</v>
      </c>
      <c r="P38" s="1" t="str">
        <f>IFERROR(__xludf.DUMMYFUNCTION("""COMPUTED_VALUE"""),"TRA")</f>
        <v>TRA</v>
      </c>
      <c r="Q38" s="1" t="str">
        <f>IFERROR(__xludf.DUMMYFUNCTION("""COMPUTED_VALUE"""),"ECAC")</f>
        <v>ECAC</v>
      </c>
    </row>
    <row r="39">
      <c r="A39" s="1" t="str">
        <f>IFERROR(__xludf.DUMMYFUNCTION("""COMPUTED_VALUE"""),"CPA321")</f>
        <v>CPA321</v>
      </c>
      <c r="B39" s="1" t="str">
        <f>IFERROR(__xludf.DUMMYFUNCTION("""COMPUTED_VALUE"""),"A359")</f>
        <v>A359</v>
      </c>
      <c r="C39" s="1" t="str">
        <f>IFERROR(__xludf.DUMMYFUNCTION("""COMPUTED_VALUE"""),"VHHH")</f>
        <v>VHHH</v>
      </c>
      <c r="D39" s="1" t="str">
        <f>IFERROR(__xludf.DUMMYFUNCTION("""COMPUTED_VALUE"""),"LEBL")</f>
        <v>LEBL</v>
      </c>
      <c r="E39" s="1" t="str">
        <f>IFERROR(__xludf.DUMMYFUNCTION("""COMPUTED_VALUE"""),"BLRC")</f>
        <v>BLRC</v>
      </c>
      <c r="F39" s="1">
        <f>IFERROR(__xludf.DUMMYFUNCTION("""COMPUTED_VALUE"""),400.0)</f>
        <v>400</v>
      </c>
      <c r="G39" s="7">
        <f>IFERROR(__xludf.DUMMYFUNCTION("""COMPUTED_VALUE"""),0.6909722222222222)</f>
        <v>0.6909722222</v>
      </c>
      <c r="H39" s="1">
        <f>IFERROR(__xludf.DUMMYFUNCTION("""COMPUTED_VALUE"""),10.0)</f>
        <v>10</v>
      </c>
      <c r="I39" s="7">
        <f>IFERROR(__xludf.DUMMYFUNCTION("""COMPUTED_VALUE"""),0.2534722222222222)</f>
        <v>0.2534722222</v>
      </c>
      <c r="J39" s="1" t="str">
        <f>IFERROR(__xludf.DUMMYFUNCTION("""COMPUTED_VALUE"""),"B")</f>
        <v>B</v>
      </c>
      <c r="K39" s="1">
        <f>IFERROR(__xludf.DUMMYFUNCTION("""COMPUTED_VALUE"""),297.0)</f>
        <v>297</v>
      </c>
      <c r="L39" s="7">
        <f>IFERROR(__xludf.DUMMYFUNCTION("""COMPUTED_VALUE"""),0.5625)</f>
        <v>0.5625</v>
      </c>
      <c r="M39" s="7">
        <f>IFERROR(__xludf.DUMMYFUNCTION("""COMPUTED_VALUE"""),0.5428472222222223)</f>
        <v>0.5428472222</v>
      </c>
      <c r="O39" s="9">
        <f>IFERROR(__xludf.DUMMYFUNCTION("""COMPUTED_VALUE"""),11725.5)</f>
        <v>11725.5</v>
      </c>
      <c r="P39" s="1" t="str">
        <f>IFERROR(__xludf.DUMMYFUNCTION("""COMPUTED_VALUE"""),"CPA")</f>
        <v>CPA</v>
      </c>
      <c r="Q39" s="1" t="str">
        <f>IFERROR(__xludf.DUMMYFUNCTION("""COMPUTED_VALUE"""),"NO ECAC")</f>
        <v>NO ECAC</v>
      </c>
    </row>
    <row r="40">
      <c r="A40" s="1" t="str">
        <f>IFERROR(__xludf.DUMMYFUNCTION("""COMPUTED_VALUE"""),"RYR1VJ")</f>
        <v>RYR1VJ</v>
      </c>
      <c r="B40" s="1" t="str">
        <f>IFERROR(__xludf.DUMMYFUNCTION("""COMPUTED_VALUE"""),"B738")</f>
        <v>B738</v>
      </c>
      <c r="C40" s="1" t="str">
        <f>IFERROR(__xludf.DUMMYFUNCTION("""COMPUTED_VALUE"""),"LEPA")</f>
        <v>LEPA</v>
      </c>
      <c r="D40" s="1" t="str">
        <f>IFERROR(__xludf.DUMMYFUNCTION("""COMPUTED_VALUE"""),"LEBL")</f>
        <v>LEBL</v>
      </c>
      <c r="E40" s="1" t="str">
        <f>IFERROR(__xludf.DUMMYFUNCTION("""COMPUTED_VALUE"""),"9HQAD")</f>
        <v>9HQAD</v>
      </c>
      <c r="F40" s="1">
        <f>IFERROR(__xludf.DUMMYFUNCTION("""COMPUTED_VALUE"""),180.0)</f>
        <v>180</v>
      </c>
      <c r="G40" s="7">
        <f>IFERROR(__xludf.DUMMYFUNCTION("""COMPUTED_VALUE"""),0.24027777777777778)</f>
        <v>0.2402777778</v>
      </c>
      <c r="H40" s="1">
        <f>IFERROR(__xludf.DUMMYFUNCTION("""COMPUTED_VALUE"""),16.0)</f>
        <v>16</v>
      </c>
      <c r="I40" s="7">
        <f>IFERROR(__xludf.DUMMYFUNCTION("""COMPUTED_VALUE"""),0.2569444444444444)</f>
        <v>0.2569444444</v>
      </c>
      <c r="J40" s="1" t="str">
        <f>IFERROR(__xludf.DUMMYFUNCTION("""COMPUTED_VALUE"""),"D")</f>
        <v>D</v>
      </c>
      <c r="K40" s="1">
        <f>IFERROR(__xludf.DUMMYFUNCTION("""COMPUTED_VALUE"""),184.0)</f>
        <v>184</v>
      </c>
      <c r="L40" s="7">
        <f>IFERROR(__xludf.DUMMYFUNCTION("""COMPUTED_VALUE"""),0.016666666666666635)</f>
        <v>0.01666666667</v>
      </c>
      <c r="M40" s="7">
        <f>IFERROR(__xludf.DUMMYFUNCTION("""COMPUTED_VALUE"""),0.005555555555555524)</f>
        <v>0.005555555556</v>
      </c>
      <c r="O40" s="9">
        <f>IFERROR(__xludf.DUMMYFUNCTION("""COMPUTED_VALUE"""),110.66666666666605)</f>
        <v>110.6666667</v>
      </c>
      <c r="P40" s="1" t="str">
        <f>IFERROR(__xludf.DUMMYFUNCTION("""COMPUTED_VALUE"""),"RYR")</f>
        <v>RYR</v>
      </c>
      <c r="Q40" s="1" t="str">
        <f>IFERROR(__xludf.DUMMYFUNCTION("""COMPUTED_VALUE"""),"ECAC")</f>
        <v>ECAC</v>
      </c>
    </row>
    <row r="41">
      <c r="A41" s="1" t="str">
        <f>IFERROR(__xludf.DUMMYFUNCTION("""COMPUTED_VALUE"""),"EWG4214")</f>
        <v>EWG4214</v>
      </c>
      <c r="B41" s="1" t="str">
        <f>IFERROR(__xludf.DUMMYFUNCTION("""COMPUTED_VALUE"""),"A320")</f>
        <v>A320</v>
      </c>
      <c r="C41" s="1" t="str">
        <f>IFERROR(__xludf.DUMMYFUNCTION("""COMPUTED_VALUE"""),"LKPR")</f>
        <v>LKPR</v>
      </c>
      <c r="D41" s="1" t="str">
        <f>IFERROR(__xludf.DUMMYFUNCTION("""COMPUTED_VALUE"""),"LEBL")</f>
        <v>LEBL</v>
      </c>
      <c r="E41" s="1" t="str">
        <f>IFERROR(__xludf.DUMMYFUNCTION("""COMPUTED_VALUE"""),"9HEUN")</f>
        <v>9HEUN</v>
      </c>
      <c r="F41" s="1">
        <f>IFERROR(__xludf.DUMMYFUNCTION("""COMPUTED_VALUE"""),370.0)</f>
        <v>370</v>
      </c>
      <c r="G41" s="7">
        <f>IFERROR(__xludf.DUMMYFUNCTION("""COMPUTED_VALUE"""),0.18333333333333332)</f>
        <v>0.1833333333</v>
      </c>
      <c r="H41" s="1">
        <f>IFERROR(__xludf.DUMMYFUNCTION("""COMPUTED_VALUE"""),16.0)</f>
        <v>16</v>
      </c>
      <c r="I41" s="7">
        <f>IFERROR(__xludf.DUMMYFUNCTION("""COMPUTED_VALUE"""),0.2569444444444444)</f>
        <v>0.2569444444</v>
      </c>
      <c r="J41" s="1" t="str">
        <f>IFERROR(__xludf.DUMMYFUNCTION("""COMPUTED_VALUE"""),"D")</f>
        <v>D</v>
      </c>
      <c r="K41" s="1">
        <f>IFERROR(__xludf.DUMMYFUNCTION("""COMPUTED_VALUE"""),173.0)</f>
        <v>173</v>
      </c>
      <c r="L41" s="7">
        <f>IFERROR(__xludf.DUMMYFUNCTION("""COMPUTED_VALUE"""),0.0736111111111111)</f>
        <v>0.07361111111</v>
      </c>
      <c r="M41" s="7">
        <f>IFERROR(__xludf.DUMMYFUNCTION("""COMPUTED_VALUE"""),0.04979166666666665)</f>
        <v>0.04979166667</v>
      </c>
      <c r="O41" s="9">
        <f>IFERROR(__xludf.DUMMYFUNCTION("""COMPUTED_VALUE"""),991.8499999999997)</f>
        <v>991.85</v>
      </c>
      <c r="P41" s="1" t="str">
        <f>IFERROR(__xludf.DUMMYFUNCTION("""COMPUTED_VALUE"""),"EWG")</f>
        <v>EWG</v>
      </c>
      <c r="Q41" s="1" t="str">
        <f>IFERROR(__xludf.DUMMYFUNCTION("""COMPUTED_VALUE"""),"ECAC")</f>
        <v>ECAC</v>
      </c>
    </row>
    <row r="42">
      <c r="A42" s="1" t="str">
        <f>IFERROR(__xludf.DUMMYFUNCTION("""COMPUTED_VALUE"""),"DAL128")</f>
        <v>DAL128</v>
      </c>
      <c r="B42" s="1" t="str">
        <f>IFERROR(__xludf.DUMMYFUNCTION("""COMPUTED_VALUE"""),"B764")</f>
        <v>B764</v>
      </c>
      <c r="C42" s="1" t="str">
        <f>IFERROR(__xludf.DUMMYFUNCTION("""COMPUTED_VALUE"""),"KJFK")</f>
        <v>KJFK</v>
      </c>
      <c r="D42" s="1" t="str">
        <f>IFERROR(__xludf.DUMMYFUNCTION("""COMPUTED_VALUE"""),"LEBL")</f>
        <v>LEBL</v>
      </c>
      <c r="E42" s="1" t="str">
        <f>IFERROR(__xludf.DUMMYFUNCTION("""COMPUTED_VALUE"""),"N841MH")</f>
        <v>N841MH</v>
      </c>
      <c r="F42" s="1">
        <f>IFERROR(__xludf.DUMMYFUNCTION("""COMPUTED_VALUE"""),370.0)</f>
        <v>370</v>
      </c>
      <c r="G42" s="7">
        <f>IFERROR(__xludf.DUMMYFUNCTION("""COMPUTED_VALUE"""),0.9166666666666666)</f>
        <v>0.9166666667</v>
      </c>
      <c r="H42" s="1">
        <f>IFERROR(__xludf.DUMMYFUNCTION("""COMPUTED_VALUE"""),30.0)</f>
        <v>30</v>
      </c>
      <c r="I42" s="7">
        <f>IFERROR(__xludf.DUMMYFUNCTION("""COMPUTED_VALUE"""),0.2569444444444444)</f>
        <v>0.2569444444</v>
      </c>
      <c r="J42" s="1" t="str">
        <f>IFERROR(__xludf.DUMMYFUNCTION("""COMPUTED_VALUE"""),"C")</f>
        <v>C</v>
      </c>
      <c r="K42" s="1">
        <f>IFERROR(__xludf.DUMMYFUNCTION("""COMPUTED_VALUE"""),245.0)</f>
        <v>245</v>
      </c>
      <c r="L42" s="7">
        <f>IFERROR(__xludf.DUMMYFUNCTION("""COMPUTED_VALUE"""),0.3402777777777778)</f>
        <v>0.3402777778</v>
      </c>
      <c r="M42" s="7">
        <f>IFERROR(__xludf.DUMMYFUNCTION("""COMPUTED_VALUE"""),0.30673611111111115)</f>
        <v>0.3067361111</v>
      </c>
      <c r="O42" s="9">
        <f>IFERROR(__xludf.DUMMYFUNCTION("""COMPUTED_VALUE"""),6404.6500000000015)</f>
        <v>6404.65</v>
      </c>
      <c r="P42" s="1" t="str">
        <f>IFERROR(__xludf.DUMMYFUNCTION("""COMPUTED_VALUE"""),"DAL")</f>
        <v>DAL</v>
      </c>
      <c r="Q42" s="1" t="str">
        <f>IFERROR(__xludf.DUMMYFUNCTION("""COMPUTED_VALUE"""),"NO ECAC")</f>
        <v>NO ECAC</v>
      </c>
    </row>
    <row r="43">
      <c r="A43" s="1" t="str">
        <f>IFERROR(__xludf.DUMMYFUNCTION("""COMPUTED_VALUE"""),"RYR17MW")</f>
        <v>RYR17MW</v>
      </c>
      <c r="B43" s="1" t="str">
        <f>IFERROR(__xludf.DUMMYFUNCTION("""COMPUTED_VALUE"""),"B738")</f>
        <v>B738</v>
      </c>
      <c r="C43" s="1" t="str">
        <f>IFERROR(__xludf.DUMMYFUNCTION("""COMPUTED_VALUE"""),"LHBP")</f>
        <v>LHBP</v>
      </c>
      <c r="D43" s="1" t="str">
        <f>IFERROR(__xludf.DUMMYFUNCTION("""COMPUTED_VALUE"""),"LEBL")</f>
        <v>LEBL</v>
      </c>
      <c r="E43" s="1" t="str">
        <f>IFERROR(__xludf.DUMMYFUNCTION("""COMPUTED_VALUE"""),"SPRSI")</f>
        <v>SPRSI</v>
      </c>
      <c r="F43" s="1">
        <f>IFERROR(__xludf.DUMMYFUNCTION("""COMPUTED_VALUE"""),370.0)</f>
        <v>370</v>
      </c>
      <c r="G43" s="7">
        <f>IFERROR(__xludf.DUMMYFUNCTION("""COMPUTED_VALUE"""),0.1736111111111111)</f>
        <v>0.1736111111</v>
      </c>
      <c r="H43" s="1">
        <f>IFERROR(__xludf.DUMMYFUNCTION("""COMPUTED_VALUE"""),10.0)</f>
        <v>10</v>
      </c>
      <c r="I43" s="7">
        <f>IFERROR(__xludf.DUMMYFUNCTION("""COMPUTED_VALUE"""),0.2604166666666667)</f>
        <v>0.2604166667</v>
      </c>
      <c r="J43" s="1" t="str">
        <f>IFERROR(__xludf.DUMMYFUNCTION("""COMPUTED_VALUE"""),"D")</f>
        <v>D</v>
      </c>
      <c r="K43" s="1">
        <f>IFERROR(__xludf.DUMMYFUNCTION("""COMPUTED_VALUE"""),184.0)</f>
        <v>184</v>
      </c>
      <c r="L43" s="7">
        <f>IFERROR(__xludf.DUMMYFUNCTION("""COMPUTED_VALUE"""),0.08680555555555558)</f>
        <v>0.08680555556</v>
      </c>
      <c r="M43" s="7">
        <f>IFERROR(__xludf.DUMMYFUNCTION("""COMPUTED_VALUE"""),0.0671527777777778)</f>
        <v>0.06715277778</v>
      </c>
      <c r="O43" s="9">
        <f>IFERROR(__xludf.DUMMYFUNCTION("""COMPUTED_VALUE"""),1337.6833333333338)</f>
        <v>1337.683333</v>
      </c>
      <c r="P43" s="1" t="str">
        <f>IFERROR(__xludf.DUMMYFUNCTION("""COMPUTED_VALUE"""),"RYR")</f>
        <v>RYR</v>
      </c>
      <c r="Q43" s="1" t="str">
        <f>IFERROR(__xludf.DUMMYFUNCTION("""COMPUTED_VALUE"""),"ECAC")</f>
        <v>ECAC</v>
      </c>
    </row>
    <row r="44">
      <c r="A44" s="1" t="str">
        <f>IFERROR(__xludf.DUMMYFUNCTION("""COMPUTED_VALUE"""),"WMT2NV")</f>
        <v>WMT2NV</v>
      </c>
      <c r="B44" s="1" t="str">
        <f>IFERROR(__xludf.DUMMYFUNCTION("""COMPUTED_VALUE"""),"A21N")</f>
        <v>A21N</v>
      </c>
      <c r="C44" s="1" t="str">
        <f>IFERROR(__xludf.DUMMYFUNCTION("""COMPUTED_VALUE"""),"LOWW")</f>
        <v>LOWW</v>
      </c>
      <c r="D44" s="1" t="str">
        <f>IFERROR(__xludf.DUMMYFUNCTION("""COMPUTED_VALUE"""),"LEBL")</f>
        <v>LEBL</v>
      </c>
      <c r="E44" s="1" t="str">
        <f>IFERROR(__xludf.DUMMYFUNCTION("""COMPUTED_VALUE"""),"9HWAO")</f>
        <v>9HWAO</v>
      </c>
      <c r="F44" s="1">
        <f>IFERROR(__xludf.DUMMYFUNCTION("""COMPUTED_VALUE"""),350.0)</f>
        <v>350</v>
      </c>
      <c r="G44" s="7">
        <f>IFERROR(__xludf.DUMMYFUNCTION("""COMPUTED_VALUE"""),0.18680555555555556)</f>
        <v>0.1868055556</v>
      </c>
      <c r="H44" s="1">
        <f>IFERROR(__xludf.DUMMYFUNCTION("""COMPUTED_VALUE"""),15.0)</f>
        <v>15</v>
      </c>
      <c r="I44" s="7">
        <f>IFERROR(__xludf.DUMMYFUNCTION("""COMPUTED_VALUE"""),0.2604166666666667)</f>
        <v>0.2604166667</v>
      </c>
      <c r="J44" s="1" t="str">
        <f>IFERROR(__xludf.DUMMYFUNCTION("""COMPUTED_VALUE"""),"D")</f>
        <v>D</v>
      </c>
      <c r="K44" s="1">
        <f>IFERROR(__xludf.DUMMYFUNCTION("""COMPUTED_VALUE"""),200.0)</f>
        <v>200</v>
      </c>
      <c r="L44" s="7">
        <f>IFERROR(__xludf.DUMMYFUNCTION("""COMPUTED_VALUE"""),0.07361111111111113)</f>
        <v>0.07361111111</v>
      </c>
      <c r="M44" s="7">
        <f>IFERROR(__xludf.DUMMYFUNCTION("""COMPUTED_VALUE"""),0.05048611111111113)</f>
        <v>0.05048611111</v>
      </c>
      <c r="O44" s="9">
        <f>IFERROR(__xludf.DUMMYFUNCTION("""COMPUTED_VALUE"""),1005.6833333333337)</f>
        <v>1005.683333</v>
      </c>
      <c r="P44" s="1" t="str">
        <f>IFERROR(__xludf.DUMMYFUNCTION("""COMPUTED_VALUE"""),"WMT")</f>
        <v>WMT</v>
      </c>
      <c r="Q44" s="1" t="str">
        <f>IFERROR(__xludf.DUMMYFUNCTION("""COMPUTED_VALUE"""),"ECAC")</f>
        <v>ECAC</v>
      </c>
    </row>
    <row r="45">
      <c r="A45" s="1" t="str">
        <f>IFERROR(__xludf.DUMMYFUNCTION("""COMPUTED_VALUE"""),"RYR6882")</f>
        <v>RYR6882</v>
      </c>
      <c r="B45" s="1" t="str">
        <f>IFERROR(__xludf.DUMMYFUNCTION("""COMPUTED_VALUE"""),"B738")</f>
        <v>B738</v>
      </c>
      <c r="C45" s="1" t="str">
        <f>IFERROR(__xludf.DUMMYFUNCTION("""COMPUTED_VALUE"""),"LEMH")</f>
        <v>LEMH</v>
      </c>
      <c r="D45" s="1" t="str">
        <f>IFERROR(__xludf.DUMMYFUNCTION("""COMPUTED_VALUE"""),"LEBL")</f>
        <v>LEBL</v>
      </c>
      <c r="E45" s="1" t="str">
        <f>IFERROR(__xludf.DUMMYFUNCTION("""COMPUTED_VALUE"""),"EIDCN")</f>
        <v>EIDCN</v>
      </c>
      <c r="F45" s="1">
        <f>IFERROR(__xludf.DUMMYFUNCTION("""COMPUTED_VALUE"""),180.0)</f>
        <v>180</v>
      </c>
      <c r="G45" s="7">
        <f>IFERROR(__xludf.DUMMYFUNCTION("""COMPUTED_VALUE"""),0.2465277777777778)</f>
        <v>0.2465277778</v>
      </c>
      <c r="H45" s="1">
        <f>IFERROR(__xludf.DUMMYFUNCTION("""COMPUTED_VALUE"""),10.0)</f>
        <v>10</v>
      </c>
      <c r="I45" s="7">
        <f>IFERROR(__xludf.DUMMYFUNCTION("""COMPUTED_VALUE"""),0.2638888888888889)</f>
        <v>0.2638888889</v>
      </c>
      <c r="J45" s="1" t="str">
        <f>IFERROR(__xludf.DUMMYFUNCTION("""COMPUTED_VALUE"""),"D")</f>
        <v>D</v>
      </c>
      <c r="K45" s="1">
        <f>IFERROR(__xludf.DUMMYFUNCTION("""COMPUTED_VALUE"""),184.0)</f>
        <v>184</v>
      </c>
      <c r="L45" s="7">
        <f>IFERROR(__xludf.DUMMYFUNCTION("""COMPUTED_VALUE"""),0.017361111111111105)</f>
        <v>0.01736111111</v>
      </c>
      <c r="M45" s="7">
        <f>IFERROR(__xludf.DUMMYFUNCTION("""COMPUTED_VALUE"""),0.010416666666666661)</f>
        <v>0.01041666667</v>
      </c>
      <c r="O45" s="9">
        <f>IFERROR(__xludf.DUMMYFUNCTION("""COMPUTED_VALUE"""),207.4999999999999)</f>
        <v>207.5</v>
      </c>
      <c r="P45" s="1" t="str">
        <f>IFERROR(__xludf.DUMMYFUNCTION("""COMPUTED_VALUE"""),"RYR")</f>
        <v>RYR</v>
      </c>
      <c r="Q45" s="1" t="str">
        <f>IFERROR(__xludf.DUMMYFUNCTION("""COMPUTED_VALUE"""),"ECAC")</f>
        <v>ECAC</v>
      </c>
    </row>
    <row r="46">
      <c r="A46" s="1" t="str">
        <f>IFERROR(__xludf.DUMMYFUNCTION("""COMPUTED_VALUE"""),"UAL992")</f>
        <v>UAL992</v>
      </c>
      <c r="B46" s="1" t="str">
        <f>IFERROR(__xludf.DUMMYFUNCTION("""COMPUTED_VALUE"""),"B789")</f>
        <v>B789</v>
      </c>
      <c r="C46" s="1" t="str">
        <f>IFERROR(__xludf.DUMMYFUNCTION("""COMPUTED_VALUE"""),"KIAD")</f>
        <v>KIAD</v>
      </c>
      <c r="D46" s="1" t="str">
        <f>IFERROR(__xludf.DUMMYFUNCTION("""COMPUTED_VALUE"""),"LEBL")</f>
        <v>LEBL</v>
      </c>
      <c r="E46" s="1" t="str">
        <f>IFERROR(__xludf.DUMMYFUNCTION("""COMPUTED_VALUE"""),"N24974")</f>
        <v>N24974</v>
      </c>
      <c r="F46" s="1">
        <f>IFERROR(__xludf.DUMMYFUNCTION("""COMPUTED_VALUE"""),400.0)</f>
        <v>400</v>
      </c>
      <c r="G46" s="7">
        <f>IFERROR(__xludf.DUMMYFUNCTION("""COMPUTED_VALUE"""),0.9513888888888888)</f>
        <v>0.9513888889</v>
      </c>
      <c r="H46" s="1">
        <f>IFERROR(__xludf.DUMMYFUNCTION("""COMPUTED_VALUE"""),20.0)</f>
        <v>20</v>
      </c>
      <c r="I46" s="7">
        <f>IFERROR(__xludf.DUMMYFUNCTION("""COMPUTED_VALUE"""),0.2673611111111111)</f>
        <v>0.2673611111</v>
      </c>
      <c r="J46" s="1" t="str">
        <f>IFERROR(__xludf.DUMMYFUNCTION("""COMPUTED_VALUE"""),"B")</f>
        <v>B</v>
      </c>
      <c r="K46" s="1">
        <f>IFERROR(__xludf.DUMMYFUNCTION("""COMPUTED_VALUE"""),284.0)</f>
        <v>284</v>
      </c>
      <c r="L46" s="7">
        <f>IFERROR(__xludf.DUMMYFUNCTION("""COMPUTED_VALUE"""),0.3159722222222223)</f>
        <v>0.3159722222</v>
      </c>
      <c r="M46" s="7">
        <f>IFERROR(__xludf.DUMMYFUNCTION("""COMPUTED_VALUE"""),0.2893750000000001)</f>
        <v>0.289375</v>
      </c>
      <c r="O46" s="9">
        <f>IFERROR(__xludf.DUMMYFUNCTION("""COMPUTED_VALUE"""),6250.500000000002)</f>
        <v>6250.5</v>
      </c>
      <c r="P46" s="1" t="str">
        <f>IFERROR(__xludf.DUMMYFUNCTION("""COMPUTED_VALUE"""),"UAL")</f>
        <v>UAL</v>
      </c>
      <c r="Q46" s="1" t="str">
        <f>IFERROR(__xludf.DUMMYFUNCTION("""COMPUTED_VALUE"""),"NO ECAC")</f>
        <v>NO ECAC</v>
      </c>
    </row>
    <row r="47">
      <c r="A47" s="1" t="str">
        <f>IFERROR(__xludf.DUMMYFUNCTION("""COMPUTED_VALUE"""),"IBE04TP")</f>
        <v>IBE04TP</v>
      </c>
      <c r="B47" s="1" t="str">
        <f>IFERROR(__xludf.DUMMYFUNCTION("""COMPUTED_VALUE"""),"A321")</f>
        <v>A321</v>
      </c>
      <c r="C47" s="1" t="str">
        <f>IFERROR(__xludf.DUMMYFUNCTION("""COMPUTED_VALUE"""),"LEMD")</f>
        <v>LEMD</v>
      </c>
      <c r="D47" s="1" t="str">
        <f>IFERROR(__xludf.DUMMYFUNCTION("""COMPUTED_VALUE"""),"LEBL")</f>
        <v>LEBL</v>
      </c>
      <c r="E47" s="1" t="str">
        <f>IFERROR(__xludf.DUMMYFUNCTION("""COMPUTED_VALUE"""),"ECJZM")</f>
        <v>ECJZM</v>
      </c>
      <c r="F47" s="1">
        <f>IFERROR(__xludf.DUMMYFUNCTION("""COMPUTED_VALUE"""),260.0)</f>
        <v>260</v>
      </c>
      <c r="G47" s="7">
        <f>IFERROR(__xludf.DUMMYFUNCTION("""COMPUTED_VALUE"""),0.2263888888888889)</f>
        <v>0.2263888889</v>
      </c>
      <c r="H47" s="1">
        <f>IFERROR(__xludf.DUMMYFUNCTION("""COMPUTED_VALUE"""),16.0)</f>
        <v>16</v>
      </c>
      <c r="I47" s="7">
        <f>IFERROR(__xludf.DUMMYFUNCTION("""COMPUTED_VALUE"""),0.2673611111111111)</f>
        <v>0.2673611111</v>
      </c>
      <c r="J47" s="1" t="str">
        <f>IFERROR(__xludf.DUMMYFUNCTION("""COMPUTED_VALUE"""),"D")</f>
        <v>D</v>
      </c>
      <c r="K47" s="1">
        <f>IFERROR(__xludf.DUMMYFUNCTION("""COMPUTED_VALUE"""),207.0)</f>
        <v>207</v>
      </c>
      <c r="L47" s="7">
        <f>IFERROR(__xludf.DUMMYFUNCTION("""COMPUTED_VALUE"""),0.040972222222222215)</f>
        <v>0.04097222222</v>
      </c>
      <c r="M47" s="7">
        <f>IFERROR(__xludf.DUMMYFUNCTION("""COMPUTED_VALUE"""),0.017152777777777767)</f>
        <v>0.01715277778</v>
      </c>
      <c r="O47" s="9">
        <f>IFERROR(__xludf.DUMMYFUNCTION("""COMPUTED_VALUE"""),341.6833333333331)</f>
        <v>341.6833333</v>
      </c>
      <c r="P47" s="1" t="str">
        <f>IFERROR(__xludf.DUMMYFUNCTION("""COMPUTED_VALUE"""),"IBE")</f>
        <v>IBE</v>
      </c>
      <c r="Q47" s="1" t="str">
        <f>IFERROR(__xludf.DUMMYFUNCTION("""COMPUTED_VALUE"""),"ECAC")</f>
        <v>ECAC</v>
      </c>
    </row>
    <row r="48">
      <c r="A48" s="1" t="str">
        <f>IFERROR(__xludf.DUMMYFUNCTION("""COMPUTED_VALUE"""),"RYR519Z")</f>
        <v>RYR519Z</v>
      </c>
      <c r="B48" s="1" t="str">
        <f>IFERROR(__xludf.DUMMYFUNCTION("""COMPUTED_VALUE"""),"B738")</f>
        <v>B738</v>
      </c>
      <c r="C48" s="1" t="str">
        <f>IFERROR(__xludf.DUMMYFUNCTION("""COMPUTED_VALUE"""),"EVRA")</f>
        <v>EVRA</v>
      </c>
      <c r="D48" s="1" t="str">
        <f>IFERROR(__xludf.DUMMYFUNCTION("""COMPUTED_VALUE"""),"LEBL")</f>
        <v>LEBL</v>
      </c>
      <c r="E48" s="1" t="str">
        <f>IFERROR(__xludf.DUMMYFUNCTION("""COMPUTED_VALUE"""),"SPRKS")</f>
        <v>SPRKS</v>
      </c>
      <c r="F48" s="1">
        <f>IFERROR(__xludf.DUMMYFUNCTION("""COMPUTED_VALUE"""),370.0)</f>
        <v>370</v>
      </c>
      <c r="G48" s="7">
        <f>IFERROR(__xludf.DUMMYFUNCTION("""COMPUTED_VALUE"""),0.1326388888888889)</f>
        <v>0.1326388889</v>
      </c>
      <c r="H48" s="1">
        <f>IFERROR(__xludf.DUMMYFUNCTION("""COMPUTED_VALUE"""),9.0)</f>
        <v>9</v>
      </c>
      <c r="I48" s="7">
        <f>IFERROR(__xludf.DUMMYFUNCTION("""COMPUTED_VALUE"""),0.2673611111111111)</f>
        <v>0.2673611111</v>
      </c>
      <c r="J48" s="1" t="str">
        <f>IFERROR(__xludf.DUMMYFUNCTION("""COMPUTED_VALUE"""),"D")</f>
        <v>D</v>
      </c>
      <c r="K48" s="1">
        <f>IFERROR(__xludf.DUMMYFUNCTION("""COMPUTED_VALUE"""),184.0)</f>
        <v>184</v>
      </c>
      <c r="L48" s="7">
        <f>IFERROR(__xludf.DUMMYFUNCTION("""COMPUTED_VALUE"""),0.13472222222222222)</f>
        <v>0.1347222222</v>
      </c>
      <c r="M48" s="7">
        <f>IFERROR(__xludf.DUMMYFUNCTION("""COMPUTED_VALUE"""),0.11576388888888887)</f>
        <v>0.1157638889</v>
      </c>
      <c r="O48" s="9">
        <f>IFERROR(__xludf.DUMMYFUNCTION("""COMPUTED_VALUE"""),2306.0166666666664)</f>
        <v>2306.016667</v>
      </c>
      <c r="P48" s="1" t="str">
        <f>IFERROR(__xludf.DUMMYFUNCTION("""COMPUTED_VALUE"""),"RYR")</f>
        <v>RYR</v>
      </c>
      <c r="Q48" s="1" t="str">
        <f>IFERROR(__xludf.DUMMYFUNCTION("""COMPUTED_VALUE"""),"ECAC")</f>
        <v>ECAC</v>
      </c>
    </row>
    <row r="49">
      <c r="A49" s="1" t="str">
        <f>IFERROR(__xludf.DUMMYFUNCTION("""COMPUTED_VALUE"""),"VLG1423")</f>
        <v>VLG1423</v>
      </c>
      <c r="B49" s="1" t="str">
        <f>IFERROR(__xludf.DUMMYFUNCTION("""COMPUTED_VALUE"""),"A320")</f>
        <v>A320</v>
      </c>
      <c r="C49" s="1" t="str">
        <f>IFERROR(__xludf.DUMMYFUNCTION("""COMPUTED_VALUE"""),"LEBB")</f>
        <v>LEBB</v>
      </c>
      <c r="D49" s="1" t="str">
        <f>IFERROR(__xludf.DUMMYFUNCTION("""COMPUTED_VALUE"""),"LEBL")</f>
        <v>LEBL</v>
      </c>
      <c r="E49" s="1" t="str">
        <f>IFERROR(__xludf.DUMMYFUNCTION("""COMPUTED_VALUE"""),"ECJYX")</f>
        <v>ECJYX</v>
      </c>
      <c r="F49" s="1">
        <f>IFERROR(__xludf.DUMMYFUNCTION("""COMPUTED_VALUE"""),300.0)</f>
        <v>300</v>
      </c>
      <c r="G49" s="7">
        <f>IFERROR(__xludf.DUMMYFUNCTION("""COMPUTED_VALUE"""),0.23055555555555557)</f>
        <v>0.2305555556</v>
      </c>
      <c r="H49" s="1">
        <f>IFERROR(__xludf.DUMMYFUNCTION("""COMPUTED_VALUE"""),7.0)</f>
        <v>7</v>
      </c>
      <c r="I49" s="7">
        <f>IFERROR(__xludf.DUMMYFUNCTION("""COMPUTED_VALUE"""),0.2673611111111111)</f>
        <v>0.2673611111</v>
      </c>
      <c r="J49" s="1" t="str">
        <f>IFERROR(__xludf.DUMMYFUNCTION("""COMPUTED_VALUE"""),"D")</f>
        <v>D</v>
      </c>
      <c r="K49" s="1">
        <f>IFERROR(__xludf.DUMMYFUNCTION("""COMPUTED_VALUE"""),173.0)</f>
        <v>173</v>
      </c>
      <c r="L49" s="7">
        <f>IFERROR(__xludf.DUMMYFUNCTION("""COMPUTED_VALUE"""),0.036805555555555536)</f>
        <v>0.03680555556</v>
      </c>
      <c r="M49" s="7">
        <f>IFERROR(__xludf.DUMMYFUNCTION("""COMPUTED_VALUE"""),0.01923611111111109)</f>
        <v>0.01923611111</v>
      </c>
      <c r="O49" s="9">
        <f>IFERROR(__xludf.DUMMYFUNCTION("""COMPUTED_VALUE"""),383.1833333333329)</f>
        <v>383.1833333</v>
      </c>
      <c r="P49" s="1" t="str">
        <f>IFERROR(__xludf.DUMMYFUNCTION("""COMPUTED_VALUE"""),"VLG")</f>
        <v>VLG</v>
      </c>
      <c r="Q49" s="1" t="str">
        <f>IFERROR(__xludf.DUMMYFUNCTION("""COMPUTED_VALUE"""),"ECAC")</f>
        <v>ECAC</v>
      </c>
    </row>
    <row r="50">
      <c r="A50" s="1" t="str">
        <f>IFERROR(__xludf.DUMMYFUNCTION("""COMPUTED_VALUE"""),"WZZ9AR")</f>
        <v>WZZ9AR</v>
      </c>
      <c r="B50" s="1" t="str">
        <f>IFERROR(__xludf.DUMMYFUNCTION("""COMPUTED_VALUE"""),"A21N")</f>
        <v>A21N</v>
      </c>
      <c r="C50" s="1" t="str">
        <f>IFERROR(__xludf.DUMMYFUNCTION("""COMPUTED_VALUE"""),"EPWA")</f>
        <v>EPWA</v>
      </c>
      <c r="D50" s="1" t="str">
        <f>IFERROR(__xludf.DUMMYFUNCTION("""COMPUTED_VALUE"""),"LEBL")</f>
        <v>LEBL</v>
      </c>
      <c r="E50" s="1" t="str">
        <f>IFERROR(__xludf.DUMMYFUNCTION("""COMPUTED_VALUE"""),"9HWDT")</f>
        <v>9HWDT</v>
      </c>
      <c r="F50" s="1">
        <f>IFERROR(__xludf.DUMMYFUNCTION("""COMPUTED_VALUE"""),370.0)</f>
        <v>370</v>
      </c>
      <c r="G50" s="7">
        <f>IFERROR(__xludf.DUMMYFUNCTION("""COMPUTED_VALUE"""),0.1673611111111111)</f>
        <v>0.1673611111</v>
      </c>
      <c r="H50" s="1">
        <f>IFERROR(__xludf.DUMMYFUNCTION("""COMPUTED_VALUE"""),16.0)</f>
        <v>16</v>
      </c>
      <c r="I50" s="7">
        <f>IFERROR(__xludf.DUMMYFUNCTION("""COMPUTED_VALUE"""),0.2708333333333333)</f>
        <v>0.2708333333</v>
      </c>
      <c r="J50" s="1" t="str">
        <f>IFERROR(__xludf.DUMMYFUNCTION("""COMPUTED_VALUE"""),"D")</f>
        <v>D</v>
      </c>
      <c r="K50" s="1">
        <f>IFERROR(__xludf.DUMMYFUNCTION("""COMPUTED_VALUE"""),200.0)</f>
        <v>200</v>
      </c>
      <c r="L50" s="7">
        <f>IFERROR(__xludf.DUMMYFUNCTION("""COMPUTED_VALUE"""),0.10347222222222222)</f>
        <v>0.1034722222</v>
      </c>
      <c r="M50" s="7">
        <f>IFERROR(__xludf.DUMMYFUNCTION("""COMPUTED_VALUE"""),0.07965277777777777)</f>
        <v>0.07965277778</v>
      </c>
      <c r="O50" s="9">
        <f>IFERROR(__xludf.DUMMYFUNCTION("""COMPUTED_VALUE"""),1586.6833333333332)</f>
        <v>1586.683333</v>
      </c>
      <c r="P50" s="1" t="str">
        <f>IFERROR(__xludf.DUMMYFUNCTION("""COMPUTED_VALUE"""),"WZZ")</f>
        <v>WZZ</v>
      </c>
      <c r="Q50" s="1" t="str">
        <f>IFERROR(__xludf.DUMMYFUNCTION("""COMPUTED_VALUE"""),"ECAC")</f>
        <v>ECAC</v>
      </c>
    </row>
    <row r="51">
      <c r="A51" s="1" t="str">
        <f>IFERROR(__xludf.DUMMYFUNCTION("""COMPUTED_VALUE"""),"RYR11SX")</f>
        <v>RYR11SX</v>
      </c>
      <c r="B51" s="1" t="str">
        <f>IFERROR(__xludf.DUMMYFUNCTION("""COMPUTED_VALUE"""),"B38M")</f>
        <v>B38M</v>
      </c>
      <c r="C51" s="1" t="str">
        <f>IFERROR(__xludf.DUMMYFUNCTION("""COMPUTED_VALUE"""),"EPKK")</f>
        <v>EPKK</v>
      </c>
      <c r="D51" s="1" t="str">
        <f>IFERROR(__xludf.DUMMYFUNCTION("""COMPUTED_VALUE"""),"LEBL")</f>
        <v>LEBL</v>
      </c>
      <c r="E51" s="1" t="str">
        <f>IFERROR(__xludf.DUMMYFUNCTION("""COMPUTED_VALUE"""),"SPRZI")</f>
        <v>SPRZI</v>
      </c>
      <c r="F51" s="1">
        <f>IFERROR(__xludf.DUMMYFUNCTION("""COMPUTED_VALUE"""),350.0)</f>
        <v>350</v>
      </c>
      <c r="G51" s="7">
        <f>IFERROR(__xludf.DUMMYFUNCTION("""COMPUTED_VALUE"""),0.18263888888888888)</f>
        <v>0.1826388889</v>
      </c>
      <c r="H51" s="1">
        <f>IFERROR(__xludf.DUMMYFUNCTION("""COMPUTED_VALUE"""),15.0)</f>
        <v>15</v>
      </c>
      <c r="I51" s="7">
        <f>IFERROR(__xludf.DUMMYFUNCTION("""COMPUTED_VALUE"""),0.2708333333333333)</f>
        <v>0.2708333333</v>
      </c>
      <c r="J51" s="1" t="str">
        <f>IFERROR(__xludf.DUMMYFUNCTION("""COMPUTED_VALUE"""),"D")</f>
        <v>D</v>
      </c>
      <c r="K51" s="1">
        <f>IFERROR(__xludf.DUMMYFUNCTION("""COMPUTED_VALUE"""),186.0)</f>
        <v>186</v>
      </c>
      <c r="L51" s="7">
        <f>IFERROR(__xludf.DUMMYFUNCTION("""COMPUTED_VALUE"""),0.08819444444444444)</f>
        <v>0.08819444444</v>
      </c>
      <c r="M51" s="7">
        <f>IFERROR(__xludf.DUMMYFUNCTION("""COMPUTED_VALUE"""),0.06506944444444443)</f>
        <v>0.06506944444</v>
      </c>
      <c r="O51" s="9">
        <f>IFERROR(__xludf.DUMMYFUNCTION("""COMPUTED_VALUE"""),1296.183333333333)</f>
        <v>1296.183333</v>
      </c>
      <c r="P51" s="1" t="str">
        <f>IFERROR(__xludf.DUMMYFUNCTION("""COMPUTED_VALUE"""),"RYR")</f>
        <v>RYR</v>
      </c>
      <c r="Q51" s="1" t="str">
        <f>IFERROR(__xludf.DUMMYFUNCTION("""COMPUTED_VALUE"""),"ECAC")</f>
        <v>ECAC</v>
      </c>
    </row>
    <row r="52">
      <c r="A52" s="1" t="str">
        <f>IFERROR(__xludf.DUMMYFUNCTION("""COMPUTED_VALUE"""),"KLM1497")</f>
        <v>KLM1497</v>
      </c>
      <c r="B52" s="1" t="str">
        <f>IFERROR(__xludf.DUMMYFUNCTION("""COMPUTED_VALUE"""),"E190")</f>
        <v>E190</v>
      </c>
      <c r="C52" s="1" t="str">
        <f>IFERROR(__xludf.DUMMYFUNCTION("""COMPUTED_VALUE"""),"EHAM")</f>
        <v>EHAM</v>
      </c>
      <c r="D52" s="1" t="str">
        <f>IFERROR(__xludf.DUMMYFUNCTION("""COMPUTED_VALUE"""),"LEBL")</f>
        <v>LEBL</v>
      </c>
      <c r="E52" s="1" t="str">
        <f>IFERROR(__xludf.DUMMYFUNCTION("""COMPUTED_VALUE"""),"DACJJ")</f>
        <v>DACJJ</v>
      </c>
      <c r="F52" s="1">
        <f>IFERROR(__xludf.DUMMYFUNCTION("""COMPUTED_VALUE"""),390.0)</f>
        <v>390</v>
      </c>
      <c r="G52" s="7">
        <f>IFERROR(__xludf.DUMMYFUNCTION("""COMPUTED_VALUE"""),0.2013888888888889)</f>
        <v>0.2013888889</v>
      </c>
      <c r="H52" s="1">
        <f>IFERROR(__xludf.DUMMYFUNCTION("""COMPUTED_VALUE"""),18.0)</f>
        <v>18</v>
      </c>
      <c r="I52" s="7">
        <f>IFERROR(__xludf.DUMMYFUNCTION("""COMPUTED_VALUE"""),0.2708333333333333)</f>
        <v>0.2708333333</v>
      </c>
      <c r="J52" s="1" t="str">
        <f>IFERROR(__xludf.DUMMYFUNCTION("""COMPUTED_VALUE"""),"E")</f>
        <v>E</v>
      </c>
      <c r="K52" s="1">
        <f>IFERROR(__xludf.DUMMYFUNCTION("""COMPUTED_VALUE"""),104.0)</f>
        <v>104</v>
      </c>
      <c r="L52" s="7">
        <f>IFERROR(__xludf.DUMMYFUNCTION("""COMPUTED_VALUE"""),0.06944444444444442)</f>
        <v>0.06944444444</v>
      </c>
      <c r="M52" s="7">
        <f>IFERROR(__xludf.DUMMYFUNCTION("""COMPUTED_VALUE"""),0.04423611111111109)</f>
        <v>0.04423611111</v>
      </c>
      <c r="O52" s="9">
        <f>IFERROR(__xludf.DUMMYFUNCTION("""COMPUTED_VALUE"""),477.7499999999997)</f>
        <v>477.75</v>
      </c>
      <c r="P52" s="1" t="str">
        <f>IFERROR(__xludf.DUMMYFUNCTION("""COMPUTED_VALUE"""),"KLM")</f>
        <v>KLM</v>
      </c>
      <c r="Q52" s="1" t="str">
        <f>IFERROR(__xludf.DUMMYFUNCTION("""COMPUTED_VALUE"""),"ECAC")</f>
        <v>ECAC</v>
      </c>
    </row>
    <row r="53">
      <c r="A53" s="1" t="str">
        <f>IFERROR(__xludf.DUMMYFUNCTION("""COMPUTED_VALUE"""),"UAL120")</f>
        <v>UAL120</v>
      </c>
      <c r="B53" s="1" t="str">
        <f>IFERROR(__xludf.DUMMYFUNCTION("""COMPUTED_VALUE"""),"B772")</f>
        <v>B772</v>
      </c>
      <c r="C53" s="1" t="str">
        <f>IFERROR(__xludf.DUMMYFUNCTION("""COMPUTED_VALUE"""),"KEWR")</f>
        <v>KEWR</v>
      </c>
      <c r="D53" s="1" t="str">
        <f>IFERROR(__xludf.DUMMYFUNCTION("""COMPUTED_VALUE"""),"LEBL")</f>
        <v>LEBL</v>
      </c>
      <c r="E53" s="1" t="str">
        <f>IFERROR(__xludf.DUMMYFUNCTION("""COMPUTED_VALUE"""),"N795UA")</f>
        <v>N795UA</v>
      </c>
      <c r="F53" s="1">
        <f>IFERROR(__xludf.DUMMYFUNCTION("""COMPUTED_VALUE"""),390.0)</f>
        <v>390</v>
      </c>
      <c r="G53" s="7">
        <f>IFERROR(__xludf.DUMMYFUNCTION("""COMPUTED_VALUE"""),0.9756944444444444)</f>
        <v>0.9756944444</v>
      </c>
      <c r="H53" s="1">
        <f>IFERROR(__xludf.DUMMYFUNCTION("""COMPUTED_VALUE"""),10.0)</f>
        <v>10</v>
      </c>
      <c r="I53" s="7">
        <f>IFERROR(__xludf.DUMMYFUNCTION("""COMPUTED_VALUE"""),0.2743055555555556)</f>
        <v>0.2743055556</v>
      </c>
      <c r="J53" s="1" t="str">
        <f>IFERROR(__xludf.DUMMYFUNCTION("""COMPUTED_VALUE"""),"B")</f>
        <v>B</v>
      </c>
      <c r="K53" s="1">
        <f>IFERROR(__xludf.DUMMYFUNCTION("""COMPUTED_VALUE"""),296.0)</f>
        <v>296</v>
      </c>
      <c r="L53" s="7">
        <f>IFERROR(__xludf.DUMMYFUNCTION("""COMPUTED_VALUE"""),0.29861111111111116)</f>
        <v>0.2986111111</v>
      </c>
      <c r="M53" s="7">
        <f>IFERROR(__xludf.DUMMYFUNCTION("""COMPUTED_VALUE"""),0.2789583333333334)</f>
        <v>0.2789583333</v>
      </c>
      <c r="O53" s="9">
        <f>IFERROR(__xludf.DUMMYFUNCTION("""COMPUTED_VALUE"""),6025.500000000002)</f>
        <v>6025.5</v>
      </c>
      <c r="P53" s="1" t="str">
        <f>IFERROR(__xludf.DUMMYFUNCTION("""COMPUTED_VALUE"""),"UAL")</f>
        <v>UAL</v>
      </c>
      <c r="Q53" s="1" t="str">
        <f>IFERROR(__xludf.DUMMYFUNCTION("""COMPUTED_VALUE"""),"NO ECAC")</f>
        <v>NO ECAC</v>
      </c>
    </row>
    <row r="54">
      <c r="A54" s="1" t="str">
        <f>IFERROR(__xludf.DUMMYFUNCTION("""COMPUTED_VALUE"""),"UAE81W")</f>
        <v>UAE81W</v>
      </c>
      <c r="B54" s="1" t="str">
        <f>IFERROR(__xludf.DUMMYFUNCTION("""COMPUTED_VALUE"""),"B77L")</f>
        <v>B77L</v>
      </c>
      <c r="C54" s="1" t="str">
        <f>IFERROR(__xludf.DUMMYFUNCTION("""COMPUTED_VALUE"""),"OMDB")</f>
        <v>OMDB</v>
      </c>
      <c r="D54" s="1" t="str">
        <f>IFERROR(__xludf.DUMMYFUNCTION("""COMPUTED_VALUE"""),"LEBL")</f>
        <v>LEBL</v>
      </c>
      <c r="E54" s="1" t="str">
        <f>IFERROR(__xludf.DUMMYFUNCTION("""COMPUTED_VALUE"""),"A6EWJ")</f>
        <v>A6EWJ</v>
      </c>
      <c r="F54" s="1">
        <f>IFERROR(__xludf.DUMMYFUNCTION("""COMPUTED_VALUE"""),380.0)</f>
        <v>380</v>
      </c>
      <c r="G54" s="7">
        <f>IFERROR(__xludf.DUMMYFUNCTION("""COMPUTED_VALUE"""),0.9826388888888888)</f>
        <v>0.9826388889</v>
      </c>
      <c r="H54" s="1">
        <f>IFERROR(__xludf.DUMMYFUNCTION("""COMPUTED_VALUE"""),10.0)</f>
        <v>10</v>
      </c>
      <c r="I54" s="7">
        <f>IFERROR(__xludf.DUMMYFUNCTION("""COMPUTED_VALUE"""),0.2743055555555556)</f>
        <v>0.2743055556</v>
      </c>
      <c r="J54" s="1" t="str">
        <f>IFERROR(__xludf.DUMMYFUNCTION("""COMPUTED_VALUE"""),"B")</f>
        <v>B</v>
      </c>
      <c r="K54" s="1">
        <f>IFERROR(__xludf.DUMMYFUNCTION("""COMPUTED_VALUE"""),302.0)</f>
        <v>302</v>
      </c>
      <c r="L54" s="7">
        <f>IFERROR(__xludf.DUMMYFUNCTION("""COMPUTED_VALUE"""),0.29166666666666674)</f>
        <v>0.2916666667</v>
      </c>
      <c r="M54" s="7">
        <f>IFERROR(__xludf.DUMMYFUNCTION("""COMPUTED_VALUE"""),0.272013888888889)</f>
        <v>0.2720138889</v>
      </c>
      <c r="O54" s="9">
        <f>IFERROR(__xludf.DUMMYFUNCTION("""COMPUTED_VALUE"""),5875.500000000003)</f>
        <v>5875.5</v>
      </c>
      <c r="P54" s="1" t="str">
        <f>IFERROR(__xludf.DUMMYFUNCTION("""COMPUTED_VALUE"""),"UAE")</f>
        <v>UAE</v>
      </c>
      <c r="Q54" s="1" t="str">
        <f>IFERROR(__xludf.DUMMYFUNCTION("""COMPUTED_VALUE"""),"NO ECAC")</f>
        <v>NO ECAC</v>
      </c>
    </row>
    <row r="55">
      <c r="A55" s="1" t="str">
        <f>IFERROR(__xludf.DUMMYFUNCTION("""COMPUTED_VALUE"""),"AAL742")</f>
        <v>AAL742</v>
      </c>
      <c r="B55" s="1" t="str">
        <f>IFERROR(__xludf.DUMMYFUNCTION("""COMPUTED_VALUE"""),"B789")</f>
        <v>B789</v>
      </c>
      <c r="C55" s="1" t="str">
        <f>IFERROR(__xludf.DUMMYFUNCTION("""COMPUTED_VALUE"""),"KPHL")</f>
        <v>KPHL</v>
      </c>
      <c r="D55" s="1" t="str">
        <f>IFERROR(__xludf.DUMMYFUNCTION("""COMPUTED_VALUE"""),"LEBL")</f>
        <v>LEBL</v>
      </c>
      <c r="E55" s="1" t="str">
        <f>IFERROR(__xludf.DUMMYFUNCTION("""COMPUTED_VALUE"""),"N820AL")</f>
        <v>N820AL</v>
      </c>
      <c r="F55" s="1">
        <f>IFERROR(__xludf.DUMMYFUNCTION("""COMPUTED_VALUE"""),410.0)</f>
        <v>410</v>
      </c>
      <c r="G55" s="7">
        <f>IFERROR(__xludf.DUMMYFUNCTION("""COMPUTED_VALUE"""),0.9965277777777778)</f>
        <v>0.9965277778</v>
      </c>
      <c r="H55" s="1">
        <f>IFERROR(__xludf.DUMMYFUNCTION("""COMPUTED_VALUE"""),40.0)</f>
        <v>40</v>
      </c>
      <c r="I55" s="7">
        <f>IFERROR(__xludf.DUMMYFUNCTION("""COMPUTED_VALUE"""),0.2743055555555556)</f>
        <v>0.2743055556</v>
      </c>
      <c r="J55" s="1" t="str">
        <f>IFERROR(__xludf.DUMMYFUNCTION("""COMPUTED_VALUE"""),"B")</f>
        <v>B</v>
      </c>
      <c r="K55" s="1">
        <f>IFERROR(__xludf.DUMMYFUNCTION("""COMPUTED_VALUE"""),284.0)</f>
        <v>284</v>
      </c>
      <c r="L55" s="7">
        <f>IFERROR(__xludf.DUMMYFUNCTION("""COMPUTED_VALUE"""),0.2777777777777778)</f>
        <v>0.2777777778</v>
      </c>
      <c r="M55" s="7">
        <f>IFERROR(__xludf.DUMMYFUNCTION("""COMPUTED_VALUE"""),0.23729166666666668)</f>
        <v>0.2372916667</v>
      </c>
      <c r="O55" s="9">
        <f>IFERROR(__xludf.DUMMYFUNCTION("""COMPUTED_VALUE"""),5125.5)</f>
        <v>5125.5</v>
      </c>
      <c r="P55" s="1" t="str">
        <f>IFERROR(__xludf.DUMMYFUNCTION("""COMPUTED_VALUE"""),"AAL")</f>
        <v>AAL</v>
      </c>
      <c r="Q55" s="1" t="str">
        <f>IFERROR(__xludf.DUMMYFUNCTION("""COMPUTED_VALUE"""),"NO ECAC")</f>
        <v>NO ECAC</v>
      </c>
    </row>
    <row r="56">
      <c r="A56" s="1" t="str">
        <f>IFERROR(__xludf.DUMMYFUNCTION("""COMPUTED_VALUE"""),"AEA58PB")</f>
        <v>AEA58PB</v>
      </c>
      <c r="B56" s="1" t="str">
        <f>IFERROR(__xludf.DUMMYFUNCTION("""COMPUTED_VALUE"""),"B789")</f>
        <v>B789</v>
      </c>
      <c r="C56" s="1" t="str">
        <f>IFERROR(__xludf.DUMMYFUNCTION("""COMPUTED_VALUE"""),"LEMD")</f>
        <v>LEMD</v>
      </c>
      <c r="D56" s="1" t="str">
        <f>IFERROR(__xludf.DUMMYFUNCTION("""COMPUTED_VALUE"""),"LEBL")</f>
        <v>LEBL</v>
      </c>
      <c r="E56" s="1" t="str">
        <f>IFERROR(__xludf.DUMMYFUNCTION("""COMPUTED_VALUE"""),"ECOFP")</f>
        <v>ECOFP</v>
      </c>
      <c r="F56" s="1">
        <f>IFERROR(__xludf.DUMMYFUNCTION("""COMPUTED_VALUE"""),300.0)</f>
        <v>300</v>
      </c>
      <c r="G56" s="7">
        <f>IFERROR(__xludf.DUMMYFUNCTION("""COMPUTED_VALUE"""),0.2423611111111111)</f>
        <v>0.2423611111</v>
      </c>
      <c r="H56" s="1">
        <f>IFERROR(__xludf.DUMMYFUNCTION("""COMPUTED_VALUE"""),19.0)</f>
        <v>19</v>
      </c>
      <c r="I56" s="7">
        <f>IFERROR(__xludf.DUMMYFUNCTION("""COMPUTED_VALUE"""),0.2777777777777778)</f>
        <v>0.2777777778</v>
      </c>
      <c r="J56" s="1" t="str">
        <f>IFERROR(__xludf.DUMMYFUNCTION("""COMPUTED_VALUE"""),"B")</f>
        <v>B</v>
      </c>
      <c r="K56" s="1">
        <f>IFERROR(__xludf.DUMMYFUNCTION("""COMPUTED_VALUE"""),284.0)</f>
        <v>284</v>
      </c>
      <c r="L56" s="7">
        <f>IFERROR(__xludf.DUMMYFUNCTION("""COMPUTED_VALUE"""),0.03541666666666668)</f>
        <v>0.03541666667</v>
      </c>
      <c r="M56" s="7">
        <f>IFERROR(__xludf.DUMMYFUNCTION("""COMPUTED_VALUE"""),0.0095138888888889)</f>
        <v>0.009513888889</v>
      </c>
      <c r="O56" s="9">
        <f>IFERROR(__xludf.DUMMYFUNCTION("""COMPUTED_VALUE"""),205.50000000000026)</f>
        <v>205.5</v>
      </c>
      <c r="P56" s="1" t="str">
        <f>IFERROR(__xludf.DUMMYFUNCTION("""COMPUTED_VALUE"""),"AEA")</f>
        <v>AEA</v>
      </c>
      <c r="Q56" s="1" t="str">
        <f>IFERROR(__xludf.DUMMYFUNCTION("""COMPUTED_VALUE"""),"ECAC")</f>
        <v>ECAC</v>
      </c>
    </row>
    <row r="57">
      <c r="A57" s="1" t="str">
        <f>IFERROR(__xludf.DUMMYFUNCTION("""COMPUTED_VALUE"""),"NSZ56V")</f>
        <v>NSZ56V</v>
      </c>
      <c r="B57" s="1" t="str">
        <f>IFERROR(__xludf.DUMMYFUNCTION("""COMPUTED_VALUE"""),"B38M")</f>
        <v>B38M</v>
      </c>
      <c r="C57" s="1" t="str">
        <f>IFERROR(__xludf.DUMMYFUNCTION("""COMPUTED_VALUE"""),"EKCH")</f>
        <v>EKCH</v>
      </c>
      <c r="D57" s="1" t="str">
        <f>IFERROR(__xludf.DUMMYFUNCTION("""COMPUTED_VALUE"""),"LEBL")</f>
        <v>LEBL</v>
      </c>
      <c r="E57" s="1" t="str">
        <f>IFERROR(__xludf.DUMMYFUNCTION("""COMPUTED_VALUE"""),"SENAA")</f>
        <v>SENAA</v>
      </c>
      <c r="F57" s="1">
        <f>IFERROR(__xludf.DUMMYFUNCTION("""COMPUTED_VALUE"""),410.0)</f>
        <v>410</v>
      </c>
      <c r="G57" s="7">
        <f>IFERROR(__xludf.DUMMYFUNCTION("""COMPUTED_VALUE"""),0.18263888888888888)</f>
        <v>0.1826388889</v>
      </c>
      <c r="H57" s="1">
        <f>IFERROR(__xludf.DUMMYFUNCTION("""COMPUTED_VALUE"""),10.0)</f>
        <v>10</v>
      </c>
      <c r="I57" s="7">
        <f>IFERROR(__xludf.DUMMYFUNCTION("""COMPUTED_VALUE"""),0.2777777777777778)</f>
        <v>0.2777777778</v>
      </c>
      <c r="J57" s="1" t="str">
        <f>IFERROR(__xludf.DUMMYFUNCTION("""COMPUTED_VALUE"""),"D")</f>
        <v>D</v>
      </c>
      <c r="K57" s="1">
        <f>IFERROR(__xludf.DUMMYFUNCTION("""COMPUTED_VALUE"""),186.0)</f>
        <v>186</v>
      </c>
      <c r="L57" s="7">
        <f>IFERROR(__xludf.DUMMYFUNCTION("""COMPUTED_VALUE"""),0.09513888888888891)</f>
        <v>0.09513888889</v>
      </c>
      <c r="M57" s="7">
        <f>IFERROR(__xludf.DUMMYFUNCTION("""COMPUTED_VALUE"""),0.07548611111111113)</f>
        <v>0.07548611111</v>
      </c>
      <c r="O57" s="9">
        <f>IFERROR(__xludf.DUMMYFUNCTION("""COMPUTED_VALUE"""),1503.6833333333336)</f>
        <v>1503.683333</v>
      </c>
      <c r="P57" s="1" t="str">
        <f>IFERROR(__xludf.DUMMYFUNCTION("""COMPUTED_VALUE"""),"NSZ")</f>
        <v>NSZ</v>
      </c>
      <c r="Q57" s="1" t="str">
        <f>IFERROR(__xludf.DUMMYFUNCTION("""COMPUTED_VALUE"""),"ECAC")</f>
        <v>ECAC</v>
      </c>
    </row>
    <row r="58">
      <c r="A58" s="1" t="str">
        <f>IFERROR(__xludf.DUMMYFUNCTION("""COMPUTED_VALUE"""),"VLG684H")</f>
        <v>VLG684H</v>
      </c>
      <c r="B58" s="1" t="str">
        <f>IFERROR(__xludf.DUMMYFUNCTION("""COMPUTED_VALUE"""),"A320")</f>
        <v>A320</v>
      </c>
      <c r="C58" s="1" t="str">
        <f>IFERROR(__xludf.DUMMYFUNCTION("""COMPUTED_VALUE"""),"LEPA")</f>
        <v>LEPA</v>
      </c>
      <c r="D58" s="1" t="str">
        <f>IFERROR(__xludf.DUMMYFUNCTION("""COMPUTED_VALUE"""),"LEBL")</f>
        <v>LEBL</v>
      </c>
      <c r="E58" s="1" t="str">
        <f>IFERROR(__xludf.DUMMYFUNCTION("""COMPUTED_VALUE"""),"ECMAI")</f>
        <v>ECMAI</v>
      </c>
      <c r="F58" s="1">
        <f>IFERROR(__xludf.DUMMYFUNCTION("""COMPUTED_VALUE"""),180.0)</f>
        <v>180</v>
      </c>
      <c r="G58" s="7">
        <f>IFERROR(__xludf.DUMMYFUNCTION("""COMPUTED_VALUE"""),0.26180555555555557)</f>
        <v>0.2618055556</v>
      </c>
      <c r="H58" s="1">
        <f>IFERROR(__xludf.DUMMYFUNCTION("""COMPUTED_VALUE"""),17.0)</f>
        <v>17</v>
      </c>
      <c r="I58" s="7">
        <f>IFERROR(__xludf.DUMMYFUNCTION("""COMPUTED_VALUE"""),0.2777777777777778)</f>
        <v>0.2777777778</v>
      </c>
      <c r="J58" s="1" t="str">
        <f>IFERROR(__xludf.DUMMYFUNCTION("""COMPUTED_VALUE"""),"D")</f>
        <v>D</v>
      </c>
      <c r="K58" s="1">
        <f>IFERROR(__xludf.DUMMYFUNCTION("""COMPUTED_VALUE"""),173.0)</f>
        <v>173</v>
      </c>
      <c r="L58" s="7">
        <f>IFERROR(__xludf.DUMMYFUNCTION("""COMPUTED_VALUE"""),0.01597222222222222)</f>
        <v>0.01597222222</v>
      </c>
      <c r="M58" s="7">
        <f>IFERROR(__xludf.DUMMYFUNCTION("""COMPUTED_VALUE"""),0.004166666666666666)</f>
        <v>0.004166666667</v>
      </c>
      <c r="O58" s="9">
        <f>IFERROR(__xludf.DUMMYFUNCTION("""COMPUTED_VALUE"""),82.99999999999999)</f>
        <v>83</v>
      </c>
      <c r="P58" s="1" t="str">
        <f>IFERROR(__xludf.DUMMYFUNCTION("""COMPUTED_VALUE"""),"VLG")</f>
        <v>VLG</v>
      </c>
      <c r="Q58" s="1" t="str">
        <f>IFERROR(__xludf.DUMMYFUNCTION("""COMPUTED_VALUE"""),"ECAC")</f>
        <v>ECAC</v>
      </c>
    </row>
    <row r="59">
      <c r="A59" s="1" t="str">
        <f>IFERROR(__xludf.DUMMYFUNCTION("""COMPUTED_VALUE"""),"SWR4XH")</f>
        <v>SWR4XH</v>
      </c>
      <c r="B59" s="1" t="str">
        <f>IFERROR(__xludf.DUMMYFUNCTION("""COMPUTED_VALUE"""),"A321")</f>
        <v>A321</v>
      </c>
      <c r="C59" s="1" t="str">
        <f>IFERROR(__xludf.DUMMYFUNCTION("""COMPUTED_VALUE"""),"LSZH")</f>
        <v>LSZH</v>
      </c>
      <c r="D59" s="1" t="str">
        <f>IFERROR(__xludf.DUMMYFUNCTION("""COMPUTED_VALUE"""),"LEBL")</f>
        <v>LEBL</v>
      </c>
      <c r="E59" s="1" t="str">
        <f>IFERROR(__xludf.DUMMYFUNCTION("""COMPUTED_VALUE"""),"HBIOM")</f>
        <v>HBIOM</v>
      </c>
      <c r="F59" s="1">
        <f>IFERROR(__xludf.DUMMYFUNCTION("""COMPUTED_VALUE"""),350.0)</f>
        <v>350</v>
      </c>
      <c r="G59" s="7">
        <f>IFERROR(__xludf.DUMMYFUNCTION("""COMPUTED_VALUE"""),0.22430555555555556)</f>
        <v>0.2243055556</v>
      </c>
      <c r="H59" s="1">
        <f>IFERROR(__xludf.DUMMYFUNCTION("""COMPUTED_VALUE"""),13.0)</f>
        <v>13</v>
      </c>
      <c r="I59" s="7">
        <f>IFERROR(__xludf.DUMMYFUNCTION("""COMPUTED_VALUE"""),0.28125)</f>
        <v>0.28125</v>
      </c>
      <c r="J59" s="1" t="str">
        <f>IFERROR(__xludf.DUMMYFUNCTION("""COMPUTED_VALUE"""),"D")</f>
        <v>D</v>
      </c>
      <c r="K59" s="1">
        <f>IFERROR(__xludf.DUMMYFUNCTION("""COMPUTED_VALUE"""),207.0)</f>
        <v>207</v>
      </c>
      <c r="L59" s="7">
        <f>IFERROR(__xludf.DUMMYFUNCTION("""COMPUTED_VALUE"""),0.056944444444444436)</f>
        <v>0.05694444444</v>
      </c>
      <c r="M59" s="7">
        <f>IFERROR(__xludf.DUMMYFUNCTION("""COMPUTED_VALUE"""),0.03520833333333333)</f>
        <v>0.03520833333</v>
      </c>
      <c r="O59" s="9">
        <f>IFERROR(__xludf.DUMMYFUNCTION("""COMPUTED_VALUE"""),701.3499999999999)</f>
        <v>701.35</v>
      </c>
      <c r="P59" s="1" t="str">
        <f>IFERROR(__xludf.DUMMYFUNCTION("""COMPUTED_VALUE"""),"SWR")</f>
        <v>SWR</v>
      </c>
      <c r="Q59" s="1" t="str">
        <f>IFERROR(__xludf.DUMMYFUNCTION("""COMPUTED_VALUE"""),"ECAC")</f>
        <v>ECAC</v>
      </c>
    </row>
    <row r="60">
      <c r="A60" s="1" t="str">
        <f>IFERROR(__xludf.DUMMYFUNCTION("""COMPUTED_VALUE"""),"SEU403")</f>
        <v>SEU403</v>
      </c>
      <c r="B60" s="1" t="str">
        <f>IFERROR(__xludf.DUMMYFUNCTION("""COMPUTED_VALUE"""),"A21N")</f>
        <v>A21N</v>
      </c>
      <c r="C60" s="1" t="str">
        <f>IFERROR(__xludf.DUMMYFUNCTION("""COMPUTED_VALUE"""),"LUKK")</f>
        <v>LUKK</v>
      </c>
      <c r="D60" s="1" t="str">
        <f>IFERROR(__xludf.DUMMYFUNCTION("""COMPUTED_VALUE"""),"LEBL")</f>
        <v>LEBL</v>
      </c>
      <c r="E60" s="1" t="str">
        <f>IFERROR(__xludf.DUMMYFUNCTION("""COMPUTED_VALUE"""),"9HPEC")</f>
        <v>9HPEC</v>
      </c>
      <c r="F60" s="1">
        <f>IFERROR(__xludf.DUMMYFUNCTION("""COMPUTED_VALUE"""),370.0)</f>
        <v>370</v>
      </c>
      <c r="G60" s="7">
        <f>IFERROR(__xludf.DUMMYFUNCTION("""COMPUTED_VALUE"""),0.16319444444444445)</f>
        <v>0.1631944444</v>
      </c>
      <c r="H60" s="1">
        <f>IFERROR(__xludf.DUMMYFUNCTION("""COMPUTED_VALUE"""),15.0)</f>
        <v>15</v>
      </c>
      <c r="I60" s="7">
        <f>IFERROR(__xludf.DUMMYFUNCTION("""COMPUTED_VALUE"""),0.28125)</f>
        <v>0.28125</v>
      </c>
      <c r="J60" s="1" t="str">
        <f>IFERROR(__xludf.DUMMYFUNCTION("""COMPUTED_VALUE"""),"D")</f>
        <v>D</v>
      </c>
      <c r="K60" s="1">
        <f>IFERROR(__xludf.DUMMYFUNCTION("""COMPUTED_VALUE"""),200.0)</f>
        <v>200</v>
      </c>
      <c r="L60" s="7">
        <f>IFERROR(__xludf.DUMMYFUNCTION("""COMPUTED_VALUE"""),0.11805555555555555)</f>
        <v>0.1180555556</v>
      </c>
      <c r="M60" s="7">
        <f>IFERROR(__xludf.DUMMYFUNCTION("""COMPUTED_VALUE"""),0.09493055555555555)</f>
        <v>0.09493055556</v>
      </c>
      <c r="O60" s="9">
        <f>IFERROR(__xludf.DUMMYFUNCTION("""COMPUTED_VALUE"""),1891.0166666666667)</f>
        <v>1891.016667</v>
      </c>
      <c r="P60" s="1" t="str">
        <f>IFERROR(__xludf.DUMMYFUNCTION("""COMPUTED_VALUE"""),"SEU")</f>
        <v>SEU</v>
      </c>
      <c r="Q60" s="1" t="str">
        <f>IFERROR(__xludf.DUMMYFUNCTION("""COMPUTED_VALUE"""),"ECAC")</f>
        <v>ECAC</v>
      </c>
    </row>
    <row r="61">
      <c r="A61" s="1" t="str">
        <f>IFERROR(__xludf.DUMMYFUNCTION("""COMPUTED_VALUE"""),"AUA391A")</f>
        <v>AUA391A</v>
      </c>
      <c r="B61" s="1" t="str">
        <f>IFERROR(__xludf.DUMMYFUNCTION("""COMPUTED_VALUE"""),"A320")</f>
        <v>A320</v>
      </c>
      <c r="C61" s="1" t="str">
        <f>IFERROR(__xludf.DUMMYFUNCTION("""COMPUTED_VALUE"""),"LOWW")</f>
        <v>LOWW</v>
      </c>
      <c r="D61" s="1" t="str">
        <f>IFERROR(__xludf.DUMMYFUNCTION("""COMPUTED_VALUE"""),"LEBL")</f>
        <v>LEBL</v>
      </c>
      <c r="E61" s="1" t="str">
        <f>IFERROR(__xludf.DUMMYFUNCTION("""COMPUTED_VALUE"""),"OELBS")</f>
        <v>OELBS</v>
      </c>
      <c r="F61" s="1">
        <f>IFERROR(__xludf.DUMMYFUNCTION("""COMPUTED_VALUE"""),370.0)</f>
        <v>370</v>
      </c>
      <c r="G61" s="7">
        <f>IFERROR(__xludf.DUMMYFUNCTION("""COMPUTED_VALUE"""),0.21319444444444444)</f>
        <v>0.2131944444</v>
      </c>
      <c r="H61" s="1">
        <f>IFERROR(__xludf.DUMMYFUNCTION("""COMPUTED_VALUE"""),10.0)</f>
        <v>10</v>
      </c>
      <c r="I61" s="7">
        <f>IFERROR(__xludf.DUMMYFUNCTION("""COMPUTED_VALUE"""),0.28125)</f>
        <v>0.28125</v>
      </c>
      <c r="J61" s="1" t="str">
        <f>IFERROR(__xludf.DUMMYFUNCTION("""COMPUTED_VALUE"""),"D")</f>
        <v>D</v>
      </c>
      <c r="K61" s="1">
        <f>IFERROR(__xludf.DUMMYFUNCTION("""COMPUTED_VALUE"""),173.0)</f>
        <v>173</v>
      </c>
      <c r="L61" s="7">
        <f>IFERROR(__xludf.DUMMYFUNCTION("""COMPUTED_VALUE"""),0.06805555555555556)</f>
        <v>0.06805555556</v>
      </c>
      <c r="M61" s="7">
        <f>IFERROR(__xludf.DUMMYFUNCTION("""COMPUTED_VALUE"""),0.04840277777777778)</f>
        <v>0.04840277778</v>
      </c>
      <c r="O61" s="9">
        <f>IFERROR(__xludf.DUMMYFUNCTION("""COMPUTED_VALUE"""),964.1833333333333)</f>
        <v>964.1833333</v>
      </c>
      <c r="P61" s="1" t="str">
        <f>IFERROR(__xludf.DUMMYFUNCTION("""COMPUTED_VALUE"""),"AUA")</f>
        <v>AUA</v>
      </c>
      <c r="Q61" s="1" t="str">
        <f>IFERROR(__xludf.DUMMYFUNCTION("""COMPUTED_VALUE"""),"ECAC")</f>
        <v>ECAC</v>
      </c>
    </row>
    <row r="62">
      <c r="A62" s="1" t="str">
        <f>IFERROR(__xludf.DUMMYFUNCTION("""COMPUTED_VALUE"""),"WMT6025")</f>
        <v>WMT6025</v>
      </c>
      <c r="B62" s="1" t="str">
        <f>IFERROR(__xludf.DUMMYFUNCTION("""COMPUTED_VALUE"""),"A21N")</f>
        <v>A21N</v>
      </c>
      <c r="C62" s="1" t="str">
        <f>IFERROR(__xludf.DUMMYFUNCTION("""COMPUTED_VALUE"""),"LIRF")</f>
        <v>LIRF</v>
      </c>
      <c r="D62" s="1" t="str">
        <f>IFERROR(__xludf.DUMMYFUNCTION("""COMPUTED_VALUE"""),"LEBL")</f>
        <v>LEBL</v>
      </c>
      <c r="E62" s="1" t="str">
        <f>IFERROR(__xludf.DUMMYFUNCTION("""COMPUTED_VALUE"""),"9HWNQ")</f>
        <v>9HWNQ</v>
      </c>
      <c r="F62" s="1">
        <f>IFERROR(__xludf.DUMMYFUNCTION("""COMPUTED_VALUE"""),340.0)</f>
        <v>340</v>
      </c>
      <c r="G62" s="7">
        <f>IFERROR(__xludf.DUMMYFUNCTION("""COMPUTED_VALUE"""),0.2361111111111111)</f>
        <v>0.2361111111</v>
      </c>
      <c r="H62" s="1">
        <f>IFERROR(__xludf.DUMMYFUNCTION("""COMPUTED_VALUE"""),15.0)</f>
        <v>15</v>
      </c>
      <c r="I62" s="7">
        <f>IFERROR(__xludf.DUMMYFUNCTION("""COMPUTED_VALUE"""),0.2847222222222222)</f>
        <v>0.2847222222</v>
      </c>
      <c r="J62" s="1" t="str">
        <f>IFERROR(__xludf.DUMMYFUNCTION("""COMPUTED_VALUE"""),"D")</f>
        <v>D</v>
      </c>
      <c r="K62" s="1">
        <f>IFERROR(__xludf.DUMMYFUNCTION("""COMPUTED_VALUE"""),200.0)</f>
        <v>200</v>
      </c>
      <c r="L62" s="7">
        <f>IFERROR(__xludf.DUMMYFUNCTION("""COMPUTED_VALUE"""),0.048611111111111105)</f>
        <v>0.04861111111</v>
      </c>
      <c r="M62" s="7">
        <f>IFERROR(__xludf.DUMMYFUNCTION("""COMPUTED_VALUE"""),0.025486111111111105)</f>
        <v>0.02548611111</v>
      </c>
      <c r="O62" s="9">
        <f>IFERROR(__xludf.DUMMYFUNCTION("""COMPUTED_VALUE"""),507.6833333333333)</f>
        <v>507.6833333</v>
      </c>
      <c r="P62" s="1" t="str">
        <f>IFERROR(__xludf.DUMMYFUNCTION("""COMPUTED_VALUE"""),"WMT")</f>
        <v>WMT</v>
      </c>
      <c r="Q62" s="1" t="str">
        <f>IFERROR(__xludf.DUMMYFUNCTION("""COMPUTED_VALUE"""),"ECAC")</f>
        <v>ECAC</v>
      </c>
    </row>
    <row r="63">
      <c r="A63" s="1" t="str">
        <f>IFERROR(__xludf.DUMMYFUNCTION("""COMPUTED_VALUE"""),"WZZ2407")</f>
        <v>WZZ2407</v>
      </c>
      <c r="B63" s="1" t="str">
        <f>IFERROR(__xludf.DUMMYFUNCTION("""COMPUTED_VALUE"""),"A21N")</f>
        <v>A21N</v>
      </c>
      <c r="C63" s="1" t="str">
        <f>IFERROR(__xludf.DUMMYFUNCTION("""COMPUTED_VALUE"""),"EPWR")</f>
        <v>EPWR</v>
      </c>
      <c r="D63" s="1" t="str">
        <f>IFERROR(__xludf.DUMMYFUNCTION("""COMPUTED_VALUE"""),"LEBL")</f>
        <v>LEBL</v>
      </c>
      <c r="E63" s="1" t="str">
        <f>IFERROR(__xludf.DUMMYFUNCTION("""COMPUTED_VALUE"""),"9HWMG")</f>
        <v>9HWMG</v>
      </c>
      <c r="F63" s="1">
        <f>IFERROR(__xludf.DUMMYFUNCTION("""COMPUTED_VALUE"""),370.0)</f>
        <v>370</v>
      </c>
      <c r="G63" s="7">
        <f>IFERROR(__xludf.DUMMYFUNCTION("""COMPUTED_VALUE"""),0.19722222222222222)</f>
        <v>0.1972222222</v>
      </c>
      <c r="H63" s="1">
        <f>IFERROR(__xludf.DUMMYFUNCTION("""COMPUTED_VALUE"""),9.0)</f>
        <v>9</v>
      </c>
      <c r="I63" s="7">
        <f>IFERROR(__xludf.DUMMYFUNCTION("""COMPUTED_VALUE"""),0.2881944444444444)</f>
        <v>0.2881944444</v>
      </c>
      <c r="J63" s="1" t="str">
        <f>IFERROR(__xludf.DUMMYFUNCTION("""COMPUTED_VALUE"""),"D")</f>
        <v>D</v>
      </c>
      <c r="K63" s="1">
        <f>IFERROR(__xludf.DUMMYFUNCTION("""COMPUTED_VALUE"""),200.0)</f>
        <v>200</v>
      </c>
      <c r="L63" s="7">
        <f>IFERROR(__xludf.DUMMYFUNCTION("""COMPUTED_VALUE"""),0.0909722222222222)</f>
        <v>0.09097222222</v>
      </c>
      <c r="M63" s="7">
        <f>IFERROR(__xludf.DUMMYFUNCTION("""COMPUTED_VALUE"""),0.07201388888888886)</f>
        <v>0.07201388889</v>
      </c>
      <c r="O63" s="9">
        <f>IFERROR(__xludf.DUMMYFUNCTION("""COMPUTED_VALUE"""),1434.516666666666)</f>
        <v>1434.516667</v>
      </c>
      <c r="P63" s="1" t="str">
        <f>IFERROR(__xludf.DUMMYFUNCTION("""COMPUTED_VALUE"""),"WZZ")</f>
        <v>WZZ</v>
      </c>
      <c r="Q63" s="1" t="str">
        <f>IFERROR(__xludf.DUMMYFUNCTION("""COMPUTED_VALUE"""),"ECAC")</f>
        <v>ECAC</v>
      </c>
    </row>
    <row r="64">
      <c r="A64" s="1" t="str">
        <f>IFERROR(__xludf.DUMMYFUNCTION("""COMPUTED_VALUE"""),"AFR17ZG")</f>
        <v>AFR17ZG</v>
      </c>
      <c r="B64" s="1" t="str">
        <f>IFERROR(__xludf.DUMMYFUNCTION("""COMPUTED_VALUE"""),"A321")</f>
        <v>A321</v>
      </c>
      <c r="C64" s="1" t="str">
        <f>IFERROR(__xludf.DUMMYFUNCTION("""COMPUTED_VALUE"""),"LFPG")</f>
        <v>LFPG</v>
      </c>
      <c r="D64" s="1" t="str">
        <f>IFERROR(__xludf.DUMMYFUNCTION("""COMPUTED_VALUE"""),"LEBL")</f>
        <v>LEBL</v>
      </c>
      <c r="E64" s="1" t="str">
        <f>IFERROR(__xludf.DUMMYFUNCTION("""COMPUTED_VALUE"""),"FGTAP")</f>
        <v>FGTAP</v>
      </c>
      <c r="F64" s="1">
        <f>IFERROR(__xludf.DUMMYFUNCTION("""COMPUTED_VALUE"""),330.0)</f>
        <v>330</v>
      </c>
      <c r="G64" s="7">
        <f>IFERROR(__xludf.DUMMYFUNCTION("""COMPUTED_VALUE"""),0.22916666666666666)</f>
        <v>0.2291666667</v>
      </c>
      <c r="H64" s="1">
        <f>IFERROR(__xludf.DUMMYFUNCTION("""COMPUTED_VALUE"""),13.0)</f>
        <v>13</v>
      </c>
      <c r="I64" s="7">
        <f>IFERROR(__xludf.DUMMYFUNCTION("""COMPUTED_VALUE"""),0.2881944444444444)</f>
        <v>0.2881944444</v>
      </c>
      <c r="J64" s="1" t="str">
        <f>IFERROR(__xludf.DUMMYFUNCTION("""COMPUTED_VALUE"""),"D")</f>
        <v>D</v>
      </c>
      <c r="K64" s="1">
        <f>IFERROR(__xludf.DUMMYFUNCTION("""COMPUTED_VALUE"""),207.0)</f>
        <v>207</v>
      </c>
      <c r="L64" s="7">
        <f>IFERROR(__xludf.DUMMYFUNCTION("""COMPUTED_VALUE"""),0.05902777777777776)</f>
        <v>0.05902777778</v>
      </c>
      <c r="M64" s="7">
        <f>IFERROR(__xludf.DUMMYFUNCTION("""COMPUTED_VALUE"""),0.037291666666666654)</f>
        <v>0.03729166667</v>
      </c>
      <c r="O64" s="9">
        <f>IFERROR(__xludf.DUMMYFUNCTION("""COMPUTED_VALUE"""),742.8499999999997)</f>
        <v>742.85</v>
      </c>
      <c r="P64" s="1" t="str">
        <f>IFERROR(__xludf.DUMMYFUNCTION("""COMPUTED_VALUE"""),"AFR")</f>
        <v>AFR</v>
      </c>
      <c r="Q64" s="1" t="str">
        <f>IFERROR(__xludf.DUMMYFUNCTION("""COMPUTED_VALUE"""),"ECAC")</f>
        <v>ECAC</v>
      </c>
    </row>
    <row r="65">
      <c r="A65" s="1" t="str">
        <f>IFERROR(__xludf.DUMMYFUNCTION("""COMPUTED_VALUE"""),"VLG36GQ")</f>
        <v>VLG36GQ</v>
      </c>
      <c r="B65" s="1" t="str">
        <f>IFERROR(__xludf.DUMMYFUNCTION("""COMPUTED_VALUE"""),"A320")</f>
        <v>A320</v>
      </c>
      <c r="C65" s="1" t="str">
        <f>IFERROR(__xludf.DUMMYFUNCTION("""COMPUTED_VALUE"""),"EHAM")</f>
        <v>EHAM</v>
      </c>
      <c r="D65" s="1" t="str">
        <f>IFERROR(__xludf.DUMMYFUNCTION("""COMPUTED_VALUE"""),"LEBL")</f>
        <v>LEBL</v>
      </c>
      <c r="E65" s="1" t="str">
        <f>IFERROR(__xludf.DUMMYFUNCTION("""COMPUTED_VALUE"""),"ECMVE")</f>
        <v>ECMVE</v>
      </c>
      <c r="F65" s="1">
        <f>IFERROR(__xludf.DUMMYFUNCTION("""COMPUTED_VALUE"""),390.0)</f>
        <v>390</v>
      </c>
      <c r="G65" s="7">
        <f>IFERROR(__xludf.DUMMYFUNCTION("""COMPUTED_VALUE"""),0.21458333333333332)</f>
        <v>0.2145833333</v>
      </c>
      <c r="H65" s="1">
        <f>IFERROR(__xludf.DUMMYFUNCTION("""COMPUTED_VALUE"""),10.0)</f>
        <v>10</v>
      </c>
      <c r="I65" s="7">
        <f>IFERROR(__xludf.DUMMYFUNCTION("""COMPUTED_VALUE"""),0.2881944444444444)</f>
        <v>0.2881944444</v>
      </c>
      <c r="J65" s="1" t="str">
        <f>IFERROR(__xludf.DUMMYFUNCTION("""COMPUTED_VALUE"""),"D")</f>
        <v>D</v>
      </c>
      <c r="K65" s="1">
        <f>IFERROR(__xludf.DUMMYFUNCTION("""COMPUTED_VALUE"""),173.0)</f>
        <v>173</v>
      </c>
      <c r="L65" s="7">
        <f>IFERROR(__xludf.DUMMYFUNCTION("""COMPUTED_VALUE"""),0.0736111111111111)</f>
        <v>0.07361111111</v>
      </c>
      <c r="M65" s="7">
        <f>IFERROR(__xludf.DUMMYFUNCTION("""COMPUTED_VALUE"""),0.053958333333333316)</f>
        <v>0.05395833333</v>
      </c>
      <c r="O65" s="9">
        <f>IFERROR(__xludf.DUMMYFUNCTION("""COMPUTED_VALUE"""),1074.8499999999997)</f>
        <v>1074.85</v>
      </c>
      <c r="P65" s="1" t="str">
        <f>IFERROR(__xludf.DUMMYFUNCTION("""COMPUTED_VALUE"""),"VLG")</f>
        <v>VLG</v>
      </c>
      <c r="Q65" s="1" t="str">
        <f>IFERROR(__xludf.DUMMYFUNCTION("""COMPUTED_VALUE"""),"ECAC")</f>
        <v>ECAC</v>
      </c>
    </row>
    <row r="66">
      <c r="A66" s="1" t="str">
        <f>IFERROR(__xludf.DUMMYFUNCTION("""COMPUTED_VALUE"""),"ELY393")</f>
        <v>ELY393</v>
      </c>
      <c r="B66" s="1" t="str">
        <f>IFERROR(__xludf.DUMMYFUNCTION("""COMPUTED_VALUE"""),"B739")</f>
        <v>B739</v>
      </c>
      <c r="C66" s="1" t="str">
        <f>IFERROR(__xludf.DUMMYFUNCTION("""COMPUTED_VALUE"""),"LLBG")</f>
        <v>LLBG</v>
      </c>
      <c r="D66" s="1" t="str">
        <f>IFERROR(__xludf.DUMMYFUNCTION("""COMPUTED_VALUE"""),"LEBL")</f>
        <v>LEBL</v>
      </c>
      <c r="E66" s="1" t="str">
        <f>IFERROR(__xludf.DUMMYFUNCTION("""COMPUTED_VALUE"""),"4XEHB")</f>
        <v>4XEHB</v>
      </c>
      <c r="F66" s="1">
        <f>IFERROR(__xludf.DUMMYFUNCTION("""COMPUTED_VALUE"""),360.0)</f>
        <v>360</v>
      </c>
      <c r="G66" s="7">
        <f>IFERROR(__xludf.DUMMYFUNCTION("""COMPUTED_VALUE"""),0.13819444444444445)</f>
        <v>0.1381944444</v>
      </c>
      <c r="H66" s="1">
        <f>IFERROR(__xludf.DUMMYFUNCTION("""COMPUTED_VALUE"""),15.0)</f>
        <v>15</v>
      </c>
      <c r="I66" s="7">
        <f>IFERROR(__xludf.DUMMYFUNCTION("""COMPUTED_VALUE"""),0.2916666666666667)</f>
        <v>0.2916666667</v>
      </c>
      <c r="J66" s="1" t="str">
        <f>IFERROR(__xludf.DUMMYFUNCTION("""COMPUTED_VALUE"""),"D")</f>
        <v>D</v>
      </c>
      <c r="K66" s="1">
        <f>IFERROR(__xludf.DUMMYFUNCTION("""COMPUTED_VALUE"""),183.0)</f>
        <v>183</v>
      </c>
      <c r="L66" s="7">
        <f>IFERROR(__xludf.DUMMYFUNCTION("""COMPUTED_VALUE"""),0.15347222222222223)</f>
        <v>0.1534722222</v>
      </c>
      <c r="M66" s="7">
        <f>IFERROR(__xludf.DUMMYFUNCTION("""COMPUTED_VALUE"""),0.13034722222222225)</f>
        <v>0.1303472222</v>
      </c>
      <c r="O66" s="9">
        <f>IFERROR(__xludf.DUMMYFUNCTION("""COMPUTED_VALUE"""),2596.516666666667)</f>
        <v>2596.516667</v>
      </c>
      <c r="P66" s="1" t="str">
        <f>IFERROR(__xludf.DUMMYFUNCTION("""COMPUTED_VALUE"""),"ELY")</f>
        <v>ELY</v>
      </c>
      <c r="Q66" s="1" t="str">
        <f>IFERROR(__xludf.DUMMYFUNCTION("""COMPUTED_VALUE"""),"NO ECAC")</f>
        <v>NO ECAC</v>
      </c>
    </row>
    <row r="67">
      <c r="A67" s="1" t="str">
        <f>IFERROR(__xludf.DUMMYFUNCTION("""COMPUTED_VALUE"""),"RYR95TH")</f>
        <v>RYR95TH</v>
      </c>
      <c r="B67" s="1" t="str">
        <f>IFERROR(__xludf.DUMMYFUNCTION("""COMPUTED_VALUE"""),"B738")</f>
        <v>B738</v>
      </c>
      <c r="C67" s="1" t="str">
        <f>IFERROR(__xludf.DUMMYFUNCTION("""COMPUTED_VALUE"""),"EGSS")</f>
        <v>EGSS</v>
      </c>
      <c r="D67" s="1" t="str">
        <f>IFERROR(__xludf.DUMMYFUNCTION("""COMPUTED_VALUE"""),"LEBL")</f>
        <v>LEBL</v>
      </c>
      <c r="E67" s="1" t="str">
        <f>IFERROR(__xludf.DUMMYFUNCTION("""COMPUTED_VALUE"""),"EIDWM")</f>
        <v>EIDWM</v>
      </c>
      <c r="F67" s="1">
        <f>IFERROR(__xludf.DUMMYFUNCTION("""COMPUTED_VALUE"""),350.0)</f>
        <v>350</v>
      </c>
      <c r="G67" s="7">
        <f>IFERROR(__xludf.DUMMYFUNCTION("""COMPUTED_VALUE"""),0.21805555555555556)</f>
        <v>0.2180555556</v>
      </c>
      <c r="H67" s="1">
        <f>IFERROR(__xludf.DUMMYFUNCTION("""COMPUTED_VALUE"""),14.0)</f>
        <v>14</v>
      </c>
      <c r="I67" s="7">
        <f>IFERROR(__xludf.DUMMYFUNCTION("""COMPUTED_VALUE"""),0.2916666666666667)</f>
        <v>0.2916666667</v>
      </c>
      <c r="J67" s="1" t="str">
        <f>IFERROR(__xludf.DUMMYFUNCTION("""COMPUTED_VALUE"""),"D")</f>
        <v>D</v>
      </c>
      <c r="K67" s="1">
        <f>IFERROR(__xludf.DUMMYFUNCTION("""COMPUTED_VALUE"""),184.0)</f>
        <v>184</v>
      </c>
      <c r="L67" s="7">
        <f>IFERROR(__xludf.DUMMYFUNCTION("""COMPUTED_VALUE"""),0.07361111111111113)</f>
        <v>0.07361111111</v>
      </c>
      <c r="M67" s="7">
        <f>IFERROR(__xludf.DUMMYFUNCTION("""COMPUTED_VALUE"""),0.05118055555555557)</f>
        <v>0.05118055556</v>
      </c>
      <c r="O67" s="9">
        <f>IFERROR(__xludf.DUMMYFUNCTION("""COMPUTED_VALUE"""),1019.516666666667)</f>
        <v>1019.516667</v>
      </c>
      <c r="P67" s="1" t="str">
        <f>IFERROR(__xludf.DUMMYFUNCTION("""COMPUTED_VALUE"""),"RYR")</f>
        <v>RYR</v>
      </c>
      <c r="Q67" s="1" t="str">
        <f>IFERROR(__xludf.DUMMYFUNCTION("""COMPUTED_VALUE"""),"ECAC")</f>
        <v>ECAC</v>
      </c>
    </row>
    <row r="68">
      <c r="A68" s="1" t="str">
        <f>IFERROR(__xludf.DUMMYFUNCTION("""COMPUTED_VALUE"""),"WMT641")</f>
        <v>WMT641</v>
      </c>
      <c r="B68" s="1" t="str">
        <f>IFERROR(__xludf.DUMMYFUNCTION("""COMPUTED_VALUE"""),"A321")</f>
        <v>A321</v>
      </c>
      <c r="C68" s="1" t="str">
        <f>IFERROR(__xludf.DUMMYFUNCTION("""COMPUTED_VALUE"""),"LATI")</f>
        <v>LATI</v>
      </c>
      <c r="D68" s="1" t="str">
        <f>IFERROR(__xludf.DUMMYFUNCTION("""COMPUTED_VALUE"""),"LEBL")</f>
        <v>LEBL</v>
      </c>
      <c r="E68" s="1" t="str">
        <f>IFERROR(__xludf.DUMMYFUNCTION("""COMPUTED_VALUE"""),"HALTC")</f>
        <v>HALTC</v>
      </c>
      <c r="F68" s="1">
        <f>IFERROR(__xludf.DUMMYFUNCTION("""COMPUTED_VALUE"""),370.0)</f>
        <v>370</v>
      </c>
      <c r="G68" s="7">
        <f>IFERROR(__xludf.DUMMYFUNCTION("""COMPUTED_VALUE"""),0.20069444444444445)</f>
        <v>0.2006944444</v>
      </c>
      <c r="H68" s="1">
        <f>IFERROR(__xludf.DUMMYFUNCTION("""COMPUTED_VALUE"""),5.0)</f>
        <v>5</v>
      </c>
      <c r="I68" s="7">
        <f>IFERROR(__xludf.DUMMYFUNCTION("""COMPUTED_VALUE"""),0.2916666666666667)</f>
        <v>0.2916666667</v>
      </c>
      <c r="J68" s="1" t="str">
        <f>IFERROR(__xludf.DUMMYFUNCTION("""COMPUTED_VALUE"""),"D")</f>
        <v>D</v>
      </c>
      <c r="K68" s="1">
        <f>IFERROR(__xludf.DUMMYFUNCTION("""COMPUTED_VALUE"""),207.0)</f>
        <v>207</v>
      </c>
      <c r="L68" s="7">
        <f>IFERROR(__xludf.DUMMYFUNCTION("""COMPUTED_VALUE"""),0.09097222222222223)</f>
        <v>0.09097222222</v>
      </c>
      <c r="M68" s="7">
        <f>IFERROR(__xludf.DUMMYFUNCTION("""COMPUTED_VALUE"""),0.07479166666666667)</f>
        <v>0.07479166667</v>
      </c>
      <c r="O68" s="9">
        <f>IFERROR(__xludf.DUMMYFUNCTION("""COMPUTED_VALUE"""),1489.8500000000001)</f>
        <v>1489.85</v>
      </c>
      <c r="P68" s="1" t="str">
        <f>IFERROR(__xludf.DUMMYFUNCTION("""COMPUTED_VALUE"""),"WMT")</f>
        <v>WMT</v>
      </c>
      <c r="Q68" s="1" t="str">
        <f>IFERROR(__xludf.DUMMYFUNCTION("""COMPUTED_VALUE"""),"ECAC")</f>
        <v>ECAC</v>
      </c>
    </row>
    <row r="69">
      <c r="A69" s="1" t="str">
        <f>IFERROR(__xludf.DUMMYFUNCTION("""COMPUTED_VALUE"""),"VLG4TJ")</f>
        <v>VLG4TJ</v>
      </c>
      <c r="B69" s="1" t="str">
        <f>IFERROR(__xludf.DUMMYFUNCTION("""COMPUTED_VALUE"""),"A321")</f>
        <v>A321</v>
      </c>
      <c r="C69" s="1" t="str">
        <f>IFERROR(__xludf.DUMMYFUNCTION("""COMPUTED_VALUE"""),"LEPA")</f>
        <v>LEPA</v>
      </c>
      <c r="D69" s="1" t="str">
        <f>IFERROR(__xludf.DUMMYFUNCTION("""COMPUTED_VALUE"""),"LEBL")</f>
        <v>LEBL</v>
      </c>
      <c r="E69" s="1" t="str">
        <f>IFERROR(__xludf.DUMMYFUNCTION("""COMPUTED_VALUE"""),"ECMLD")</f>
        <v>ECMLD</v>
      </c>
      <c r="F69" s="1">
        <f>IFERROR(__xludf.DUMMYFUNCTION("""COMPUTED_VALUE"""),180.0)</f>
        <v>180</v>
      </c>
      <c r="G69" s="7">
        <f>IFERROR(__xludf.DUMMYFUNCTION("""COMPUTED_VALUE"""),0.2791666666666667)</f>
        <v>0.2791666667</v>
      </c>
      <c r="H69" s="1">
        <f>IFERROR(__xludf.DUMMYFUNCTION("""COMPUTED_VALUE"""),17.0)</f>
        <v>17</v>
      </c>
      <c r="I69" s="7">
        <f>IFERROR(__xludf.DUMMYFUNCTION("""COMPUTED_VALUE"""),0.2951388888888889)</f>
        <v>0.2951388889</v>
      </c>
      <c r="J69" s="1" t="str">
        <f>IFERROR(__xludf.DUMMYFUNCTION("""COMPUTED_VALUE"""),"D")</f>
        <v>D</v>
      </c>
      <c r="K69" s="1">
        <f>IFERROR(__xludf.DUMMYFUNCTION("""COMPUTED_VALUE"""),207.0)</f>
        <v>207</v>
      </c>
      <c r="L69" s="7">
        <f>IFERROR(__xludf.DUMMYFUNCTION("""COMPUTED_VALUE"""),0.01597222222222222)</f>
        <v>0.01597222222</v>
      </c>
      <c r="M69" s="7">
        <f>IFERROR(__xludf.DUMMYFUNCTION("""COMPUTED_VALUE"""),0.004166666666666666)</f>
        <v>0.004166666667</v>
      </c>
      <c r="O69" s="9">
        <f>IFERROR(__xludf.DUMMYFUNCTION("""COMPUTED_VALUE"""),82.99999999999999)</f>
        <v>83</v>
      </c>
      <c r="P69" s="1" t="str">
        <f>IFERROR(__xludf.DUMMYFUNCTION("""COMPUTED_VALUE"""),"VLG")</f>
        <v>VLG</v>
      </c>
      <c r="Q69" s="1" t="str">
        <f>IFERROR(__xludf.DUMMYFUNCTION("""COMPUTED_VALUE"""),"ECAC")</f>
        <v>ECAC</v>
      </c>
    </row>
    <row r="70">
      <c r="A70" s="1" t="str">
        <f>IFERROR(__xludf.DUMMYFUNCTION("""COMPUTED_VALUE"""),"WZZ636")</f>
        <v>WZZ636</v>
      </c>
      <c r="B70" s="1" t="str">
        <f>IFERROR(__xludf.DUMMYFUNCTION("""COMPUTED_VALUE"""),"A21N")</f>
        <v>A21N</v>
      </c>
      <c r="C70" s="1" t="str">
        <f>IFERROR(__xludf.DUMMYFUNCTION("""COMPUTED_VALUE"""),"LHBP")</f>
        <v>LHBP</v>
      </c>
      <c r="D70" s="1" t="str">
        <f>IFERROR(__xludf.DUMMYFUNCTION("""COMPUTED_VALUE"""),"LEBL")</f>
        <v>LEBL</v>
      </c>
      <c r="E70" s="1" t="str">
        <f>IFERROR(__xludf.DUMMYFUNCTION("""COMPUTED_VALUE"""),"9HWDJ")</f>
        <v>9HWDJ</v>
      </c>
      <c r="F70" s="1">
        <f>IFERROR(__xludf.DUMMYFUNCTION("""COMPUTED_VALUE"""),350.0)</f>
        <v>350</v>
      </c>
      <c r="G70" s="7">
        <f>IFERROR(__xludf.DUMMYFUNCTION("""COMPUTED_VALUE"""),0.2152777777777778)</f>
        <v>0.2152777778</v>
      </c>
      <c r="H70" s="1">
        <f>IFERROR(__xludf.DUMMYFUNCTION("""COMPUTED_VALUE"""),10.0)</f>
        <v>10</v>
      </c>
      <c r="I70" s="7">
        <f>IFERROR(__xludf.DUMMYFUNCTION("""COMPUTED_VALUE"""),0.2951388888888889)</f>
        <v>0.2951388889</v>
      </c>
      <c r="J70" s="1" t="str">
        <f>IFERROR(__xludf.DUMMYFUNCTION("""COMPUTED_VALUE"""),"D")</f>
        <v>D</v>
      </c>
      <c r="K70" s="1">
        <f>IFERROR(__xludf.DUMMYFUNCTION("""COMPUTED_VALUE"""),200.0)</f>
        <v>200</v>
      </c>
      <c r="L70" s="7">
        <f>IFERROR(__xludf.DUMMYFUNCTION("""COMPUTED_VALUE"""),0.0798611111111111)</f>
        <v>0.07986111111</v>
      </c>
      <c r="M70" s="7">
        <f>IFERROR(__xludf.DUMMYFUNCTION("""COMPUTED_VALUE"""),0.06020833333333332)</f>
        <v>0.06020833333</v>
      </c>
      <c r="O70" s="9">
        <f>IFERROR(__xludf.DUMMYFUNCTION("""COMPUTED_VALUE"""),1199.35)</f>
        <v>1199.35</v>
      </c>
      <c r="P70" s="1" t="str">
        <f>IFERROR(__xludf.DUMMYFUNCTION("""COMPUTED_VALUE"""),"WZZ")</f>
        <v>WZZ</v>
      </c>
      <c r="Q70" s="1" t="str">
        <f>IFERROR(__xludf.DUMMYFUNCTION("""COMPUTED_VALUE"""),"ECAC")</f>
        <v>ECAC</v>
      </c>
    </row>
    <row r="71">
      <c r="A71" s="1" t="str">
        <f>IFERROR(__xludf.DUMMYFUNCTION("""COMPUTED_VALUE"""),"MAC377C")</f>
        <v>MAC377C</v>
      </c>
      <c r="B71" s="1" t="str">
        <f>IFERROR(__xludf.DUMMYFUNCTION("""COMPUTED_VALUE"""),"A320")</f>
        <v>A320</v>
      </c>
      <c r="C71" s="1" t="str">
        <f>IFERROR(__xludf.DUMMYFUNCTION("""COMPUTED_VALUE"""),"GMTT")</f>
        <v>GMTT</v>
      </c>
      <c r="D71" s="1" t="str">
        <f>IFERROR(__xludf.DUMMYFUNCTION("""COMPUTED_VALUE"""),"LEBL")</f>
        <v>LEBL</v>
      </c>
      <c r="E71" s="1" t="str">
        <f>IFERROR(__xludf.DUMMYFUNCTION("""COMPUTED_VALUE"""),"CNNML")</f>
        <v>CNNML</v>
      </c>
      <c r="F71" s="1">
        <f>IFERROR(__xludf.DUMMYFUNCTION("""COMPUTED_VALUE"""),380.0)</f>
        <v>380</v>
      </c>
      <c r="G71" s="7">
        <f>IFERROR(__xludf.DUMMYFUNCTION("""COMPUTED_VALUE"""),0.23958333333333334)</f>
        <v>0.2395833333</v>
      </c>
      <c r="H71" s="1">
        <f>IFERROR(__xludf.DUMMYFUNCTION("""COMPUTED_VALUE"""),15.0)</f>
        <v>15</v>
      </c>
      <c r="I71" s="7">
        <f>IFERROR(__xludf.DUMMYFUNCTION("""COMPUTED_VALUE"""),0.2951388888888889)</f>
        <v>0.2951388889</v>
      </c>
      <c r="J71" s="1" t="str">
        <f>IFERROR(__xludf.DUMMYFUNCTION("""COMPUTED_VALUE"""),"D")</f>
        <v>D</v>
      </c>
      <c r="K71" s="1">
        <f>IFERROR(__xludf.DUMMYFUNCTION("""COMPUTED_VALUE"""),173.0)</f>
        <v>173</v>
      </c>
      <c r="L71" s="7">
        <f>IFERROR(__xludf.DUMMYFUNCTION("""COMPUTED_VALUE"""),0.05555555555555555)</f>
        <v>0.05555555556</v>
      </c>
      <c r="M71" s="7">
        <f>IFERROR(__xludf.DUMMYFUNCTION("""COMPUTED_VALUE"""),0.03243055555555555)</f>
        <v>0.03243055556</v>
      </c>
      <c r="O71" s="9">
        <f>IFERROR(__xludf.DUMMYFUNCTION("""COMPUTED_VALUE"""),646.0166666666667)</f>
        <v>646.0166667</v>
      </c>
      <c r="P71" s="1" t="str">
        <f>IFERROR(__xludf.DUMMYFUNCTION("""COMPUTED_VALUE"""),"MAC")</f>
        <v>MAC</v>
      </c>
      <c r="Q71" s="1" t="str">
        <f>IFERROR(__xludf.DUMMYFUNCTION("""COMPUTED_VALUE"""),"NO ECAC")</f>
        <v>NO ECAC</v>
      </c>
    </row>
    <row r="72">
      <c r="A72" s="1" t="str">
        <f>IFERROR(__xludf.DUMMYFUNCTION("""COMPUTED_VALUE"""),"VLG7481")</f>
        <v>VLG7481</v>
      </c>
      <c r="B72" s="1" t="str">
        <f>IFERROR(__xludf.DUMMYFUNCTION("""COMPUTED_VALUE"""),"A320")</f>
        <v>A320</v>
      </c>
      <c r="C72" s="1" t="str">
        <f>IFERROR(__xludf.DUMMYFUNCTION("""COMPUTED_VALUE"""),"DAOO")</f>
        <v>DAOO</v>
      </c>
      <c r="D72" s="1" t="str">
        <f>IFERROR(__xludf.DUMMYFUNCTION("""COMPUTED_VALUE"""),"LEBL")</f>
        <v>LEBL</v>
      </c>
      <c r="E72" s="1" t="str">
        <f>IFERROR(__xludf.DUMMYFUNCTION("""COMPUTED_VALUE"""),"ECODN")</f>
        <v>ECODN</v>
      </c>
      <c r="F72" s="1">
        <f>IFERROR(__xludf.DUMMYFUNCTION("""COMPUTED_VALUE"""),300.0)</f>
        <v>300</v>
      </c>
      <c r="G72" s="7">
        <f>IFERROR(__xludf.DUMMYFUNCTION("""COMPUTED_VALUE"""),0.2590277777777778)</f>
        <v>0.2590277778</v>
      </c>
      <c r="H72" s="1">
        <f>IFERROR(__xludf.DUMMYFUNCTION("""COMPUTED_VALUE"""),8.0)</f>
        <v>8</v>
      </c>
      <c r="I72" s="7">
        <f>IFERROR(__xludf.DUMMYFUNCTION("""COMPUTED_VALUE"""),0.2951388888888889)</f>
        <v>0.2951388889</v>
      </c>
      <c r="J72" s="1" t="str">
        <f>IFERROR(__xludf.DUMMYFUNCTION("""COMPUTED_VALUE"""),"D")</f>
        <v>D</v>
      </c>
      <c r="K72" s="1">
        <f>IFERROR(__xludf.DUMMYFUNCTION("""COMPUTED_VALUE"""),173.0)</f>
        <v>173</v>
      </c>
      <c r="L72" s="7">
        <f>IFERROR(__xludf.DUMMYFUNCTION("""COMPUTED_VALUE"""),0.036111111111111094)</f>
        <v>0.03611111111</v>
      </c>
      <c r="M72" s="7">
        <f>IFERROR(__xludf.DUMMYFUNCTION("""COMPUTED_VALUE"""),0.017847222222222202)</f>
        <v>0.01784722222</v>
      </c>
      <c r="O72" s="9">
        <f>IFERROR(__xludf.DUMMYFUNCTION("""COMPUTED_VALUE"""),355.51666666666625)</f>
        <v>355.5166667</v>
      </c>
      <c r="P72" s="1" t="str">
        <f>IFERROR(__xludf.DUMMYFUNCTION("""COMPUTED_VALUE"""),"VLG")</f>
        <v>VLG</v>
      </c>
      <c r="Q72" s="1" t="str">
        <f>IFERROR(__xludf.DUMMYFUNCTION("""COMPUTED_VALUE"""),"NO ECAC")</f>
        <v>NO ECAC</v>
      </c>
    </row>
    <row r="73">
      <c r="A73" s="1" t="str">
        <f>IFERROR(__xludf.DUMMYFUNCTION("""COMPUTED_VALUE"""),"SAS65D")</f>
        <v>SAS65D</v>
      </c>
      <c r="B73" s="1" t="str">
        <f>IFERROR(__xludf.DUMMYFUNCTION("""COMPUTED_VALUE"""),"A20N")</f>
        <v>A20N</v>
      </c>
      <c r="C73" s="1" t="str">
        <f>IFERROR(__xludf.DUMMYFUNCTION("""COMPUTED_VALUE"""),"EKCH")</f>
        <v>EKCH</v>
      </c>
      <c r="D73" s="1" t="str">
        <f>IFERROR(__xludf.DUMMYFUNCTION("""COMPUTED_VALUE"""),"LEBL")</f>
        <v>LEBL</v>
      </c>
      <c r="E73" s="1" t="str">
        <f>IFERROR(__xludf.DUMMYFUNCTION("""COMPUTED_VALUE"""),"SEROE")</f>
        <v>SEROE</v>
      </c>
      <c r="F73" s="1">
        <f>IFERROR(__xludf.DUMMYFUNCTION("""COMPUTED_VALUE"""),390.0)</f>
        <v>390</v>
      </c>
      <c r="G73" s="7">
        <f>IFERROR(__xludf.DUMMYFUNCTION("""COMPUTED_VALUE"""),0.1951388888888889)</f>
        <v>0.1951388889</v>
      </c>
      <c r="H73" s="1">
        <f>IFERROR(__xludf.DUMMYFUNCTION("""COMPUTED_VALUE"""),9.0)</f>
        <v>9</v>
      </c>
      <c r="I73" s="7">
        <f>IFERROR(__xludf.DUMMYFUNCTION("""COMPUTED_VALUE"""),0.2986111111111111)</f>
        <v>0.2986111111</v>
      </c>
      <c r="J73" s="1" t="str">
        <f>IFERROR(__xludf.DUMMYFUNCTION("""COMPUTED_VALUE"""),"D")</f>
        <v>D</v>
      </c>
      <c r="K73" s="1">
        <f>IFERROR(__xludf.DUMMYFUNCTION("""COMPUTED_VALUE"""),180.0)</f>
        <v>180</v>
      </c>
      <c r="L73" s="7">
        <f>IFERROR(__xludf.DUMMYFUNCTION("""COMPUTED_VALUE"""),0.10347222222222222)</f>
        <v>0.1034722222</v>
      </c>
      <c r="M73" s="7">
        <f>IFERROR(__xludf.DUMMYFUNCTION("""COMPUTED_VALUE"""),0.08451388888888887)</f>
        <v>0.08451388889</v>
      </c>
      <c r="O73" s="9">
        <f>IFERROR(__xludf.DUMMYFUNCTION("""COMPUTED_VALUE"""),1683.5166666666662)</f>
        <v>1683.516667</v>
      </c>
      <c r="P73" s="1" t="str">
        <f>IFERROR(__xludf.DUMMYFUNCTION("""COMPUTED_VALUE"""),"SAS")</f>
        <v>SAS</v>
      </c>
      <c r="Q73" s="1" t="str">
        <f>IFERROR(__xludf.DUMMYFUNCTION("""COMPUTED_VALUE"""),"ECAC")</f>
        <v>ECAC</v>
      </c>
    </row>
    <row r="74">
      <c r="A74" s="1" t="str">
        <f>IFERROR(__xludf.DUMMYFUNCTION("""COMPUTED_VALUE"""),"DLH55K")</f>
        <v>DLH55K</v>
      </c>
      <c r="B74" s="1" t="str">
        <f>IFERROR(__xludf.DUMMYFUNCTION("""COMPUTED_VALUE"""),"A21N")</f>
        <v>A21N</v>
      </c>
      <c r="C74" s="1" t="str">
        <f>IFERROR(__xludf.DUMMYFUNCTION("""COMPUTED_VALUE"""),"EDDF")</f>
        <v>EDDF</v>
      </c>
      <c r="D74" s="1" t="str">
        <f>IFERROR(__xludf.DUMMYFUNCTION("""COMPUTED_VALUE"""),"LEBL")</f>
        <v>LEBL</v>
      </c>
      <c r="E74" s="1" t="str">
        <f>IFERROR(__xludf.DUMMYFUNCTION("""COMPUTED_VALUE"""),"DAIEN")</f>
        <v>DAIEN</v>
      </c>
      <c r="F74" s="1">
        <f>IFERROR(__xludf.DUMMYFUNCTION("""COMPUTED_VALUE"""),370.0)</f>
        <v>370</v>
      </c>
      <c r="G74" s="7">
        <f>IFERROR(__xludf.DUMMYFUNCTION("""COMPUTED_VALUE"""),0.23541666666666666)</f>
        <v>0.2354166667</v>
      </c>
      <c r="H74" s="1">
        <f>IFERROR(__xludf.DUMMYFUNCTION("""COMPUTED_VALUE"""),9.0)</f>
        <v>9</v>
      </c>
      <c r="I74" s="7">
        <f>IFERROR(__xludf.DUMMYFUNCTION("""COMPUTED_VALUE"""),0.2986111111111111)</f>
        <v>0.2986111111</v>
      </c>
      <c r="J74" s="1" t="str">
        <f>IFERROR(__xludf.DUMMYFUNCTION("""COMPUTED_VALUE"""),"D")</f>
        <v>D</v>
      </c>
      <c r="K74" s="1">
        <f>IFERROR(__xludf.DUMMYFUNCTION("""COMPUTED_VALUE"""),200.0)</f>
        <v>200</v>
      </c>
      <c r="L74" s="7">
        <f>IFERROR(__xludf.DUMMYFUNCTION("""COMPUTED_VALUE"""),0.06319444444444444)</f>
        <v>0.06319444444</v>
      </c>
      <c r="M74" s="7">
        <f>IFERROR(__xludf.DUMMYFUNCTION("""COMPUTED_VALUE"""),0.04423611111111111)</f>
        <v>0.04423611111</v>
      </c>
      <c r="O74" s="9">
        <f>IFERROR(__xludf.DUMMYFUNCTION("""COMPUTED_VALUE"""),881.1833333333333)</f>
        <v>881.1833333</v>
      </c>
      <c r="P74" s="1" t="str">
        <f>IFERROR(__xludf.DUMMYFUNCTION("""COMPUTED_VALUE"""),"DLH")</f>
        <v>DLH</v>
      </c>
      <c r="Q74" s="1" t="str">
        <f>IFERROR(__xludf.DUMMYFUNCTION("""COMPUTED_VALUE"""),"ECAC")</f>
        <v>ECAC</v>
      </c>
    </row>
    <row r="75">
      <c r="A75" s="1" t="str">
        <f>IFERROR(__xludf.DUMMYFUNCTION("""COMPUTED_VALUE"""),"VLG67PA")</f>
        <v>VLG67PA</v>
      </c>
      <c r="B75" s="1" t="str">
        <f>IFERROR(__xludf.DUMMYFUNCTION("""COMPUTED_VALUE"""),"A321")</f>
        <v>A321</v>
      </c>
      <c r="C75" s="1" t="str">
        <f>IFERROR(__xludf.DUMMYFUNCTION("""COMPUTED_VALUE"""),"LEMH")</f>
        <v>LEMH</v>
      </c>
      <c r="D75" s="1" t="str">
        <f>IFERROR(__xludf.DUMMYFUNCTION("""COMPUTED_VALUE"""),"LEBL")</f>
        <v>LEBL</v>
      </c>
      <c r="E75" s="1" t="str">
        <f>IFERROR(__xludf.DUMMYFUNCTION("""COMPUTED_VALUE"""),"ECMQB")</f>
        <v>ECMQB</v>
      </c>
      <c r="F75" s="1">
        <f>IFERROR(__xludf.DUMMYFUNCTION("""COMPUTED_VALUE"""),180.0)</f>
        <v>180</v>
      </c>
      <c r="G75" s="7">
        <f>IFERROR(__xludf.DUMMYFUNCTION("""COMPUTED_VALUE"""),0.27361111111111114)</f>
        <v>0.2736111111</v>
      </c>
      <c r="H75" s="1">
        <f>IFERROR(__xludf.DUMMYFUNCTION("""COMPUTED_VALUE"""),11.0)</f>
        <v>11</v>
      </c>
      <c r="I75" s="7">
        <f>IFERROR(__xludf.DUMMYFUNCTION("""COMPUTED_VALUE"""),0.3020833333333333)</f>
        <v>0.3020833333</v>
      </c>
      <c r="J75" s="1" t="str">
        <f>IFERROR(__xludf.DUMMYFUNCTION("""COMPUTED_VALUE"""),"D")</f>
        <v>D</v>
      </c>
      <c r="K75" s="1">
        <f>IFERROR(__xludf.DUMMYFUNCTION("""COMPUTED_VALUE"""),207.0)</f>
        <v>207</v>
      </c>
      <c r="L75" s="7">
        <f>IFERROR(__xludf.DUMMYFUNCTION("""COMPUTED_VALUE"""),0.028472222222222177)</f>
        <v>0.02847222222</v>
      </c>
      <c r="M75" s="7">
        <f>IFERROR(__xludf.DUMMYFUNCTION("""COMPUTED_VALUE"""),0.008124999999999952)</f>
        <v>0.008125</v>
      </c>
      <c r="O75" s="9">
        <f>IFERROR(__xludf.DUMMYFUNCTION("""COMPUTED_VALUE"""),161.84999999999903)</f>
        <v>161.85</v>
      </c>
      <c r="P75" s="1" t="str">
        <f>IFERROR(__xludf.DUMMYFUNCTION("""COMPUTED_VALUE"""),"VLG")</f>
        <v>VLG</v>
      </c>
      <c r="Q75" s="1" t="str">
        <f>IFERROR(__xludf.DUMMYFUNCTION("""COMPUTED_VALUE"""),"ECAC")</f>
        <v>ECAC</v>
      </c>
    </row>
    <row r="76">
      <c r="A76" s="1" t="str">
        <f>IFERROR(__xludf.DUMMYFUNCTION("""COMPUTED_VALUE"""),"ACA820")</f>
        <v>ACA820</v>
      </c>
      <c r="B76" s="1" t="str">
        <f>IFERROR(__xludf.DUMMYFUNCTION("""COMPUTED_VALUE"""),"B77W")</f>
        <v>B77W</v>
      </c>
      <c r="C76" s="1" t="str">
        <f>IFERROR(__xludf.DUMMYFUNCTION("""COMPUTED_VALUE"""),"CYYZ")</f>
        <v>CYYZ</v>
      </c>
      <c r="D76" s="1" t="str">
        <f>IFERROR(__xludf.DUMMYFUNCTION("""COMPUTED_VALUE"""),"LEBL")</f>
        <v>LEBL</v>
      </c>
      <c r="E76" s="1" t="str">
        <f>IFERROR(__xludf.DUMMYFUNCTION("""COMPUTED_VALUE"""),"CFIVM")</f>
        <v>CFIVM</v>
      </c>
      <c r="F76" s="1">
        <f>IFERROR(__xludf.DUMMYFUNCTION("""COMPUTED_VALUE"""),360.0)</f>
        <v>360</v>
      </c>
      <c r="G76" s="7">
        <f>IFERROR(__xludf.DUMMYFUNCTION("""COMPUTED_VALUE"""),0.9791666666666666)</f>
        <v>0.9791666667</v>
      </c>
      <c r="H76" s="1">
        <f>IFERROR(__xludf.DUMMYFUNCTION("""COMPUTED_VALUE"""),0.0)</f>
        <v>0</v>
      </c>
      <c r="I76" s="7">
        <f>IFERROR(__xludf.DUMMYFUNCTION("""COMPUTED_VALUE"""),0.3020833333333333)</f>
        <v>0.3020833333</v>
      </c>
      <c r="J76" s="1" t="str">
        <f>IFERROR(__xludf.DUMMYFUNCTION("""COMPUTED_VALUE"""),"B")</f>
        <v>B</v>
      </c>
      <c r="K76" s="1">
        <f>IFERROR(__xludf.DUMMYFUNCTION("""COMPUTED_VALUE"""),331.0)</f>
        <v>331</v>
      </c>
      <c r="L76" s="7">
        <f>IFERROR(__xludf.DUMMYFUNCTION("""COMPUTED_VALUE"""),0.32291666666666674)</f>
        <v>0.3229166667</v>
      </c>
      <c r="M76" s="7">
        <f>IFERROR(__xludf.DUMMYFUNCTION("""COMPUTED_VALUE"""),0.3102083333333334)</f>
        <v>0.3102083333</v>
      </c>
      <c r="O76" s="9">
        <f>IFERROR(__xludf.DUMMYFUNCTION("""COMPUTED_VALUE"""),6700.500000000002)</f>
        <v>6700.5</v>
      </c>
      <c r="P76" s="1" t="str">
        <f>IFERROR(__xludf.DUMMYFUNCTION("""COMPUTED_VALUE"""),"ACA")</f>
        <v>ACA</v>
      </c>
      <c r="Q76" s="1" t="str">
        <f>IFERROR(__xludf.DUMMYFUNCTION("""COMPUTED_VALUE"""),"NO ECAC")</f>
        <v>NO ECAC</v>
      </c>
    </row>
    <row r="77">
      <c r="A77" s="1" t="str">
        <f>IFERROR(__xludf.DUMMYFUNCTION("""COMPUTED_VALUE"""),"RYR70YX")</f>
        <v>RYR70YX</v>
      </c>
      <c r="B77" s="1" t="str">
        <f>IFERROR(__xludf.DUMMYFUNCTION("""COMPUTED_VALUE"""),"B38M")</f>
        <v>B38M</v>
      </c>
      <c r="C77" s="1" t="str">
        <f>IFERROR(__xludf.DUMMYFUNCTION("""COMPUTED_VALUE"""),"LIMF")</f>
        <v>LIMF</v>
      </c>
      <c r="D77" s="1" t="str">
        <f>IFERROR(__xludf.DUMMYFUNCTION("""COMPUTED_VALUE"""),"LEBL")</f>
        <v>LEBL</v>
      </c>
      <c r="E77" s="1" t="str">
        <f>IFERROR(__xludf.DUMMYFUNCTION("""COMPUTED_VALUE"""),"EIIHE")</f>
        <v>EIIHE</v>
      </c>
      <c r="F77" s="1">
        <f>IFERROR(__xludf.DUMMYFUNCTION("""COMPUTED_VALUE"""),290.0)</f>
        <v>290</v>
      </c>
      <c r="G77" s="7">
        <f>IFERROR(__xludf.DUMMYFUNCTION("""COMPUTED_VALUE"""),0.2604166666666667)</f>
        <v>0.2604166667</v>
      </c>
      <c r="H77" s="1">
        <f>IFERROR(__xludf.DUMMYFUNCTION("""COMPUTED_VALUE"""),15.0)</f>
        <v>15</v>
      </c>
      <c r="I77" s="7">
        <f>IFERROR(__xludf.DUMMYFUNCTION("""COMPUTED_VALUE"""),0.3020833333333333)</f>
        <v>0.3020833333</v>
      </c>
      <c r="J77" s="1" t="str">
        <f>IFERROR(__xludf.DUMMYFUNCTION("""COMPUTED_VALUE"""),"D")</f>
        <v>D</v>
      </c>
      <c r="K77" s="1">
        <f>IFERROR(__xludf.DUMMYFUNCTION("""COMPUTED_VALUE"""),186.0)</f>
        <v>186</v>
      </c>
      <c r="L77" s="7">
        <f>IFERROR(__xludf.DUMMYFUNCTION("""COMPUTED_VALUE"""),0.04166666666666663)</f>
        <v>0.04166666667</v>
      </c>
      <c r="M77" s="7">
        <f>IFERROR(__xludf.DUMMYFUNCTION("""COMPUTED_VALUE"""),0.01854166666666663)</f>
        <v>0.01854166667</v>
      </c>
      <c r="O77" s="9">
        <f>IFERROR(__xludf.DUMMYFUNCTION("""COMPUTED_VALUE"""),369.3499999999993)</f>
        <v>369.35</v>
      </c>
      <c r="P77" s="1" t="str">
        <f>IFERROR(__xludf.DUMMYFUNCTION("""COMPUTED_VALUE"""),"RYR")</f>
        <v>RYR</v>
      </c>
      <c r="Q77" s="1" t="str">
        <f>IFERROR(__xludf.DUMMYFUNCTION("""COMPUTED_VALUE"""),"ECAC")</f>
        <v>ECAC</v>
      </c>
    </row>
    <row r="78">
      <c r="A78" s="1" t="str">
        <f>IFERROR(__xludf.DUMMYFUNCTION("""COMPUTED_VALUE"""),"AVA018")</f>
        <v>AVA018</v>
      </c>
      <c r="B78" s="1" t="str">
        <f>IFERROR(__xludf.DUMMYFUNCTION("""COMPUTED_VALUE"""),"B788")</f>
        <v>B788</v>
      </c>
      <c r="C78" s="1" t="str">
        <f>IFERROR(__xludf.DUMMYFUNCTION("""COMPUTED_VALUE"""),"SKBO")</f>
        <v>SKBO</v>
      </c>
      <c r="D78" s="1" t="str">
        <f>IFERROR(__xludf.DUMMYFUNCTION("""COMPUTED_VALUE"""),"LEBL")</f>
        <v>LEBL</v>
      </c>
      <c r="E78" s="1" t="str">
        <f>IFERROR(__xludf.DUMMYFUNCTION("""COMPUTED_VALUE"""),"N780AV")</f>
        <v>N780AV</v>
      </c>
      <c r="F78" s="1">
        <f>IFERROR(__xludf.DUMMYFUNCTION("""COMPUTED_VALUE"""),410.0)</f>
        <v>410</v>
      </c>
      <c r="G78" s="7">
        <f>IFERROR(__xludf.DUMMYFUNCTION("""COMPUTED_VALUE"""),0.8819444444444444)</f>
        <v>0.8819444444</v>
      </c>
      <c r="H78" s="1">
        <f>IFERROR(__xludf.DUMMYFUNCTION("""COMPUTED_VALUE"""),10.0)</f>
        <v>10</v>
      </c>
      <c r="I78" s="7">
        <f>IFERROR(__xludf.DUMMYFUNCTION("""COMPUTED_VALUE"""),0.3055555555555556)</f>
        <v>0.3055555556</v>
      </c>
      <c r="J78" s="1" t="str">
        <f>IFERROR(__xludf.DUMMYFUNCTION("""COMPUTED_VALUE"""),"B")</f>
        <v>B</v>
      </c>
      <c r="K78" s="1">
        <f>IFERROR(__xludf.DUMMYFUNCTION("""COMPUTED_VALUE"""),266.0)</f>
        <v>266</v>
      </c>
      <c r="L78" s="7">
        <f>IFERROR(__xludf.DUMMYFUNCTION("""COMPUTED_VALUE"""),0.42361111111111116)</f>
        <v>0.4236111111</v>
      </c>
      <c r="M78" s="7">
        <f>IFERROR(__xludf.DUMMYFUNCTION("""COMPUTED_VALUE"""),0.4039583333333334)</f>
        <v>0.4039583333</v>
      </c>
      <c r="O78" s="9">
        <f>IFERROR(__xludf.DUMMYFUNCTION("""COMPUTED_VALUE"""),8725.500000000002)</f>
        <v>8725.5</v>
      </c>
      <c r="P78" s="1" t="str">
        <f>IFERROR(__xludf.DUMMYFUNCTION("""COMPUTED_VALUE"""),"AVA")</f>
        <v>AVA</v>
      </c>
      <c r="Q78" s="1" t="str">
        <f>IFERROR(__xludf.DUMMYFUNCTION("""COMPUTED_VALUE"""),"NO ECAC")</f>
        <v>NO ECAC</v>
      </c>
    </row>
    <row r="79">
      <c r="A79" s="1" t="str">
        <f>IFERROR(__xludf.DUMMYFUNCTION("""COMPUTED_VALUE"""),"EWG64N")</f>
        <v>EWG64N</v>
      </c>
      <c r="B79" s="1" t="str">
        <f>IFERROR(__xludf.DUMMYFUNCTION("""COMPUTED_VALUE"""),"A20N")</f>
        <v>A20N</v>
      </c>
      <c r="C79" s="1" t="str">
        <f>IFERROR(__xludf.DUMMYFUNCTION("""COMPUTED_VALUE"""),"EDDK")</f>
        <v>EDDK</v>
      </c>
      <c r="D79" s="1" t="str">
        <f>IFERROR(__xludf.DUMMYFUNCTION("""COMPUTED_VALUE"""),"LEBL")</f>
        <v>LEBL</v>
      </c>
      <c r="E79" s="1" t="str">
        <f>IFERROR(__xludf.DUMMYFUNCTION("""COMPUTED_VALUE"""),"DAENF")</f>
        <v>DAENF</v>
      </c>
      <c r="F79" s="1">
        <f>IFERROR(__xludf.DUMMYFUNCTION("""COMPUTED_VALUE"""),390.0)</f>
        <v>390</v>
      </c>
      <c r="G79" s="7">
        <f>IFERROR(__xludf.DUMMYFUNCTION("""COMPUTED_VALUE"""),0.23819444444444443)</f>
        <v>0.2381944444</v>
      </c>
      <c r="H79" s="1">
        <f>IFERROR(__xludf.DUMMYFUNCTION("""COMPUTED_VALUE"""),10.0)</f>
        <v>10</v>
      </c>
      <c r="I79" s="7">
        <f>IFERROR(__xludf.DUMMYFUNCTION("""COMPUTED_VALUE"""),0.3055555555555556)</f>
        <v>0.3055555556</v>
      </c>
      <c r="J79" s="1" t="str">
        <f>IFERROR(__xludf.DUMMYFUNCTION("""COMPUTED_VALUE"""),"D")</f>
        <v>D</v>
      </c>
      <c r="K79" s="1">
        <f>IFERROR(__xludf.DUMMYFUNCTION("""COMPUTED_VALUE"""),180.0)</f>
        <v>180</v>
      </c>
      <c r="L79" s="7">
        <f>IFERROR(__xludf.DUMMYFUNCTION("""COMPUTED_VALUE"""),0.06736111111111115)</f>
        <v>0.06736111111</v>
      </c>
      <c r="M79" s="7">
        <f>IFERROR(__xludf.DUMMYFUNCTION("""COMPUTED_VALUE"""),0.047708333333333366)</f>
        <v>0.04770833333</v>
      </c>
      <c r="O79" s="9">
        <f>IFERROR(__xludf.DUMMYFUNCTION("""COMPUTED_VALUE"""),950.3500000000007)</f>
        <v>950.35</v>
      </c>
      <c r="P79" s="1" t="str">
        <f>IFERROR(__xludf.DUMMYFUNCTION("""COMPUTED_VALUE"""),"EWG")</f>
        <v>EWG</v>
      </c>
      <c r="Q79" s="1" t="str">
        <f>IFERROR(__xludf.DUMMYFUNCTION("""COMPUTED_VALUE"""),"ECAC")</f>
        <v>ECAC</v>
      </c>
    </row>
    <row r="80">
      <c r="A80" s="1" t="str">
        <f>IFERROR(__xludf.DUMMYFUNCTION("""COMPUTED_VALUE"""),"VLG7369")</f>
        <v>VLG7369</v>
      </c>
      <c r="B80" s="1" t="str">
        <f>IFERROR(__xludf.DUMMYFUNCTION("""COMPUTED_VALUE"""),"A320")</f>
        <v>A320</v>
      </c>
      <c r="C80" s="1" t="str">
        <f>IFERROR(__xludf.DUMMYFUNCTION("""COMPUTED_VALUE"""),"GMTT")</f>
        <v>GMTT</v>
      </c>
      <c r="D80" s="1" t="str">
        <f>IFERROR(__xludf.DUMMYFUNCTION("""COMPUTED_VALUE"""),"LEBL")</f>
        <v>LEBL</v>
      </c>
      <c r="E80" s="1" t="str">
        <f>IFERROR(__xludf.DUMMYFUNCTION("""COMPUTED_VALUE"""),"ECMBE")</f>
        <v>ECMBE</v>
      </c>
      <c r="F80" s="1">
        <f>IFERROR(__xludf.DUMMYFUNCTION("""COMPUTED_VALUE"""),380.0)</f>
        <v>380</v>
      </c>
      <c r="G80" s="7">
        <f>IFERROR(__xludf.DUMMYFUNCTION("""COMPUTED_VALUE"""),0.23958333333333334)</f>
        <v>0.2395833333</v>
      </c>
      <c r="H80" s="1">
        <f>IFERROR(__xludf.DUMMYFUNCTION("""COMPUTED_VALUE"""),10.0)</f>
        <v>10</v>
      </c>
      <c r="I80" s="7">
        <f>IFERROR(__xludf.DUMMYFUNCTION("""COMPUTED_VALUE"""),0.3090277777777778)</f>
        <v>0.3090277778</v>
      </c>
      <c r="J80" s="1" t="str">
        <f>IFERROR(__xludf.DUMMYFUNCTION("""COMPUTED_VALUE"""),"D")</f>
        <v>D</v>
      </c>
      <c r="K80" s="1">
        <f>IFERROR(__xludf.DUMMYFUNCTION("""COMPUTED_VALUE"""),173.0)</f>
        <v>173</v>
      </c>
      <c r="L80" s="7">
        <f>IFERROR(__xludf.DUMMYFUNCTION("""COMPUTED_VALUE"""),0.06944444444444445)</f>
        <v>0.06944444444</v>
      </c>
      <c r="M80" s="7">
        <f>IFERROR(__xludf.DUMMYFUNCTION("""COMPUTED_VALUE"""),0.049791666666666665)</f>
        <v>0.04979166667</v>
      </c>
      <c r="O80" s="9">
        <f>IFERROR(__xludf.DUMMYFUNCTION("""COMPUTED_VALUE"""),991.8499999999999)</f>
        <v>991.85</v>
      </c>
      <c r="P80" s="1" t="str">
        <f>IFERROR(__xludf.DUMMYFUNCTION("""COMPUTED_VALUE"""),"VLG")</f>
        <v>VLG</v>
      </c>
      <c r="Q80" s="1" t="str">
        <f>IFERROR(__xludf.DUMMYFUNCTION("""COMPUTED_VALUE"""),"NO ECAC")</f>
        <v>NO ECAC</v>
      </c>
    </row>
    <row r="81">
      <c r="A81" s="1" t="str">
        <f>IFERROR(__xludf.DUMMYFUNCTION("""COMPUTED_VALUE"""),"EZY48HQ")</f>
        <v>EZY48HQ</v>
      </c>
      <c r="B81" s="1" t="str">
        <f>IFERROR(__xludf.DUMMYFUNCTION("""COMPUTED_VALUE"""),"A20N")</f>
        <v>A20N</v>
      </c>
      <c r="C81" s="1" t="str">
        <f>IFERROR(__xludf.DUMMYFUNCTION("""COMPUTED_VALUE"""),"EGAA")</f>
        <v>EGAA</v>
      </c>
      <c r="D81" s="1" t="str">
        <f>IFERROR(__xludf.DUMMYFUNCTION("""COMPUTED_VALUE"""),"LEBL")</f>
        <v>LEBL</v>
      </c>
      <c r="E81" s="1" t="str">
        <f>IFERROR(__xludf.DUMMYFUNCTION("""COMPUTED_VALUE"""),"GUZLF")</f>
        <v>GUZLF</v>
      </c>
      <c r="F81" s="1">
        <f>IFERROR(__xludf.DUMMYFUNCTION("""COMPUTED_VALUE"""),390.0)</f>
        <v>390</v>
      </c>
      <c r="G81" s="7">
        <f>IFERROR(__xludf.DUMMYFUNCTION("""COMPUTED_VALUE"""),0.2222222222222222)</f>
        <v>0.2222222222</v>
      </c>
      <c r="H81" s="1">
        <f>IFERROR(__xludf.DUMMYFUNCTION("""COMPUTED_VALUE"""),10.0)</f>
        <v>10</v>
      </c>
      <c r="I81" s="7">
        <f>IFERROR(__xludf.DUMMYFUNCTION("""COMPUTED_VALUE"""),0.3090277777777778)</f>
        <v>0.3090277778</v>
      </c>
      <c r="J81" s="1" t="str">
        <f>IFERROR(__xludf.DUMMYFUNCTION("""COMPUTED_VALUE"""),"D")</f>
        <v>D</v>
      </c>
      <c r="K81" s="1">
        <f>IFERROR(__xludf.DUMMYFUNCTION("""COMPUTED_VALUE"""),180.0)</f>
        <v>180</v>
      </c>
      <c r="L81" s="7">
        <f>IFERROR(__xludf.DUMMYFUNCTION("""COMPUTED_VALUE"""),0.08680555555555558)</f>
        <v>0.08680555556</v>
      </c>
      <c r="M81" s="7">
        <f>IFERROR(__xludf.DUMMYFUNCTION("""COMPUTED_VALUE"""),0.0671527777777778)</f>
        <v>0.06715277778</v>
      </c>
      <c r="O81" s="9">
        <f>IFERROR(__xludf.DUMMYFUNCTION("""COMPUTED_VALUE"""),1337.6833333333338)</f>
        <v>1337.683333</v>
      </c>
      <c r="P81" s="1" t="str">
        <f>IFERROR(__xludf.DUMMYFUNCTION("""COMPUTED_VALUE"""),"EZY")</f>
        <v>EZY</v>
      </c>
      <c r="Q81" s="1" t="str">
        <f>IFERROR(__xludf.DUMMYFUNCTION("""COMPUTED_VALUE"""),"ECAC")</f>
        <v>ECAC</v>
      </c>
    </row>
    <row r="82">
      <c r="A82" s="1" t="str">
        <f>IFERROR(__xludf.DUMMYFUNCTION("""COMPUTED_VALUE"""),"RYR65HW")</f>
        <v>RYR65HW</v>
      </c>
      <c r="B82" s="1" t="str">
        <f>IFERROR(__xludf.DUMMYFUNCTION("""COMPUTED_VALUE"""),"B738")</f>
        <v>B738</v>
      </c>
      <c r="C82" s="1" t="str">
        <f>IFERROR(__xludf.DUMMYFUNCTION("""COMPUTED_VALUE"""),"LIPZ")</f>
        <v>LIPZ</v>
      </c>
      <c r="D82" s="1" t="str">
        <f>IFERROR(__xludf.DUMMYFUNCTION("""COMPUTED_VALUE"""),"LEBL")</f>
        <v>LEBL</v>
      </c>
      <c r="E82" s="1" t="str">
        <f>IFERROR(__xludf.DUMMYFUNCTION("""COMPUTED_VALUE"""),"EIDLD")</f>
        <v>EIDLD</v>
      </c>
      <c r="F82" s="1">
        <f>IFERROR(__xludf.DUMMYFUNCTION("""COMPUTED_VALUE"""),350.0)</f>
        <v>350</v>
      </c>
      <c r="G82" s="7">
        <f>IFERROR(__xludf.DUMMYFUNCTION("""COMPUTED_VALUE"""),0.2611111111111111)</f>
        <v>0.2611111111</v>
      </c>
      <c r="H82" s="1">
        <f>IFERROR(__xludf.DUMMYFUNCTION("""COMPUTED_VALUE"""),11.0)</f>
        <v>11</v>
      </c>
      <c r="I82" s="7">
        <f>IFERROR(__xludf.DUMMYFUNCTION("""COMPUTED_VALUE"""),0.3090277777777778)</f>
        <v>0.3090277778</v>
      </c>
      <c r="J82" s="1" t="str">
        <f>IFERROR(__xludf.DUMMYFUNCTION("""COMPUTED_VALUE"""),"D")</f>
        <v>D</v>
      </c>
      <c r="K82" s="1">
        <f>IFERROR(__xludf.DUMMYFUNCTION("""COMPUTED_VALUE"""),184.0)</f>
        <v>184</v>
      </c>
      <c r="L82" s="7">
        <f>IFERROR(__xludf.DUMMYFUNCTION("""COMPUTED_VALUE"""),0.04791666666666666)</f>
        <v>0.04791666667</v>
      </c>
      <c r="M82" s="7">
        <f>IFERROR(__xludf.DUMMYFUNCTION("""COMPUTED_VALUE"""),0.027569444444444438)</f>
        <v>0.02756944444</v>
      </c>
      <c r="O82" s="9">
        <f>IFERROR(__xludf.DUMMYFUNCTION("""COMPUTED_VALUE"""),549.1833333333332)</f>
        <v>549.1833333</v>
      </c>
      <c r="P82" s="1" t="str">
        <f>IFERROR(__xludf.DUMMYFUNCTION("""COMPUTED_VALUE"""),"RYR")</f>
        <v>RYR</v>
      </c>
      <c r="Q82" s="1" t="str">
        <f>IFERROR(__xludf.DUMMYFUNCTION("""COMPUTED_VALUE"""),"ECAC")</f>
        <v>ECAC</v>
      </c>
    </row>
    <row r="83">
      <c r="A83" s="1" t="str">
        <f>IFERROR(__xludf.DUMMYFUNCTION("""COMPUTED_VALUE"""),"N818CA")</f>
        <v>N818CA</v>
      </c>
      <c r="B83" s="1" t="str">
        <f>IFERROR(__xludf.DUMMYFUNCTION("""COMPUTED_VALUE"""),"GA5C")</f>
        <v>GA5C</v>
      </c>
      <c r="C83" s="1" t="str">
        <f>IFERROR(__xludf.DUMMYFUNCTION("""COMPUTED_VALUE"""),"LEMD")</f>
        <v>LEMD</v>
      </c>
      <c r="D83" s="1" t="str">
        <f>IFERROR(__xludf.DUMMYFUNCTION("""COMPUTED_VALUE"""),"LEBL")</f>
        <v>LEBL</v>
      </c>
      <c r="E83" s="1" t="str">
        <f>IFERROR(__xludf.DUMMYFUNCTION("""COMPUTED_VALUE"""),"N818CA")</f>
        <v>N818CA</v>
      </c>
      <c r="F83" s="1">
        <f>IFERROR(__xludf.DUMMYFUNCTION("""COMPUTED_VALUE"""),280.0)</f>
        <v>280</v>
      </c>
      <c r="G83" s="7">
        <f>IFERROR(__xludf.DUMMYFUNCTION("""COMPUTED_VALUE"""),0.27152777777777776)</f>
        <v>0.2715277778</v>
      </c>
      <c r="H83" s="1">
        <f>IFERROR(__xludf.DUMMYFUNCTION("""COMPUTED_VALUE"""),21.0)</f>
        <v>21</v>
      </c>
      <c r="I83" s="7">
        <f>IFERROR(__xludf.DUMMYFUNCTION("""COMPUTED_VALUE"""),0.3125)</f>
        <v>0.3125</v>
      </c>
      <c r="J83" s="1" t="str">
        <f>IFERROR(__xludf.DUMMYFUNCTION("""COMPUTED_VALUE"""),"E")</f>
        <v>E</v>
      </c>
      <c r="K83" s="1">
        <f>IFERROR(__xludf.DUMMYFUNCTION("""COMPUTED_VALUE"""),15.0)</f>
        <v>15</v>
      </c>
      <c r="L83" s="7">
        <f>IFERROR(__xludf.DUMMYFUNCTION("""COMPUTED_VALUE"""),0.04097222222222224)</f>
        <v>0.04097222222</v>
      </c>
      <c r="M83" s="7">
        <f>IFERROR(__xludf.DUMMYFUNCTION("""COMPUTED_VALUE"""),0.013680555555555574)</f>
        <v>0.01368055556</v>
      </c>
      <c r="O83" s="9">
        <f>IFERROR(__xludf.DUMMYFUNCTION("""COMPUTED_VALUE"""),147.75000000000023)</f>
        <v>147.75</v>
      </c>
      <c r="P83" s="1" t="str">
        <f>IFERROR(__xludf.DUMMYFUNCTION("""COMPUTED_VALUE"""),"N81")</f>
        <v>N81</v>
      </c>
      <c r="Q83" s="1" t="str">
        <f>IFERROR(__xludf.DUMMYFUNCTION("""COMPUTED_VALUE"""),"ECAC")</f>
        <v>ECAC</v>
      </c>
    </row>
    <row r="84">
      <c r="A84" s="1" t="str">
        <f>IFERROR(__xludf.DUMMYFUNCTION("""COMPUTED_VALUE"""),"TAM8114")</f>
        <v>TAM8114</v>
      </c>
      <c r="B84" s="1" t="str">
        <f>IFERROR(__xludf.DUMMYFUNCTION("""COMPUTED_VALUE"""),"B789")</f>
        <v>B789</v>
      </c>
      <c r="C84" s="1" t="str">
        <f>IFERROR(__xludf.DUMMYFUNCTION("""COMPUTED_VALUE"""),"SBGR")</f>
        <v>SBGR</v>
      </c>
      <c r="D84" s="1" t="str">
        <f>IFERROR(__xludf.DUMMYFUNCTION("""COMPUTED_VALUE"""),"LEBL")</f>
        <v>LEBL</v>
      </c>
      <c r="E84" s="1" t="str">
        <f>IFERROR(__xludf.DUMMYFUNCTION("""COMPUTED_VALUE"""),"CCBGM")</f>
        <v>CCBGM</v>
      </c>
      <c r="F84" s="1">
        <f>IFERROR(__xludf.DUMMYFUNCTION("""COMPUTED_VALUE"""),400.0)</f>
        <v>400</v>
      </c>
      <c r="G84" s="7">
        <f>IFERROR(__xludf.DUMMYFUNCTION("""COMPUTED_VALUE"""),0.8819444444444444)</f>
        <v>0.8819444444</v>
      </c>
      <c r="H84" s="1">
        <f>IFERROR(__xludf.DUMMYFUNCTION("""COMPUTED_VALUE"""),10.0)</f>
        <v>10</v>
      </c>
      <c r="I84" s="7">
        <f>IFERROR(__xludf.DUMMYFUNCTION("""COMPUTED_VALUE"""),0.3125)</f>
        <v>0.3125</v>
      </c>
      <c r="J84" s="1" t="str">
        <f>IFERROR(__xludf.DUMMYFUNCTION("""COMPUTED_VALUE"""),"B")</f>
        <v>B</v>
      </c>
      <c r="K84" s="1">
        <f>IFERROR(__xludf.DUMMYFUNCTION("""COMPUTED_VALUE"""),284.0)</f>
        <v>284</v>
      </c>
      <c r="L84" s="7">
        <f>IFERROR(__xludf.DUMMYFUNCTION("""COMPUTED_VALUE"""),0.4305555555555556)</f>
        <v>0.4305555556</v>
      </c>
      <c r="M84" s="7">
        <f>IFERROR(__xludf.DUMMYFUNCTION("""COMPUTED_VALUE"""),0.41090277777777784)</f>
        <v>0.4109027778</v>
      </c>
      <c r="O84" s="9">
        <f>IFERROR(__xludf.DUMMYFUNCTION("""COMPUTED_VALUE"""),8875.500000000002)</f>
        <v>8875.5</v>
      </c>
      <c r="P84" s="1" t="str">
        <f>IFERROR(__xludf.DUMMYFUNCTION("""COMPUTED_VALUE"""),"TAM")</f>
        <v>TAM</v>
      </c>
      <c r="Q84" s="1" t="str">
        <f>IFERROR(__xludf.DUMMYFUNCTION("""COMPUTED_VALUE"""),"NO ECAC")</f>
        <v>NO ECAC</v>
      </c>
    </row>
    <row r="85">
      <c r="A85" s="1" t="str">
        <f>IFERROR(__xludf.DUMMYFUNCTION("""COMPUTED_VALUE"""),"VLG94MT")</f>
        <v>VLG94MT</v>
      </c>
      <c r="B85" s="1" t="str">
        <f>IFERROR(__xludf.DUMMYFUNCTION("""COMPUTED_VALUE"""),"A320")</f>
        <v>A320</v>
      </c>
      <c r="C85" s="1" t="str">
        <f>IFERROR(__xludf.DUMMYFUNCTION("""COMPUTED_VALUE"""),"LIMC")</f>
        <v>LIMC</v>
      </c>
      <c r="D85" s="1" t="str">
        <f>IFERROR(__xludf.DUMMYFUNCTION("""COMPUTED_VALUE"""),"LEBL")</f>
        <v>LEBL</v>
      </c>
      <c r="E85" s="1" t="str">
        <f>IFERROR(__xludf.DUMMYFUNCTION("""COMPUTED_VALUE"""),"ECOJG")</f>
        <v>ECOJG</v>
      </c>
      <c r="F85" s="1">
        <f>IFERROR(__xludf.DUMMYFUNCTION("""COMPUTED_VALUE"""),310.0)</f>
        <v>310</v>
      </c>
      <c r="G85" s="7">
        <f>IFERROR(__xludf.DUMMYFUNCTION("""COMPUTED_VALUE"""),0.26944444444444443)</f>
        <v>0.2694444444</v>
      </c>
      <c r="H85" s="1">
        <f>IFERROR(__xludf.DUMMYFUNCTION("""COMPUTED_VALUE"""),17.0)</f>
        <v>17</v>
      </c>
      <c r="I85" s="7">
        <f>IFERROR(__xludf.DUMMYFUNCTION("""COMPUTED_VALUE"""),0.3159722222222222)</f>
        <v>0.3159722222</v>
      </c>
      <c r="J85" s="1" t="str">
        <f>IFERROR(__xludf.DUMMYFUNCTION("""COMPUTED_VALUE"""),"D")</f>
        <v>D</v>
      </c>
      <c r="K85" s="1">
        <f>IFERROR(__xludf.DUMMYFUNCTION("""COMPUTED_VALUE"""),173.0)</f>
        <v>173</v>
      </c>
      <c r="L85" s="7">
        <f>IFERROR(__xludf.DUMMYFUNCTION("""COMPUTED_VALUE"""),0.04652777777777778)</f>
        <v>0.04652777778</v>
      </c>
      <c r="M85" s="7">
        <f>IFERROR(__xludf.DUMMYFUNCTION("""COMPUTED_VALUE"""),0.02201388888888889)</f>
        <v>0.02201388889</v>
      </c>
      <c r="O85" s="9">
        <f>IFERROR(__xludf.DUMMYFUNCTION("""COMPUTED_VALUE"""),438.51666666666665)</f>
        <v>438.5166667</v>
      </c>
      <c r="P85" s="1" t="str">
        <f>IFERROR(__xludf.DUMMYFUNCTION("""COMPUTED_VALUE"""),"VLG")</f>
        <v>VLG</v>
      </c>
      <c r="Q85" s="1" t="str">
        <f>IFERROR(__xludf.DUMMYFUNCTION("""COMPUTED_VALUE"""),"ECAC")</f>
        <v>ECAC</v>
      </c>
    </row>
    <row r="86">
      <c r="A86" s="1" t="str">
        <f>IFERROR(__xludf.DUMMYFUNCTION("""COMPUTED_VALUE"""),"NSZ2900")</f>
        <v>NSZ2900</v>
      </c>
      <c r="B86" s="1" t="str">
        <f>IFERROR(__xludf.DUMMYFUNCTION("""COMPUTED_VALUE"""),"B38M")</f>
        <v>B38M</v>
      </c>
      <c r="C86" s="1" t="str">
        <f>IFERROR(__xludf.DUMMYFUNCTION("""COMPUTED_VALUE"""),"EFHK")</f>
        <v>EFHK</v>
      </c>
      <c r="D86" s="1" t="str">
        <f>IFERROR(__xludf.DUMMYFUNCTION("""COMPUTED_VALUE"""),"LEBL")</f>
        <v>LEBL</v>
      </c>
      <c r="E86" s="1" t="str">
        <f>IFERROR(__xludf.DUMMYFUNCTION("""COMPUTED_VALUE"""),"SERTA")</f>
        <v>SERTA</v>
      </c>
      <c r="F86" s="1">
        <f>IFERROR(__xludf.DUMMYFUNCTION("""COMPUTED_VALUE"""),400.0)</f>
        <v>400</v>
      </c>
      <c r="G86" s="7">
        <f>IFERROR(__xludf.DUMMYFUNCTION("""COMPUTED_VALUE"""),0.17083333333333334)</f>
        <v>0.1708333333</v>
      </c>
      <c r="H86" s="1">
        <f>IFERROR(__xludf.DUMMYFUNCTION("""COMPUTED_VALUE"""),6.0)</f>
        <v>6</v>
      </c>
      <c r="I86" s="7">
        <f>IFERROR(__xludf.DUMMYFUNCTION("""COMPUTED_VALUE"""),0.3159722222222222)</f>
        <v>0.3159722222</v>
      </c>
      <c r="J86" s="1" t="str">
        <f>IFERROR(__xludf.DUMMYFUNCTION("""COMPUTED_VALUE"""),"D")</f>
        <v>D</v>
      </c>
      <c r="K86" s="1">
        <f>IFERROR(__xludf.DUMMYFUNCTION("""COMPUTED_VALUE"""),186.0)</f>
        <v>186</v>
      </c>
      <c r="L86" s="7">
        <f>IFERROR(__xludf.DUMMYFUNCTION("""COMPUTED_VALUE"""),0.14513888888888887)</f>
        <v>0.1451388889</v>
      </c>
      <c r="M86" s="7">
        <f>IFERROR(__xludf.DUMMYFUNCTION("""COMPUTED_VALUE"""),0.12826388888888887)</f>
        <v>0.1282638889</v>
      </c>
      <c r="O86" s="9">
        <f>IFERROR(__xludf.DUMMYFUNCTION("""COMPUTED_VALUE"""),2555.0166666666664)</f>
        <v>2555.016667</v>
      </c>
      <c r="P86" s="1" t="str">
        <f>IFERROR(__xludf.DUMMYFUNCTION("""COMPUTED_VALUE"""),"NSZ")</f>
        <v>NSZ</v>
      </c>
      <c r="Q86" s="1" t="str">
        <f>IFERROR(__xludf.DUMMYFUNCTION("""COMPUTED_VALUE"""),"ECAC")</f>
        <v>ECAC</v>
      </c>
    </row>
    <row r="87">
      <c r="A87" s="1" t="str">
        <f>IFERROR(__xludf.DUMMYFUNCTION("""COMPUTED_VALUE"""),"EWG71W")</f>
        <v>EWG71W</v>
      </c>
      <c r="B87" s="1" t="str">
        <f>IFERROR(__xludf.DUMMYFUNCTION("""COMPUTED_VALUE"""),"A320")</f>
        <v>A320</v>
      </c>
      <c r="C87" s="1" t="str">
        <f>IFERROR(__xludf.DUMMYFUNCTION("""COMPUTED_VALUE"""),"EDDL")</f>
        <v>EDDL</v>
      </c>
      <c r="D87" s="1" t="str">
        <f>IFERROR(__xludf.DUMMYFUNCTION("""COMPUTED_VALUE"""),"LEBL")</f>
        <v>LEBL</v>
      </c>
      <c r="E87" s="1" t="str">
        <f>IFERROR(__xludf.DUMMYFUNCTION("""COMPUTED_VALUE"""),"DABZN")</f>
        <v>DABZN</v>
      </c>
      <c r="F87" s="1">
        <f>IFERROR(__xludf.DUMMYFUNCTION("""COMPUTED_VALUE"""),390.0)</f>
        <v>390</v>
      </c>
      <c r="G87" s="7">
        <f>IFERROR(__xludf.DUMMYFUNCTION("""COMPUTED_VALUE"""),0.24027777777777778)</f>
        <v>0.2402777778</v>
      </c>
      <c r="H87" s="1">
        <f>IFERROR(__xludf.DUMMYFUNCTION("""COMPUTED_VALUE"""),11.0)</f>
        <v>11</v>
      </c>
      <c r="I87" s="7">
        <f>IFERROR(__xludf.DUMMYFUNCTION("""COMPUTED_VALUE"""),0.3159722222222222)</f>
        <v>0.3159722222</v>
      </c>
      <c r="J87" s="1" t="str">
        <f>IFERROR(__xludf.DUMMYFUNCTION("""COMPUTED_VALUE"""),"D")</f>
        <v>D</v>
      </c>
      <c r="K87" s="1">
        <f>IFERROR(__xludf.DUMMYFUNCTION("""COMPUTED_VALUE"""),173.0)</f>
        <v>173</v>
      </c>
      <c r="L87" s="7">
        <f>IFERROR(__xludf.DUMMYFUNCTION("""COMPUTED_VALUE"""),0.07569444444444443)</f>
        <v>0.07569444444</v>
      </c>
      <c r="M87" s="7">
        <f>IFERROR(__xludf.DUMMYFUNCTION("""COMPUTED_VALUE"""),0.0553472222222222)</f>
        <v>0.05534722222</v>
      </c>
      <c r="O87" s="9">
        <f>IFERROR(__xludf.DUMMYFUNCTION("""COMPUTED_VALUE"""),1102.5166666666662)</f>
        <v>1102.516667</v>
      </c>
      <c r="P87" s="1" t="str">
        <f>IFERROR(__xludf.DUMMYFUNCTION("""COMPUTED_VALUE"""),"EWG")</f>
        <v>EWG</v>
      </c>
      <c r="Q87" s="1" t="str">
        <f>IFERROR(__xludf.DUMMYFUNCTION("""COMPUTED_VALUE"""),"ECAC")</f>
        <v>ECAC</v>
      </c>
    </row>
    <row r="88">
      <c r="A88" s="1" t="str">
        <f>IFERROR(__xludf.DUMMYFUNCTION("""COMPUTED_VALUE"""),"DAL194")</f>
        <v>DAL194</v>
      </c>
      <c r="B88" s="1" t="str">
        <f>IFERROR(__xludf.DUMMYFUNCTION("""COMPUTED_VALUE"""),"A359")</f>
        <v>A359</v>
      </c>
      <c r="C88" s="1" t="str">
        <f>IFERROR(__xludf.DUMMYFUNCTION("""COMPUTED_VALUE"""),"KATL")</f>
        <v>KATL</v>
      </c>
      <c r="D88" s="1" t="str">
        <f>IFERROR(__xludf.DUMMYFUNCTION("""COMPUTED_VALUE"""),"LEBL")</f>
        <v>LEBL</v>
      </c>
      <c r="E88" s="1" t="str">
        <f>IFERROR(__xludf.DUMMYFUNCTION("""COMPUTED_VALUE"""),"N572DZ")</f>
        <v>N572DZ</v>
      </c>
      <c r="F88" s="1">
        <f>IFERROR(__xludf.DUMMYFUNCTION("""COMPUTED_VALUE"""),410.0)</f>
        <v>410</v>
      </c>
      <c r="G88" s="7">
        <f>IFERROR(__xludf.DUMMYFUNCTION("""COMPUTED_VALUE"""),0.9583333333333334)</f>
        <v>0.9583333333</v>
      </c>
      <c r="H88" s="1">
        <f>IFERROR(__xludf.DUMMYFUNCTION("""COMPUTED_VALUE"""),10.0)</f>
        <v>10</v>
      </c>
      <c r="I88" s="7">
        <f>IFERROR(__xludf.DUMMYFUNCTION("""COMPUTED_VALUE"""),0.3194444444444444)</f>
        <v>0.3194444444</v>
      </c>
      <c r="J88" s="1" t="str">
        <f>IFERROR(__xludf.DUMMYFUNCTION("""COMPUTED_VALUE"""),"B")</f>
        <v>B</v>
      </c>
      <c r="K88" s="1">
        <f>IFERROR(__xludf.DUMMYFUNCTION("""COMPUTED_VALUE"""),297.0)</f>
        <v>297</v>
      </c>
      <c r="L88" s="7">
        <f>IFERROR(__xludf.DUMMYFUNCTION("""COMPUTED_VALUE"""),0.36111111111111105)</f>
        <v>0.3611111111</v>
      </c>
      <c r="M88" s="7">
        <f>IFERROR(__xludf.DUMMYFUNCTION("""COMPUTED_VALUE"""),0.3414583333333333)</f>
        <v>0.3414583333</v>
      </c>
      <c r="O88" s="9">
        <f>IFERROR(__xludf.DUMMYFUNCTION("""COMPUTED_VALUE"""),7375.5)</f>
        <v>7375.5</v>
      </c>
      <c r="P88" s="1" t="str">
        <f>IFERROR(__xludf.DUMMYFUNCTION("""COMPUTED_VALUE"""),"DAL")</f>
        <v>DAL</v>
      </c>
      <c r="Q88" s="1" t="str">
        <f>IFERROR(__xludf.DUMMYFUNCTION("""COMPUTED_VALUE"""),"NO ECAC")</f>
        <v>NO ECAC</v>
      </c>
    </row>
    <row r="89">
      <c r="A89" s="1" t="str">
        <f>IFERROR(__xludf.DUMMYFUNCTION("""COMPUTED_VALUE"""),"RYR39XE")</f>
        <v>RYR39XE</v>
      </c>
      <c r="B89" s="1" t="str">
        <f>IFERROR(__xludf.DUMMYFUNCTION("""COMPUTED_VALUE"""),"B738")</f>
        <v>B738</v>
      </c>
      <c r="C89" s="1" t="str">
        <f>IFERROR(__xludf.DUMMYFUNCTION("""COMPUTED_VALUE"""),"EIDW")</f>
        <v>EIDW</v>
      </c>
      <c r="D89" s="1" t="str">
        <f>IFERROR(__xludf.DUMMYFUNCTION("""COMPUTED_VALUE"""),"LEBL")</f>
        <v>LEBL</v>
      </c>
      <c r="E89" s="1" t="str">
        <f>IFERROR(__xludf.DUMMYFUNCTION("""COMPUTED_VALUE"""),"EIEMK")</f>
        <v>EIEMK</v>
      </c>
      <c r="F89" s="1">
        <f>IFERROR(__xludf.DUMMYFUNCTION("""COMPUTED_VALUE"""),370.0)</f>
        <v>370</v>
      </c>
      <c r="G89" s="7">
        <f>IFERROR(__xludf.DUMMYFUNCTION("""COMPUTED_VALUE"""),0.24444444444444444)</f>
        <v>0.2444444444</v>
      </c>
      <c r="H89" s="1">
        <f>IFERROR(__xludf.DUMMYFUNCTION("""COMPUTED_VALUE"""),22.0)</f>
        <v>22</v>
      </c>
      <c r="I89" s="7">
        <f>IFERROR(__xludf.DUMMYFUNCTION("""COMPUTED_VALUE"""),0.3194444444444444)</f>
        <v>0.3194444444</v>
      </c>
      <c r="J89" s="1" t="str">
        <f>IFERROR(__xludf.DUMMYFUNCTION("""COMPUTED_VALUE"""),"D")</f>
        <v>D</v>
      </c>
      <c r="K89" s="1">
        <f>IFERROR(__xludf.DUMMYFUNCTION("""COMPUTED_VALUE"""),184.0)</f>
        <v>184</v>
      </c>
      <c r="L89" s="7">
        <f>IFERROR(__xludf.DUMMYFUNCTION("""COMPUTED_VALUE"""),0.07499999999999998)</f>
        <v>0.075</v>
      </c>
      <c r="M89" s="7">
        <f>IFERROR(__xludf.DUMMYFUNCTION("""COMPUTED_VALUE"""),0.04701388888888887)</f>
        <v>0.04701388889</v>
      </c>
      <c r="O89" s="9">
        <f>IFERROR(__xludf.DUMMYFUNCTION("""COMPUTED_VALUE"""),936.5166666666663)</f>
        <v>936.5166667</v>
      </c>
      <c r="P89" s="1" t="str">
        <f>IFERROR(__xludf.DUMMYFUNCTION("""COMPUTED_VALUE"""),"RYR")</f>
        <v>RYR</v>
      </c>
      <c r="Q89" s="1" t="str">
        <f>IFERROR(__xludf.DUMMYFUNCTION("""COMPUTED_VALUE"""),"ECAC")</f>
        <v>ECAC</v>
      </c>
    </row>
    <row r="90">
      <c r="A90" s="1" t="str">
        <f>IFERROR(__xludf.DUMMYFUNCTION("""COMPUTED_VALUE"""),"EJU7106")</f>
        <v>EJU7106</v>
      </c>
      <c r="B90" s="1" t="str">
        <f>IFERROR(__xludf.DUMMYFUNCTION("""COMPUTED_VALUE"""),"A319")</f>
        <v>A319</v>
      </c>
      <c r="C90" s="1" t="str">
        <f>IFERROR(__xludf.DUMMYFUNCTION("""COMPUTED_VALUE"""),"LSGG")</f>
        <v>LSGG</v>
      </c>
      <c r="D90" s="1" t="str">
        <f>IFERROR(__xludf.DUMMYFUNCTION("""COMPUTED_VALUE"""),"LEBL")</f>
        <v>LEBL</v>
      </c>
      <c r="E90" s="1" t="str">
        <f>IFERROR(__xludf.DUMMYFUNCTION("""COMPUTED_VALUE"""),"OELVG")</f>
        <v>OELVG</v>
      </c>
      <c r="F90" s="1">
        <f>IFERROR(__xludf.DUMMYFUNCTION("""COMPUTED_VALUE"""),290.0)</f>
        <v>290</v>
      </c>
      <c r="G90" s="7">
        <f>IFERROR(__xludf.DUMMYFUNCTION("""COMPUTED_VALUE"""),0.28125)</f>
        <v>0.28125</v>
      </c>
      <c r="H90" s="1">
        <f>IFERROR(__xludf.DUMMYFUNCTION("""COMPUTED_VALUE"""),10.0)</f>
        <v>10</v>
      </c>
      <c r="I90" s="7">
        <f>IFERROR(__xludf.DUMMYFUNCTION("""COMPUTED_VALUE"""),0.3194444444444444)</f>
        <v>0.3194444444</v>
      </c>
      <c r="J90" s="1" t="str">
        <f>IFERROR(__xludf.DUMMYFUNCTION("""COMPUTED_VALUE"""),"D")</f>
        <v>D</v>
      </c>
      <c r="K90" s="1">
        <f>IFERROR(__xludf.DUMMYFUNCTION("""COMPUTED_VALUE"""),144.0)</f>
        <v>144</v>
      </c>
      <c r="L90" s="7">
        <f>IFERROR(__xludf.DUMMYFUNCTION("""COMPUTED_VALUE"""),0.03819444444444442)</f>
        <v>0.03819444444</v>
      </c>
      <c r="M90" s="7">
        <f>IFERROR(__xludf.DUMMYFUNCTION("""COMPUTED_VALUE"""),0.01854166666666664)</f>
        <v>0.01854166667</v>
      </c>
      <c r="O90" s="9">
        <f>IFERROR(__xludf.DUMMYFUNCTION("""COMPUTED_VALUE"""),369.3499999999995)</f>
        <v>369.35</v>
      </c>
      <c r="P90" s="1" t="str">
        <f>IFERROR(__xludf.DUMMYFUNCTION("""COMPUTED_VALUE"""),"EJU")</f>
        <v>EJU</v>
      </c>
      <c r="Q90" s="1" t="str">
        <f>IFERROR(__xludf.DUMMYFUNCTION("""COMPUTED_VALUE"""),"ECAC")</f>
        <v>ECAC</v>
      </c>
    </row>
    <row r="91">
      <c r="A91" s="1" t="str">
        <f>IFERROR(__xludf.DUMMYFUNCTION("""COMPUTED_VALUE"""),"IBE04AM")</f>
        <v>IBE04AM</v>
      </c>
      <c r="B91" s="1" t="str">
        <f>IFERROR(__xludf.DUMMYFUNCTION("""COMPUTED_VALUE"""),"A321")</f>
        <v>A321</v>
      </c>
      <c r="C91" s="1" t="str">
        <f>IFERROR(__xludf.DUMMYFUNCTION("""COMPUTED_VALUE"""),"LEMD")</f>
        <v>LEMD</v>
      </c>
      <c r="D91" s="1" t="str">
        <f>IFERROR(__xludf.DUMMYFUNCTION("""COMPUTED_VALUE"""),"LEBL")</f>
        <v>LEBL</v>
      </c>
      <c r="E91" s="1" t="str">
        <f>IFERROR(__xludf.DUMMYFUNCTION("""COMPUTED_VALUE"""),"ECJDR")</f>
        <v>ECJDR</v>
      </c>
      <c r="F91" s="1">
        <f>IFERROR(__xludf.DUMMYFUNCTION("""COMPUTED_VALUE"""),300.0)</f>
        <v>300</v>
      </c>
      <c r="G91" s="7">
        <f>IFERROR(__xludf.DUMMYFUNCTION("""COMPUTED_VALUE"""),0.28194444444444444)</f>
        <v>0.2819444444</v>
      </c>
      <c r="H91" s="1">
        <f>IFERROR(__xludf.DUMMYFUNCTION("""COMPUTED_VALUE"""),16.0)</f>
        <v>16</v>
      </c>
      <c r="I91" s="7">
        <f>IFERROR(__xludf.DUMMYFUNCTION("""COMPUTED_VALUE"""),0.3229166666666667)</f>
        <v>0.3229166667</v>
      </c>
      <c r="J91" s="1" t="str">
        <f>IFERROR(__xludf.DUMMYFUNCTION("""COMPUTED_VALUE"""),"D")</f>
        <v>D</v>
      </c>
      <c r="K91" s="1">
        <f>IFERROR(__xludf.DUMMYFUNCTION("""COMPUTED_VALUE"""),207.0)</f>
        <v>207</v>
      </c>
      <c r="L91" s="7">
        <f>IFERROR(__xludf.DUMMYFUNCTION("""COMPUTED_VALUE"""),0.04097222222222224)</f>
        <v>0.04097222222</v>
      </c>
      <c r="M91" s="7">
        <f>IFERROR(__xludf.DUMMYFUNCTION("""COMPUTED_VALUE"""),0.017152777777777795)</f>
        <v>0.01715277778</v>
      </c>
      <c r="O91" s="9">
        <f>IFERROR(__xludf.DUMMYFUNCTION("""COMPUTED_VALUE"""),341.6833333333337)</f>
        <v>341.6833333</v>
      </c>
      <c r="P91" s="1" t="str">
        <f>IFERROR(__xludf.DUMMYFUNCTION("""COMPUTED_VALUE"""),"IBE")</f>
        <v>IBE</v>
      </c>
      <c r="Q91" s="1" t="str">
        <f>IFERROR(__xludf.DUMMYFUNCTION("""COMPUTED_VALUE"""),"ECAC")</f>
        <v>ECAC</v>
      </c>
    </row>
    <row r="92">
      <c r="A92" s="1" t="str">
        <f>IFERROR(__xludf.DUMMYFUNCTION("""COMPUTED_VALUE"""),"VLG13JE")</f>
        <v>VLG13JE</v>
      </c>
      <c r="B92" s="1" t="str">
        <f>IFERROR(__xludf.DUMMYFUNCTION("""COMPUTED_VALUE"""),"A321")</f>
        <v>A321</v>
      </c>
      <c r="C92" s="1" t="str">
        <f>IFERROR(__xludf.DUMMYFUNCTION("""COMPUTED_VALUE"""),"LEBB")</f>
        <v>LEBB</v>
      </c>
      <c r="D92" s="1" t="str">
        <f>IFERROR(__xludf.DUMMYFUNCTION("""COMPUTED_VALUE"""),"LEBL")</f>
        <v>LEBL</v>
      </c>
      <c r="E92" s="1" t="str">
        <f>IFERROR(__xludf.DUMMYFUNCTION("""COMPUTED_VALUE"""),"ECMMU")</f>
        <v>ECMMU</v>
      </c>
      <c r="F92" s="1">
        <f>IFERROR(__xludf.DUMMYFUNCTION("""COMPUTED_VALUE"""),280.0)</f>
        <v>280</v>
      </c>
      <c r="G92" s="7">
        <f>IFERROR(__xludf.DUMMYFUNCTION("""COMPUTED_VALUE"""),0.29305555555555557)</f>
        <v>0.2930555556</v>
      </c>
      <c r="H92" s="1">
        <f>IFERROR(__xludf.DUMMYFUNCTION("""COMPUTED_VALUE"""),10.0)</f>
        <v>10</v>
      </c>
      <c r="I92" s="7">
        <f>IFERROR(__xludf.DUMMYFUNCTION("""COMPUTED_VALUE"""),0.3229166666666667)</f>
        <v>0.3229166667</v>
      </c>
      <c r="J92" s="1" t="str">
        <f>IFERROR(__xludf.DUMMYFUNCTION("""COMPUTED_VALUE"""),"D")</f>
        <v>D</v>
      </c>
      <c r="K92" s="1">
        <f>IFERROR(__xludf.DUMMYFUNCTION("""COMPUTED_VALUE"""),207.0)</f>
        <v>207</v>
      </c>
      <c r="L92" s="7">
        <f>IFERROR(__xludf.DUMMYFUNCTION("""COMPUTED_VALUE"""),0.029861111111111116)</f>
        <v>0.02986111111</v>
      </c>
      <c r="M92" s="7">
        <f>IFERROR(__xludf.DUMMYFUNCTION("""COMPUTED_VALUE"""),0.010208333333333337)</f>
        <v>0.01020833333</v>
      </c>
      <c r="O92" s="9">
        <f>IFERROR(__xludf.DUMMYFUNCTION("""COMPUTED_VALUE"""),203.35000000000008)</f>
        <v>203.35</v>
      </c>
      <c r="P92" s="1" t="str">
        <f>IFERROR(__xludf.DUMMYFUNCTION("""COMPUTED_VALUE"""),"VLG")</f>
        <v>VLG</v>
      </c>
      <c r="Q92" s="1" t="str">
        <f>IFERROR(__xludf.DUMMYFUNCTION("""COMPUTED_VALUE"""),"ECAC")</f>
        <v>ECAC</v>
      </c>
    </row>
    <row r="93">
      <c r="A93" s="1" t="str">
        <f>IFERROR(__xludf.DUMMYFUNCTION("""COMPUTED_VALUE"""),"RYR38YM")</f>
        <v>RYR38YM</v>
      </c>
      <c r="B93" s="1" t="str">
        <f>IFERROR(__xludf.DUMMYFUNCTION("""COMPUTED_VALUE"""),"B738")</f>
        <v>B738</v>
      </c>
      <c r="C93" s="1" t="str">
        <f>IFERROR(__xludf.DUMMYFUNCTION("""COMPUTED_VALUE"""),"LIME")</f>
        <v>LIME</v>
      </c>
      <c r="D93" s="1" t="str">
        <f>IFERROR(__xludf.DUMMYFUNCTION("""COMPUTED_VALUE"""),"LEBL")</f>
        <v>LEBL</v>
      </c>
      <c r="E93" s="1" t="str">
        <f>IFERROR(__xludf.DUMMYFUNCTION("""COMPUTED_VALUE"""),"9HQAL")</f>
        <v>9HQAL</v>
      </c>
      <c r="F93" s="1">
        <f>IFERROR(__xludf.DUMMYFUNCTION("""COMPUTED_VALUE"""),350.0)</f>
        <v>350</v>
      </c>
      <c r="G93" s="7">
        <f>IFERROR(__xludf.DUMMYFUNCTION("""COMPUTED_VALUE"""),0.27291666666666664)</f>
        <v>0.2729166667</v>
      </c>
      <c r="H93" s="1">
        <f>IFERROR(__xludf.DUMMYFUNCTION("""COMPUTED_VALUE"""),10.0)</f>
        <v>10</v>
      </c>
      <c r="I93" s="7">
        <f>IFERROR(__xludf.DUMMYFUNCTION("""COMPUTED_VALUE"""),0.3229166666666667)</f>
        <v>0.3229166667</v>
      </c>
      <c r="J93" s="1" t="str">
        <f>IFERROR(__xludf.DUMMYFUNCTION("""COMPUTED_VALUE"""),"D")</f>
        <v>D</v>
      </c>
      <c r="K93" s="1">
        <f>IFERROR(__xludf.DUMMYFUNCTION("""COMPUTED_VALUE"""),184.0)</f>
        <v>184</v>
      </c>
      <c r="L93" s="7">
        <f>IFERROR(__xludf.DUMMYFUNCTION("""COMPUTED_VALUE"""),0.050000000000000044)</f>
        <v>0.05</v>
      </c>
      <c r="M93" s="7">
        <f>IFERROR(__xludf.DUMMYFUNCTION("""COMPUTED_VALUE"""),0.030347222222222265)</f>
        <v>0.03034722222</v>
      </c>
      <c r="O93" s="9">
        <f>IFERROR(__xludf.DUMMYFUNCTION("""COMPUTED_VALUE"""),604.5166666666676)</f>
        <v>604.5166667</v>
      </c>
      <c r="P93" s="1" t="str">
        <f>IFERROR(__xludf.DUMMYFUNCTION("""COMPUTED_VALUE"""),"RYR")</f>
        <v>RYR</v>
      </c>
      <c r="Q93" s="1" t="str">
        <f>IFERROR(__xludf.DUMMYFUNCTION("""COMPUTED_VALUE"""),"ECAC")</f>
        <v>ECAC</v>
      </c>
    </row>
    <row r="94">
      <c r="A94" s="1" t="str">
        <f>IFERROR(__xludf.DUMMYFUNCTION("""COMPUTED_VALUE"""),"RYR39UM")</f>
        <v>RYR39UM</v>
      </c>
      <c r="B94" s="1" t="str">
        <f>IFERROR(__xludf.DUMMYFUNCTION("""COMPUTED_VALUE"""),"B38M")</f>
        <v>B38M</v>
      </c>
      <c r="C94" s="1" t="str">
        <f>IFERROR(__xludf.DUMMYFUNCTION("""COMPUTED_VALUE"""),"EGPH")</f>
        <v>EGPH</v>
      </c>
      <c r="D94" s="1" t="str">
        <f>IFERROR(__xludf.DUMMYFUNCTION("""COMPUTED_VALUE"""),"LEBL")</f>
        <v>LEBL</v>
      </c>
      <c r="E94" s="1" t="str">
        <f>IFERROR(__xludf.DUMMYFUNCTION("""COMPUTED_VALUE"""),"9HVVI")</f>
        <v>9HVVI</v>
      </c>
      <c r="F94" s="1">
        <f>IFERROR(__xludf.DUMMYFUNCTION("""COMPUTED_VALUE"""),370.0)</f>
        <v>370</v>
      </c>
      <c r="G94" s="7">
        <f>IFERROR(__xludf.DUMMYFUNCTION("""COMPUTED_VALUE"""),0.23055555555555557)</f>
        <v>0.2305555556</v>
      </c>
      <c r="H94" s="1">
        <f>IFERROR(__xludf.DUMMYFUNCTION("""COMPUTED_VALUE"""),12.0)</f>
        <v>12</v>
      </c>
      <c r="I94" s="7">
        <f>IFERROR(__xludf.DUMMYFUNCTION("""COMPUTED_VALUE"""),0.3263888888888889)</f>
        <v>0.3263888889</v>
      </c>
      <c r="J94" s="1" t="str">
        <f>IFERROR(__xludf.DUMMYFUNCTION("""COMPUTED_VALUE"""),"D")</f>
        <v>D</v>
      </c>
      <c r="K94" s="1">
        <f>IFERROR(__xludf.DUMMYFUNCTION("""COMPUTED_VALUE"""),186.0)</f>
        <v>186</v>
      </c>
      <c r="L94" s="7">
        <f>IFERROR(__xludf.DUMMYFUNCTION("""COMPUTED_VALUE"""),0.09583333333333333)</f>
        <v>0.09583333333</v>
      </c>
      <c r="M94" s="7">
        <f>IFERROR(__xludf.DUMMYFUNCTION("""COMPUTED_VALUE"""),0.07479166666666666)</f>
        <v>0.07479166667</v>
      </c>
      <c r="O94" s="9">
        <f>IFERROR(__xludf.DUMMYFUNCTION("""COMPUTED_VALUE"""),1489.85)</f>
        <v>1489.85</v>
      </c>
      <c r="P94" s="1" t="str">
        <f>IFERROR(__xludf.DUMMYFUNCTION("""COMPUTED_VALUE"""),"RYR")</f>
        <v>RYR</v>
      </c>
      <c r="Q94" s="1" t="str">
        <f>IFERROR(__xludf.DUMMYFUNCTION("""COMPUTED_VALUE"""),"ECAC")</f>
        <v>ECAC</v>
      </c>
    </row>
    <row r="95">
      <c r="A95" s="1" t="str">
        <f>IFERROR(__xludf.DUMMYFUNCTION("""COMPUTED_VALUE"""),"VLG6MB")</f>
        <v>VLG6MB</v>
      </c>
      <c r="B95" s="1" t="str">
        <f>IFERROR(__xludf.DUMMYFUNCTION("""COMPUTED_VALUE"""),"A321")</f>
        <v>A321</v>
      </c>
      <c r="C95" s="1" t="str">
        <f>IFERROR(__xludf.DUMMYFUNCTION("""COMPUTED_VALUE"""),"LEIB")</f>
        <v>LEIB</v>
      </c>
      <c r="D95" s="1" t="str">
        <f>IFERROR(__xludf.DUMMYFUNCTION("""COMPUTED_VALUE"""),"LEBL")</f>
        <v>LEBL</v>
      </c>
      <c r="E95" s="1" t="str">
        <f>IFERROR(__xludf.DUMMYFUNCTION("""COMPUTED_VALUE"""),"ECMJR")</f>
        <v>ECMJR</v>
      </c>
      <c r="F95" s="1">
        <f>IFERROR(__xludf.DUMMYFUNCTION("""COMPUTED_VALUE"""),180.0)</f>
        <v>180</v>
      </c>
      <c r="G95" s="7">
        <f>IFERROR(__xludf.DUMMYFUNCTION("""COMPUTED_VALUE"""),0.29583333333333334)</f>
        <v>0.2958333333</v>
      </c>
      <c r="H95" s="1">
        <f>IFERROR(__xludf.DUMMYFUNCTION("""COMPUTED_VALUE"""),10.0)</f>
        <v>10</v>
      </c>
      <c r="I95" s="7">
        <f>IFERROR(__xludf.DUMMYFUNCTION("""COMPUTED_VALUE"""),0.3263888888888889)</f>
        <v>0.3263888889</v>
      </c>
      <c r="J95" s="1" t="str">
        <f>IFERROR(__xludf.DUMMYFUNCTION("""COMPUTED_VALUE"""),"D")</f>
        <v>D</v>
      </c>
      <c r="K95" s="1">
        <f>IFERROR(__xludf.DUMMYFUNCTION("""COMPUTED_VALUE"""),207.0)</f>
        <v>207</v>
      </c>
      <c r="L95" s="7">
        <f>IFERROR(__xludf.DUMMYFUNCTION("""COMPUTED_VALUE"""),0.030555555555555558)</f>
        <v>0.03055555556</v>
      </c>
      <c r="M95" s="7">
        <f>IFERROR(__xludf.DUMMYFUNCTION("""COMPUTED_VALUE"""),0.010902777777777779)</f>
        <v>0.01090277778</v>
      </c>
      <c r="O95" s="9">
        <f>IFERROR(__xludf.DUMMYFUNCTION("""COMPUTED_VALUE"""),217.18333333333337)</f>
        <v>217.1833333</v>
      </c>
      <c r="P95" s="1" t="str">
        <f>IFERROR(__xludf.DUMMYFUNCTION("""COMPUTED_VALUE"""),"VLG")</f>
        <v>VLG</v>
      </c>
      <c r="Q95" s="1" t="str">
        <f>IFERROR(__xludf.DUMMYFUNCTION("""COMPUTED_VALUE"""),"ECAC")</f>
        <v>ECAC</v>
      </c>
    </row>
    <row r="96">
      <c r="A96" s="1" t="str">
        <f>IFERROR(__xludf.DUMMYFUNCTION("""COMPUTED_VALUE"""),"AAL112")</f>
        <v>AAL112</v>
      </c>
      <c r="B96" s="1" t="str">
        <f>IFERROR(__xludf.DUMMYFUNCTION("""COMPUTED_VALUE"""),"B788")</f>
        <v>B788</v>
      </c>
      <c r="C96" s="1" t="str">
        <f>IFERROR(__xludf.DUMMYFUNCTION("""COMPUTED_VALUE"""),"KMIA")</f>
        <v>KMIA</v>
      </c>
      <c r="D96" s="1" t="str">
        <f>IFERROR(__xludf.DUMMYFUNCTION("""COMPUTED_VALUE"""),"LEBL")</f>
        <v>LEBL</v>
      </c>
      <c r="E96" s="1" t="str">
        <f>IFERROR(__xludf.DUMMYFUNCTION("""COMPUTED_VALUE"""),"N803AL")</f>
        <v>N803AL</v>
      </c>
      <c r="F96" s="1">
        <f>IFERROR(__xludf.DUMMYFUNCTION("""COMPUTED_VALUE"""),410.0)</f>
        <v>410</v>
      </c>
      <c r="G96" s="7">
        <f>IFERROR(__xludf.DUMMYFUNCTION("""COMPUTED_VALUE"""),0.00625)</f>
        <v>0.00625</v>
      </c>
      <c r="H96" s="1">
        <f>IFERROR(__xludf.DUMMYFUNCTION("""COMPUTED_VALUE"""),25.0)</f>
        <v>25</v>
      </c>
      <c r="I96" s="7">
        <f>IFERROR(__xludf.DUMMYFUNCTION("""COMPUTED_VALUE"""),0.3263888888888889)</f>
        <v>0.3263888889</v>
      </c>
      <c r="J96" s="1" t="str">
        <f>IFERROR(__xludf.DUMMYFUNCTION("""COMPUTED_VALUE"""),"B")</f>
        <v>B</v>
      </c>
      <c r="K96" s="1">
        <f>IFERROR(__xludf.DUMMYFUNCTION("""COMPUTED_VALUE"""),266.0)</f>
        <v>266</v>
      </c>
      <c r="L96" s="7">
        <f>IFERROR(__xludf.DUMMYFUNCTION("""COMPUTED_VALUE"""),0.3201388888888889)</f>
        <v>0.3201388889</v>
      </c>
      <c r="M96" s="7">
        <f>IFERROR(__xludf.DUMMYFUNCTION("""COMPUTED_VALUE"""),0.2900694444444445)</f>
        <v>0.2900694444</v>
      </c>
      <c r="O96" s="9">
        <f>IFERROR(__xludf.DUMMYFUNCTION("""COMPUTED_VALUE"""),6265.500000000001)</f>
        <v>6265.5</v>
      </c>
      <c r="P96" s="1" t="str">
        <f>IFERROR(__xludf.DUMMYFUNCTION("""COMPUTED_VALUE"""),"AAL")</f>
        <v>AAL</v>
      </c>
      <c r="Q96" s="1" t="str">
        <f>IFERROR(__xludf.DUMMYFUNCTION("""COMPUTED_VALUE"""),"NO ECAC")</f>
        <v>NO ECAC</v>
      </c>
    </row>
    <row r="97">
      <c r="A97" s="1" t="str">
        <f>IFERROR(__xludf.DUMMYFUNCTION("""COMPUTED_VALUE"""),"VLG5RJ")</f>
        <v>VLG5RJ</v>
      </c>
      <c r="B97" s="1" t="str">
        <f>IFERROR(__xludf.DUMMYFUNCTION("""COMPUTED_VALUE"""),"A320")</f>
        <v>A320</v>
      </c>
      <c r="C97" s="1" t="str">
        <f>IFERROR(__xludf.DUMMYFUNCTION("""COMPUTED_VALUE"""),"LEXJ")</f>
        <v>LEXJ</v>
      </c>
      <c r="D97" s="1" t="str">
        <f>IFERROR(__xludf.DUMMYFUNCTION("""COMPUTED_VALUE"""),"LEBL")</f>
        <v>LEBL</v>
      </c>
      <c r="E97" s="1" t="str">
        <f>IFERROR(__xludf.DUMMYFUNCTION("""COMPUTED_VALUE"""),"ECMEL")</f>
        <v>ECMEL</v>
      </c>
      <c r="F97" s="1">
        <f>IFERROR(__xludf.DUMMYFUNCTION("""COMPUTED_VALUE"""),300.0)</f>
        <v>300</v>
      </c>
      <c r="G97" s="7">
        <f>IFERROR(__xludf.DUMMYFUNCTION("""COMPUTED_VALUE"""),0.2951388888888889)</f>
        <v>0.2951388889</v>
      </c>
      <c r="H97" s="1">
        <f>IFERROR(__xludf.DUMMYFUNCTION("""COMPUTED_VALUE"""),5.0)</f>
        <v>5</v>
      </c>
      <c r="I97" s="7">
        <f>IFERROR(__xludf.DUMMYFUNCTION("""COMPUTED_VALUE"""),0.3298611111111111)</f>
        <v>0.3298611111</v>
      </c>
      <c r="J97" s="1" t="str">
        <f>IFERROR(__xludf.DUMMYFUNCTION("""COMPUTED_VALUE"""),"D")</f>
        <v>D</v>
      </c>
      <c r="K97" s="1">
        <f>IFERROR(__xludf.DUMMYFUNCTION("""COMPUTED_VALUE"""),173.0)</f>
        <v>173</v>
      </c>
      <c r="L97" s="7">
        <f>IFERROR(__xludf.DUMMYFUNCTION("""COMPUTED_VALUE"""),0.03472222222222221)</f>
        <v>0.03472222222</v>
      </c>
      <c r="M97" s="7">
        <f>IFERROR(__xludf.DUMMYFUNCTION("""COMPUTED_VALUE"""),0.01854166666666665)</f>
        <v>0.01854166667</v>
      </c>
      <c r="O97" s="9">
        <f>IFERROR(__xludf.DUMMYFUNCTION("""COMPUTED_VALUE"""),369.3499999999997)</f>
        <v>369.35</v>
      </c>
      <c r="P97" s="1" t="str">
        <f>IFERROR(__xludf.DUMMYFUNCTION("""COMPUTED_VALUE"""),"VLG")</f>
        <v>VLG</v>
      </c>
      <c r="Q97" s="1" t="str">
        <f>IFERROR(__xludf.DUMMYFUNCTION("""COMPUTED_VALUE"""),"ECAC")</f>
        <v>ECAC</v>
      </c>
    </row>
    <row r="98">
      <c r="A98" s="1" t="str">
        <f>IFERROR(__xludf.DUMMYFUNCTION("""COMPUTED_VALUE"""),"VLG404P")</f>
        <v>VLG404P</v>
      </c>
      <c r="B98" s="1" t="str">
        <f>IFERROR(__xludf.DUMMYFUNCTION("""COMPUTED_VALUE"""),"A320")</f>
        <v>A320</v>
      </c>
      <c r="C98" s="1" t="str">
        <f>IFERROR(__xludf.DUMMYFUNCTION("""COMPUTED_VALUE"""),"LFPO")</f>
        <v>LFPO</v>
      </c>
      <c r="D98" s="1" t="str">
        <f>IFERROR(__xludf.DUMMYFUNCTION("""COMPUTED_VALUE"""),"LEBL")</f>
        <v>LEBL</v>
      </c>
      <c r="E98" s="1" t="str">
        <f>IFERROR(__xludf.DUMMYFUNCTION("""COMPUTED_VALUE"""),"ECLVU")</f>
        <v>ECLVU</v>
      </c>
      <c r="F98" s="1">
        <f>IFERROR(__xludf.DUMMYFUNCTION("""COMPUTED_VALUE"""),390.0)</f>
        <v>390</v>
      </c>
      <c r="G98" s="7">
        <f>IFERROR(__xludf.DUMMYFUNCTION("""COMPUTED_VALUE"""),0.2722222222222222)</f>
        <v>0.2722222222</v>
      </c>
      <c r="H98" s="1">
        <f>IFERROR(__xludf.DUMMYFUNCTION("""COMPUTED_VALUE"""),12.0)</f>
        <v>12</v>
      </c>
      <c r="I98" s="7">
        <f>IFERROR(__xludf.DUMMYFUNCTION("""COMPUTED_VALUE"""),0.3298611111111111)</f>
        <v>0.3298611111</v>
      </c>
      <c r="J98" s="1" t="str">
        <f>IFERROR(__xludf.DUMMYFUNCTION("""COMPUTED_VALUE"""),"D")</f>
        <v>D</v>
      </c>
      <c r="K98" s="1">
        <f>IFERROR(__xludf.DUMMYFUNCTION("""COMPUTED_VALUE"""),173.0)</f>
        <v>173</v>
      </c>
      <c r="L98" s="7">
        <f>IFERROR(__xludf.DUMMYFUNCTION("""COMPUTED_VALUE"""),0.057638888888888906)</f>
        <v>0.05763888889</v>
      </c>
      <c r="M98" s="7">
        <f>IFERROR(__xludf.DUMMYFUNCTION("""COMPUTED_VALUE"""),0.03659722222222224)</f>
        <v>0.03659722222</v>
      </c>
      <c r="O98" s="9">
        <f>IFERROR(__xludf.DUMMYFUNCTION("""COMPUTED_VALUE"""),729.016666666667)</f>
        <v>729.0166667</v>
      </c>
      <c r="P98" s="1" t="str">
        <f>IFERROR(__xludf.DUMMYFUNCTION("""COMPUTED_VALUE"""),"VLG")</f>
        <v>VLG</v>
      </c>
      <c r="Q98" s="1" t="str">
        <f>IFERROR(__xludf.DUMMYFUNCTION("""COMPUTED_VALUE"""),"ECAC")</f>
        <v>ECAC</v>
      </c>
    </row>
    <row r="99">
      <c r="A99" s="1" t="str">
        <f>IFERROR(__xludf.DUMMYFUNCTION("""COMPUTED_VALUE"""),"WZZ3081")</f>
        <v>WZZ3081</v>
      </c>
      <c r="B99" s="1" t="str">
        <f>IFERROR(__xludf.DUMMYFUNCTION("""COMPUTED_VALUE"""),"A21N")</f>
        <v>A21N</v>
      </c>
      <c r="C99" s="1" t="str">
        <f>IFERROR(__xludf.DUMMYFUNCTION("""COMPUTED_VALUE"""),"EPKK")</f>
        <v>EPKK</v>
      </c>
      <c r="D99" s="1" t="str">
        <f>IFERROR(__xludf.DUMMYFUNCTION("""COMPUTED_VALUE"""),"LEBL")</f>
        <v>LEBL</v>
      </c>
      <c r="E99" s="1" t="str">
        <f>IFERROR(__xludf.DUMMYFUNCTION("""COMPUTED_VALUE"""),"9HWAF")</f>
        <v>9HWAF</v>
      </c>
      <c r="F99" s="1">
        <f>IFERROR(__xludf.DUMMYFUNCTION("""COMPUTED_VALUE"""),370.0)</f>
        <v>370</v>
      </c>
      <c r="G99" s="7">
        <f>IFERROR(__xludf.DUMMYFUNCTION("""COMPUTED_VALUE"""),0.23333333333333334)</f>
        <v>0.2333333333</v>
      </c>
      <c r="H99" s="1">
        <f>IFERROR(__xludf.DUMMYFUNCTION("""COMPUTED_VALUE"""),17.0)</f>
        <v>17</v>
      </c>
      <c r="I99" s="7">
        <f>IFERROR(__xludf.DUMMYFUNCTION("""COMPUTED_VALUE"""),0.3298611111111111)</f>
        <v>0.3298611111</v>
      </c>
      <c r="J99" s="1" t="str">
        <f>IFERROR(__xludf.DUMMYFUNCTION("""COMPUTED_VALUE"""),"D")</f>
        <v>D</v>
      </c>
      <c r="K99" s="1">
        <f>IFERROR(__xludf.DUMMYFUNCTION("""COMPUTED_VALUE"""),200.0)</f>
        <v>200</v>
      </c>
      <c r="L99" s="7">
        <f>IFERROR(__xludf.DUMMYFUNCTION("""COMPUTED_VALUE"""),0.09652777777777777)</f>
        <v>0.09652777778</v>
      </c>
      <c r="M99" s="7">
        <f>IFERROR(__xludf.DUMMYFUNCTION("""COMPUTED_VALUE"""),0.07201388888888888)</f>
        <v>0.07201388889</v>
      </c>
      <c r="O99" s="9">
        <f>IFERROR(__xludf.DUMMYFUNCTION("""COMPUTED_VALUE"""),1434.5166666666664)</f>
        <v>1434.516667</v>
      </c>
      <c r="P99" s="1" t="str">
        <f>IFERROR(__xludf.DUMMYFUNCTION("""COMPUTED_VALUE"""),"WZZ")</f>
        <v>WZZ</v>
      </c>
      <c r="Q99" s="1" t="str">
        <f>IFERROR(__xludf.DUMMYFUNCTION("""COMPUTED_VALUE"""),"ECAC")</f>
        <v>ECAC</v>
      </c>
    </row>
    <row r="100">
      <c r="A100" s="1" t="str">
        <f>IFERROR(__xludf.DUMMYFUNCTION("""COMPUTED_VALUE"""),"EZY53KT")</f>
        <v>EZY53KT</v>
      </c>
      <c r="B100" s="1" t="str">
        <f>IFERROR(__xludf.DUMMYFUNCTION("""COMPUTED_VALUE"""),"A319")</f>
        <v>A319</v>
      </c>
      <c r="C100" s="1" t="str">
        <f>IFERROR(__xludf.DUMMYFUNCTION("""COMPUTED_VALUE"""),"EGGW")</f>
        <v>EGGW</v>
      </c>
      <c r="D100" s="1" t="str">
        <f>IFERROR(__xludf.DUMMYFUNCTION("""COMPUTED_VALUE"""),"LEBL")</f>
        <v>LEBL</v>
      </c>
      <c r="E100" s="1" t="str">
        <f>IFERROR(__xludf.DUMMYFUNCTION("""COMPUTED_VALUE"""),"GEZAN")</f>
        <v>GEZAN</v>
      </c>
      <c r="F100" s="1">
        <f>IFERROR(__xludf.DUMMYFUNCTION("""COMPUTED_VALUE"""),330.0)</f>
        <v>330</v>
      </c>
      <c r="G100" s="7">
        <f>IFERROR(__xludf.DUMMYFUNCTION("""COMPUTED_VALUE"""),0.2638888888888889)</f>
        <v>0.2638888889</v>
      </c>
      <c r="H100" s="1">
        <f>IFERROR(__xludf.DUMMYFUNCTION("""COMPUTED_VALUE"""),14.0)</f>
        <v>14</v>
      </c>
      <c r="I100" s="7">
        <f>IFERROR(__xludf.DUMMYFUNCTION("""COMPUTED_VALUE"""),0.3333333333333333)</f>
        <v>0.3333333333</v>
      </c>
      <c r="J100" s="1" t="str">
        <f>IFERROR(__xludf.DUMMYFUNCTION("""COMPUTED_VALUE"""),"D")</f>
        <v>D</v>
      </c>
      <c r="K100" s="1">
        <f>IFERROR(__xludf.DUMMYFUNCTION("""COMPUTED_VALUE"""),144.0)</f>
        <v>144</v>
      </c>
      <c r="L100" s="7">
        <f>IFERROR(__xludf.DUMMYFUNCTION("""COMPUTED_VALUE"""),0.06944444444444442)</f>
        <v>0.06944444444</v>
      </c>
      <c r="M100" s="7">
        <f>IFERROR(__xludf.DUMMYFUNCTION("""COMPUTED_VALUE"""),0.04701388888888886)</f>
        <v>0.04701388889</v>
      </c>
      <c r="O100" s="9">
        <f>IFERROR(__xludf.DUMMYFUNCTION("""COMPUTED_VALUE"""),936.5166666666662)</f>
        <v>936.5166667</v>
      </c>
      <c r="P100" s="1" t="str">
        <f>IFERROR(__xludf.DUMMYFUNCTION("""COMPUTED_VALUE"""),"EZY")</f>
        <v>EZY</v>
      </c>
      <c r="Q100" s="1" t="str">
        <f>IFERROR(__xludf.DUMMYFUNCTION("""COMPUTED_VALUE"""),"ECAC")</f>
        <v>ECAC</v>
      </c>
    </row>
    <row r="101">
      <c r="A101" s="1" t="str">
        <f>IFERROR(__xludf.DUMMYFUNCTION("""COMPUTED_VALUE"""),"CYP322")</f>
        <v>CYP322</v>
      </c>
      <c r="B101" s="1" t="str">
        <f>IFERROR(__xludf.DUMMYFUNCTION("""COMPUTED_VALUE"""),"BCS3")</f>
        <v>BCS3</v>
      </c>
      <c r="C101" s="1" t="str">
        <f>IFERROR(__xludf.DUMMYFUNCTION("""COMPUTED_VALUE"""),"LCLK")</f>
        <v>LCLK</v>
      </c>
      <c r="D101" s="1" t="str">
        <f>IFERROR(__xludf.DUMMYFUNCTION("""COMPUTED_VALUE"""),"LEBL")</f>
        <v>LEBL</v>
      </c>
      <c r="E101" s="1" t="str">
        <f>IFERROR(__xludf.DUMMYFUNCTION("""COMPUTED_VALUE"""),"5BDEF")</f>
        <v>5BDEF</v>
      </c>
      <c r="F101" s="1">
        <f>IFERROR(__xludf.DUMMYFUNCTION("""COMPUTED_VALUE"""),380.0)</f>
        <v>380</v>
      </c>
      <c r="G101" s="7">
        <f>IFERROR(__xludf.DUMMYFUNCTION("""COMPUTED_VALUE"""),0.1736111111111111)</f>
        <v>0.1736111111</v>
      </c>
      <c r="H101" s="1">
        <f>IFERROR(__xludf.DUMMYFUNCTION("""COMPUTED_VALUE"""),10.0)</f>
        <v>10</v>
      </c>
      <c r="I101" s="7">
        <f>IFERROR(__xludf.DUMMYFUNCTION("""COMPUTED_VALUE"""),0.3333333333333333)</f>
        <v>0.3333333333</v>
      </c>
      <c r="J101" s="1" t="str">
        <f>IFERROR(__xludf.DUMMYFUNCTION("""COMPUTED_VALUE"""),"D")</f>
        <v>D</v>
      </c>
      <c r="K101" s="1">
        <f>IFERROR(__xludf.DUMMYFUNCTION("""COMPUTED_VALUE"""),148.0)</f>
        <v>148</v>
      </c>
      <c r="L101" s="7">
        <f>IFERROR(__xludf.DUMMYFUNCTION("""COMPUTED_VALUE"""),0.1597222222222222)</f>
        <v>0.1597222222</v>
      </c>
      <c r="M101" s="7">
        <f>IFERROR(__xludf.DUMMYFUNCTION("""COMPUTED_VALUE"""),0.14006944444444444)</f>
        <v>0.1400694444</v>
      </c>
      <c r="O101" s="9">
        <f>IFERROR(__xludf.DUMMYFUNCTION("""COMPUTED_VALUE"""),2790.183333333333)</f>
        <v>2790.183333</v>
      </c>
      <c r="P101" s="1" t="str">
        <f>IFERROR(__xludf.DUMMYFUNCTION("""COMPUTED_VALUE"""),"CYP")</f>
        <v>CYP</v>
      </c>
      <c r="Q101" s="1" t="str">
        <f>IFERROR(__xludf.DUMMYFUNCTION("""COMPUTED_VALUE"""),"ECAC")</f>
        <v>ECAC</v>
      </c>
    </row>
    <row r="102">
      <c r="A102" s="1" t="str">
        <f>IFERROR(__xludf.DUMMYFUNCTION("""COMPUTED_VALUE"""),"VLG2009")</f>
        <v>VLG2009</v>
      </c>
      <c r="B102" s="1" t="str">
        <f>IFERROR(__xludf.DUMMYFUNCTION("""COMPUTED_VALUE"""),"A320")</f>
        <v>A320</v>
      </c>
      <c r="C102" s="1" t="str">
        <f>IFERROR(__xludf.DUMMYFUNCTION("""COMPUTED_VALUE"""),"LICB")</f>
        <v>LICB</v>
      </c>
      <c r="D102" s="1" t="str">
        <f>IFERROR(__xludf.DUMMYFUNCTION("""COMPUTED_VALUE"""),"LEBL")</f>
        <v>LEBL</v>
      </c>
      <c r="E102" s="1" t="str">
        <f>IFERROR(__xludf.DUMMYFUNCTION("""COMPUTED_VALUE"""),"ECMBS")</f>
        <v>ECMBS</v>
      </c>
      <c r="F102" s="1">
        <f>IFERROR(__xludf.DUMMYFUNCTION("""COMPUTED_VALUE"""),360.0)</f>
        <v>360</v>
      </c>
      <c r="G102" s="7">
        <f>IFERROR(__xludf.DUMMYFUNCTION("""COMPUTED_VALUE"""),0.26180555555555557)</f>
        <v>0.2618055556</v>
      </c>
      <c r="H102" s="1">
        <f>IFERROR(__xludf.DUMMYFUNCTION("""COMPUTED_VALUE"""),7.0)</f>
        <v>7</v>
      </c>
      <c r="I102" s="7">
        <f>IFERROR(__xludf.DUMMYFUNCTION("""COMPUTED_VALUE"""),0.3333333333333333)</f>
        <v>0.3333333333</v>
      </c>
      <c r="J102" s="1" t="str">
        <f>IFERROR(__xludf.DUMMYFUNCTION("""COMPUTED_VALUE"""),"D")</f>
        <v>D</v>
      </c>
      <c r="K102" s="1">
        <f>IFERROR(__xludf.DUMMYFUNCTION("""COMPUTED_VALUE"""),173.0)</f>
        <v>173</v>
      </c>
      <c r="L102" s="7">
        <f>IFERROR(__xludf.DUMMYFUNCTION("""COMPUTED_VALUE"""),0.07152777777777775)</f>
        <v>0.07152777778</v>
      </c>
      <c r="M102" s="7">
        <f>IFERROR(__xludf.DUMMYFUNCTION("""COMPUTED_VALUE"""),0.0539583333333333)</f>
        <v>0.05395833333</v>
      </c>
      <c r="O102" s="9">
        <f>IFERROR(__xludf.DUMMYFUNCTION("""COMPUTED_VALUE"""),1074.8499999999995)</f>
        <v>1074.85</v>
      </c>
      <c r="P102" s="1" t="str">
        <f>IFERROR(__xludf.DUMMYFUNCTION("""COMPUTED_VALUE"""),"VLG")</f>
        <v>VLG</v>
      </c>
      <c r="Q102" s="1" t="str">
        <f>IFERROR(__xludf.DUMMYFUNCTION("""COMPUTED_VALUE"""),"ECAC")</f>
        <v>ECAC</v>
      </c>
    </row>
    <row r="103">
      <c r="A103" s="1" t="str">
        <f>IFERROR(__xludf.DUMMYFUNCTION("""COMPUTED_VALUE"""),"EIN5HJ")</f>
        <v>EIN5HJ</v>
      </c>
      <c r="B103" s="1" t="str">
        <f>IFERROR(__xludf.DUMMYFUNCTION("""COMPUTED_VALUE"""),"A20N")</f>
        <v>A20N</v>
      </c>
      <c r="C103" s="1" t="str">
        <f>IFERROR(__xludf.DUMMYFUNCTION("""COMPUTED_VALUE"""),"EIDW")</f>
        <v>EIDW</v>
      </c>
      <c r="D103" s="1" t="str">
        <f>IFERROR(__xludf.DUMMYFUNCTION("""COMPUTED_VALUE"""),"LEBL")</f>
        <v>LEBL</v>
      </c>
      <c r="E103" s="1" t="str">
        <f>IFERROR(__xludf.DUMMYFUNCTION("""COMPUTED_VALUE"""),"EINSA")</f>
        <v>EINSA</v>
      </c>
      <c r="F103" s="1">
        <f>IFERROR(__xludf.DUMMYFUNCTION("""COMPUTED_VALUE"""),370.0)</f>
        <v>370</v>
      </c>
      <c r="G103" s="7">
        <f>IFERROR(__xludf.DUMMYFUNCTION("""COMPUTED_VALUE"""),0.2513888888888889)</f>
        <v>0.2513888889</v>
      </c>
      <c r="H103" s="1">
        <f>IFERROR(__xludf.DUMMYFUNCTION("""COMPUTED_VALUE"""),22.0)</f>
        <v>22</v>
      </c>
      <c r="I103" s="7">
        <f>IFERROR(__xludf.DUMMYFUNCTION("""COMPUTED_VALUE"""),0.3368055555555556)</f>
        <v>0.3368055556</v>
      </c>
      <c r="J103" s="1" t="str">
        <f>IFERROR(__xludf.DUMMYFUNCTION("""COMPUTED_VALUE"""),"D")</f>
        <v>D</v>
      </c>
      <c r="K103" s="1">
        <f>IFERROR(__xludf.DUMMYFUNCTION("""COMPUTED_VALUE"""),180.0)</f>
        <v>180</v>
      </c>
      <c r="L103" s="7">
        <f>IFERROR(__xludf.DUMMYFUNCTION("""COMPUTED_VALUE"""),0.0854166666666667)</f>
        <v>0.08541666667</v>
      </c>
      <c r="M103" s="7">
        <f>IFERROR(__xludf.DUMMYFUNCTION("""COMPUTED_VALUE"""),0.05743055555555558)</f>
        <v>0.05743055556</v>
      </c>
      <c r="O103" s="9">
        <f>IFERROR(__xludf.DUMMYFUNCTION("""COMPUTED_VALUE"""),1144.016666666667)</f>
        <v>1144.016667</v>
      </c>
      <c r="P103" s="1" t="str">
        <f>IFERROR(__xludf.DUMMYFUNCTION("""COMPUTED_VALUE"""),"EIN")</f>
        <v>EIN</v>
      </c>
      <c r="Q103" s="1" t="str">
        <f>IFERROR(__xludf.DUMMYFUNCTION("""COMPUTED_VALUE"""),"ECAC")</f>
        <v>ECAC</v>
      </c>
    </row>
    <row r="104">
      <c r="A104" s="1" t="str">
        <f>IFERROR(__xludf.DUMMYFUNCTION("""COMPUTED_VALUE"""),"VLG77TL")</f>
        <v>VLG77TL</v>
      </c>
      <c r="B104" s="1" t="str">
        <f>IFERROR(__xludf.DUMMYFUNCTION("""COMPUTED_VALUE"""),"A20N")</f>
        <v>A20N</v>
      </c>
      <c r="C104" s="1" t="str">
        <f>IFERROR(__xludf.DUMMYFUNCTION("""COMPUTED_VALUE"""),"LFLL")</f>
        <v>LFLL</v>
      </c>
      <c r="D104" s="1" t="str">
        <f>IFERROR(__xludf.DUMMYFUNCTION("""COMPUTED_VALUE"""),"LEBL")</f>
        <v>LEBL</v>
      </c>
      <c r="E104" s="1" t="str">
        <f>IFERROR(__xludf.DUMMYFUNCTION("""COMPUTED_VALUE"""),"ECNDA")</f>
        <v>ECNDA</v>
      </c>
      <c r="F104" s="1">
        <f>IFERROR(__xludf.DUMMYFUNCTION("""COMPUTED_VALUE"""),290.0)</f>
        <v>290</v>
      </c>
      <c r="G104" s="7">
        <f>IFERROR(__xludf.DUMMYFUNCTION("""COMPUTED_VALUE"""),0.3)</f>
        <v>0.3</v>
      </c>
      <c r="H104" s="1">
        <f>IFERROR(__xludf.DUMMYFUNCTION("""COMPUTED_VALUE"""),9.0)</f>
        <v>9</v>
      </c>
      <c r="I104" s="7">
        <f>IFERROR(__xludf.DUMMYFUNCTION("""COMPUTED_VALUE"""),0.3368055555555556)</f>
        <v>0.3368055556</v>
      </c>
      <c r="J104" s="1" t="str">
        <f>IFERROR(__xludf.DUMMYFUNCTION("""COMPUTED_VALUE"""),"D")</f>
        <v>D</v>
      </c>
      <c r="K104" s="1">
        <f>IFERROR(__xludf.DUMMYFUNCTION("""COMPUTED_VALUE"""),180.0)</f>
        <v>180</v>
      </c>
      <c r="L104" s="7">
        <f>IFERROR(__xludf.DUMMYFUNCTION("""COMPUTED_VALUE"""),0.03680555555555559)</f>
        <v>0.03680555556</v>
      </c>
      <c r="M104" s="7">
        <f>IFERROR(__xludf.DUMMYFUNCTION("""COMPUTED_VALUE"""),0.017847222222222257)</f>
        <v>0.01784722222</v>
      </c>
      <c r="O104" s="9">
        <f>IFERROR(__xludf.DUMMYFUNCTION("""COMPUTED_VALUE"""),355.5166666666674)</f>
        <v>355.5166667</v>
      </c>
      <c r="P104" s="1" t="str">
        <f>IFERROR(__xludf.DUMMYFUNCTION("""COMPUTED_VALUE"""),"VLG")</f>
        <v>VLG</v>
      </c>
      <c r="Q104" s="1" t="str">
        <f>IFERROR(__xludf.DUMMYFUNCTION("""COMPUTED_VALUE"""),"ECAC")</f>
        <v>ECAC</v>
      </c>
    </row>
    <row r="105">
      <c r="A105" s="1" t="str">
        <f>IFERROR(__xludf.DUMMYFUNCTION("""COMPUTED_VALUE"""),"RYR64ZN")</f>
        <v>RYR64ZN</v>
      </c>
      <c r="B105" s="1" t="str">
        <f>IFERROR(__xludf.DUMMYFUNCTION("""COMPUTED_VALUE"""),"B738")</f>
        <v>B738</v>
      </c>
      <c r="C105" s="1" t="str">
        <f>IFERROR(__xludf.DUMMYFUNCTION("""COMPUTED_VALUE"""),"LFOB")</f>
        <v>LFOB</v>
      </c>
      <c r="D105" s="1" t="str">
        <f>IFERROR(__xludf.DUMMYFUNCTION("""COMPUTED_VALUE"""),"LEBL")</f>
        <v>LEBL</v>
      </c>
      <c r="E105" s="1" t="str">
        <f>IFERROR(__xludf.DUMMYFUNCTION("""COMPUTED_VALUE"""),"EIEBF")</f>
        <v>EIEBF</v>
      </c>
      <c r="F105" s="1">
        <f>IFERROR(__xludf.DUMMYFUNCTION("""COMPUTED_VALUE"""),370.0)</f>
        <v>370</v>
      </c>
      <c r="G105" s="7">
        <f>IFERROR(__xludf.DUMMYFUNCTION("""COMPUTED_VALUE"""),0.2881944444444444)</f>
        <v>0.2881944444</v>
      </c>
      <c r="H105" s="1">
        <f>IFERROR(__xludf.DUMMYFUNCTION("""COMPUTED_VALUE"""),15.0)</f>
        <v>15</v>
      </c>
      <c r="I105" s="7">
        <f>IFERROR(__xludf.DUMMYFUNCTION("""COMPUTED_VALUE"""),0.3368055555555556)</f>
        <v>0.3368055556</v>
      </c>
      <c r="J105" s="1" t="str">
        <f>IFERROR(__xludf.DUMMYFUNCTION("""COMPUTED_VALUE"""),"D")</f>
        <v>D</v>
      </c>
      <c r="K105" s="1">
        <f>IFERROR(__xludf.DUMMYFUNCTION("""COMPUTED_VALUE"""),184.0)</f>
        <v>184</v>
      </c>
      <c r="L105" s="7">
        <f>IFERROR(__xludf.DUMMYFUNCTION("""COMPUTED_VALUE"""),0.04861111111111116)</f>
        <v>0.04861111111</v>
      </c>
      <c r="M105" s="7">
        <f>IFERROR(__xludf.DUMMYFUNCTION("""COMPUTED_VALUE"""),0.02548611111111116)</f>
        <v>0.02548611111</v>
      </c>
      <c r="O105" s="9">
        <f>IFERROR(__xludf.DUMMYFUNCTION("""COMPUTED_VALUE"""),507.68333333333436)</f>
        <v>507.6833333</v>
      </c>
      <c r="P105" s="1" t="str">
        <f>IFERROR(__xludf.DUMMYFUNCTION("""COMPUTED_VALUE"""),"RYR")</f>
        <v>RYR</v>
      </c>
      <c r="Q105" s="1" t="str">
        <f>IFERROR(__xludf.DUMMYFUNCTION("""COMPUTED_VALUE"""),"ECAC")</f>
        <v>ECAC</v>
      </c>
    </row>
    <row r="106">
      <c r="A106" s="1" t="str">
        <f>IFERROR(__xludf.DUMMYFUNCTION("""COMPUTED_VALUE"""),"EXS73PU")</f>
        <v>EXS73PU</v>
      </c>
      <c r="B106" s="1" t="str">
        <f>IFERROR(__xludf.DUMMYFUNCTION("""COMPUTED_VALUE"""),"B738")</f>
        <v>B738</v>
      </c>
      <c r="C106" s="1" t="str">
        <f>IFERROR(__xludf.DUMMYFUNCTION("""COMPUTED_VALUE"""),"EGBB")</f>
        <v>EGBB</v>
      </c>
      <c r="D106" s="1" t="str">
        <f>IFERROR(__xludf.DUMMYFUNCTION("""COMPUTED_VALUE"""),"LEBL")</f>
        <v>LEBL</v>
      </c>
      <c r="E106" s="1" t="str">
        <f>IFERROR(__xludf.DUMMYFUNCTION("""COMPUTED_VALUE"""),"OMLEX")</f>
        <v>OMLEX</v>
      </c>
      <c r="F106" s="1">
        <f>IFERROR(__xludf.DUMMYFUNCTION("""COMPUTED_VALUE"""),350.0)</f>
        <v>350</v>
      </c>
      <c r="G106" s="7">
        <f>IFERROR(__xludf.DUMMYFUNCTION("""COMPUTED_VALUE"""),0.2604166666666667)</f>
        <v>0.2604166667</v>
      </c>
      <c r="H106" s="1">
        <f>IFERROR(__xludf.DUMMYFUNCTION("""COMPUTED_VALUE"""),15.0)</f>
        <v>15</v>
      </c>
      <c r="I106" s="7">
        <f>IFERROR(__xludf.DUMMYFUNCTION("""COMPUTED_VALUE"""),0.3368055555555556)</f>
        <v>0.3368055556</v>
      </c>
      <c r="J106" s="1" t="str">
        <f>IFERROR(__xludf.DUMMYFUNCTION("""COMPUTED_VALUE"""),"D")</f>
        <v>D</v>
      </c>
      <c r="K106" s="1">
        <f>IFERROR(__xludf.DUMMYFUNCTION("""COMPUTED_VALUE"""),184.0)</f>
        <v>184</v>
      </c>
      <c r="L106" s="7">
        <f>IFERROR(__xludf.DUMMYFUNCTION("""COMPUTED_VALUE"""),0.0763888888888889)</f>
        <v>0.07638888889</v>
      </c>
      <c r="M106" s="7">
        <f>IFERROR(__xludf.DUMMYFUNCTION("""COMPUTED_VALUE"""),0.053263888888888895)</f>
        <v>0.05326388889</v>
      </c>
      <c r="O106" s="9">
        <f>IFERROR(__xludf.DUMMYFUNCTION("""COMPUTED_VALUE"""),1061.0166666666669)</f>
        <v>1061.016667</v>
      </c>
      <c r="P106" s="1" t="str">
        <f>IFERROR(__xludf.DUMMYFUNCTION("""COMPUTED_VALUE"""),"EXS")</f>
        <v>EXS</v>
      </c>
      <c r="Q106" s="1" t="str">
        <f>IFERROR(__xludf.DUMMYFUNCTION("""COMPUTED_VALUE"""),"ECAC")</f>
        <v>ECAC</v>
      </c>
    </row>
    <row r="107">
      <c r="A107" s="1" t="str">
        <f>IFERROR(__xludf.DUMMYFUNCTION("""COMPUTED_VALUE"""),"KLM87P")</f>
        <v>KLM87P</v>
      </c>
      <c r="B107" s="1" t="str">
        <f>IFERROR(__xludf.DUMMYFUNCTION("""COMPUTED_VALUE"""),"B739")</f>
        <v>B739</v>
      </c>
      <c r="C107" s="1" t="str">
        <f>IFERROR(__xludf.DUMMYFUNCTION("""COMPUTED_VALUE"""),"EHAM")</f>
        <v>EHAM</v>
      </c>
      <c r="D107" s="1" t="str">
        <f>IFERROR(__xludf.DUMMYFUNCTION("""COMPUTED_VALUE"""),"LEBL")</f>
        <v>LEBL</v>
      </c>
      <c r="E107" s="1" t="str">
        <f>IFERROR(__xludf.DUMMYFUNCTION("""COMPUTED_VALUE"""),"PHBXS")</f>
        <v>PHBXS</v>
      </c>
      <c r="F107" s="1">
        <f>IFERROR(__xludf.DUMMYFUNCTION("""COMPUTED_VALUE"""),390.0)</f>
        <v>390</v>
      </c>
      <c r="G107" s="7">
        <f>IFERROR(__xludf.DUMMYFUNCTION("""COMPUTED_VALUE"""),0.2708333333333333)</f>
        <v>0.2708333333</v>
      </c>
      <c r="H107" s="1">
        <f>IFERROR(__xludf.DUMMYFUNCTION("""COMPUTED_VALUE"""),17.0)</f>
        <v>17</v>
      </c>
      <c r="I107" s="7">
        <f>IFERROR(__xludf.DUMMYFUNCTION("""COMPUTED_VALUE"""),0.3402777777777778)</f>
        <v>0.3402777778</v>
      </c>
      <c r="J107" s="1" t="str">
        <f>IFERROR(__xludf.DUMMYFUNCTION("""COMPUTED_VALUE"""),"D")</f>
        <v>D</v>
      </c>
      <c r="K107" s="1">
        <f>IFERROR(__xludf.DUMMYFUNCTION("""COMPUTED_VALUE"""),183.0)</f>
        <v>183</v>
      </c>
      <c r="L107" s="7">
        <f>IFERROR(__xludf.DUMMYFUNCTION("""COMPUTED_VALUE"""),0.06944444444444448)</f>
        <v>0.06944444444</v>
      </c>
      <c r="M107" s="7">
        <f>IFERROR(__xludf.DUMMYFUNCTION("""COMPUTED_VALUE"""),0.044930555555555585)</f>
        <v>0.04493055556</v>
      </c>
      <c r="O107" s="9">
        <f>IFERROR(__xludf.DUMMYFUNCTION("""COMPUTED_VALUE"""),895.0166666666672)</f>
        <v>895.0166667</v>
      </c>
      <c r="P107" s="1" t="str">
        <f>IFERROR(__xludf.DUMMYFUNCTION("""COMPUTED_VALUE"""),"KLM")</f>
        <v>KLM</v>
      </c>
      <c r="Q107" s="1" t="str">
        <f>IFERROR(__xludf.DUMMYFUNCTION("""COMPUTED_VALUE"""),"ECAC")</f>
        <v>ECAC</v>
      </c>
    </row>
    <row r="108">
      <c r="A108" s="1" t="str">
        <f>IFERROR(__xludf.DUMMYFUNCTION("""COMPUTED_VALUE"""),"ICC03")</f>
        <v>ICC03</v>
      </c>
      <c r="B108" s="1" t="str">
        <f>IFERROR(__xludf.DUMMYFUNCTION("""COMPUTED_VALUE"""),"C208")</f>
        <v>C208</v>
      </c>
      <c r="C108" s="1" t="str">
        <f>IFERROR(__xludf.DUMMYFUNCTION("""COMPUTED_VALUE"""),"LEBL")</f>
        <v>LEBL</v>
      </c>
      <c r="D108" s="1" t="str">
        <f>IFERROR(__xludf.DUMMYFUNCTION("""COMPUTED_VALUE"""),"LEBL")</f>
        <v>LEBL</v>
      </c>
      <c r="E108" s="1" t="str">
        <f>IFERROR(__xludf.DUMMYFUNCTION("""COMPUTED_VALUE"""),"ECIRV")</f>
        <v>ECIRV</v>
      </c>
      <c r="F108" s="1">
        <f>IFERROR(__xludf.DUMMYFUNCTION("""COMPUTED_VALUE"""),110.0)</f>
        <v>110</v>
      </c>
      <c r="G108" s="7">
        <f>IFERROR(__xludf.DUMMYFUNCTION("""COMPUTED_VALUE"""),0.34305555555555556)</f>
        <v>0.3430555556</v>
      </c>
      <c r="H108" s="1">
        <f>IFERROR(__xludf.DUMMYFUNCTION("""COMPUTED_VALUE"""),14.0)</f>
        <v>14</v>
      </c>
      <c r="I108" s="7">
        <f>IFERROR(__xludf.DUMMYFUNCTION("""COMPUTED_VALUE"""),0.4861111111111111)</f>
        <v>0.4861111111</v>
      </c>
      <c r="J108" s="1" t="str">
        <f>IFERROR(__xludf.DUMMYFUNCTION("""COMPUTED_VALUE"""),"F")</f>
        <v>F</v>
      </c>
      <c r="K108" s="1">
        <f>IFERROR(__xludf.DUMMYFUNCTION("""COMPUTED_VALUE"""),9.0)</f>
        <v>9</v>
      </c>
      <c r="L108" s="7">
        <f>IFERROR(__xludf.DUMMYFUNCTION("""COMPUTED_VALUE"""),0.14305555555555555)</f>
        <v>0.1430555556</v>
      </c>
      <c r="M108" s="7">
        <f>IFERROR(__xludf.DUMMYFUNCTION("""COMPUTED_VALUE"""),0.12062500000000001)</f>
        <v>0.120625</v>
      </c>
      <c r="O108" s="9">
        <f>IFERROR(__xludf.DUMMYFUNCTION("""COMPUTED_VALUE"""),521.1000000000001)</f>
        <v>521.1</v>
      </c>
      <c r="P108" s="1" t="str">
        <f>IFERROR(__xludf.DUMMYFUNCTION("""COMPUTED_VALUE"""),"ICC")</f>
        <v>ICC</v>
      </c>
      <c r="Q108" s="1" t="str">
        <f>IFERROR(__xludf.DUMMYFUNCTION("""COMPUTED_VALUE"""),"ECAC")</f>
        <v>ECAC</v>
      </c>
    </row>
    <row r="109">
      <c r="A109" s="1" t="str">
        <f>IFERROR(__xludf.DUMMYFUNCTION("""COMPUTED_VALUE"""),"NSZ4251")</f>
        <v>NSZ4251</v>
      </c>
      <c r="B109" s="1" t="str">
        <f>IFERROR(__xludf.DUMMYFUNCTION("""COMPUTED_VALUE"""),"B738")</f>
        <v>B738</v>
      </c>
      <c r="C109" s="1" t="str">
        <f>IFERROR(__xludf.DUMMYFUNCTION("""COMPUTED_VALUE"""),"ESSA")</f>
        <v>ESSA</v>
      </c>
      <c r="D109" s="1" t="str">
        <f>IFERROR(__xludf.DUMMYFUNCTION("""COMPUTED_VALUE"""),"LEBL")</f>
        <v>LEBL</v>
      </c>
      <c r="E109" s="1" t="str">
        <f>IFERROR(__xludf.DUMMYFUNCTION("""COMPUTED_VALUE"""),"SERXB")</f>
        <v>SERXB</v>
      </c>
      <c r="F109" s="1">
        <f>IFERROR(__xludf.DUMMYFUNCTION("""COMPUTED_VALUE"""),390.0)</f>
        <v>390</v>
      </c>
      <c r="G109" s="7">
        <f>IFERROR(__xludf.DUMMYFUNCTION("""COMPUTED_VALUE"""),0.21875)</f>
        <v>0.21875</v>
      </c>
      <c r="H109" s="1">
        <f>IFERROR(__xludf.DUMMYFUNCTION("""COMPUTED_VALUE"""),15.0)</f>
        <v>15</v>
      </c>
      <c r="I109" s="7">
        <f>IFERROR(__xludf.DUMMYFUNCTION("""COMPUTED_VALUE"""),0.3472222222222222)</f>
        <v>0.3472222222</v>
      </c>
      <c r="J109" s="1" t="str">
        <f>IFERROR(__xludf.DUMMYFUNCTION("""COMPUTED_VALUE"""),"D")</f>
        <v>D</v>
      </c>
      <c r="K109" s="1">
        <f>IFERROR(__xludf.DUMMYFUNCTION("""COMPUTED_VALUE"""),184.0)</f>
        <v>184</v>
      </c>
      <c r="L109" s="7">
        <f>IFERROR(__xludf.DUMMYFUNCTION("""COMPUTED_VALUE"""),0.1284722222222222)</f>
        <v>0.1284722222</v>
      </c>
      <c r="M109" s="7">
        <f>IFERROR(__xludf.DUMMYFUNCTION("""COMPUTED_VALUE"""),0.1053472222222222)</f>
        <v>0.1053472222</v>
      </c>
      <c r="O109" s="9">
        <f>IFERROR(__xludf.DUMMYFUNCTION("""COMPUTED_VALUE"""),2098.5166666666664)</f>
        <v>2098.516667</v>
      </c>
      <c r="P109" s="1" t="str">
        <f>IFERROR(__xludf.DUMMYFUNCTION("""COMPUTED_VALUE"""),"NSZ")</f>
        <v>NSZ</v>
      </c>
      <c r="Q109" s="1" t="str">
        <f>IFERROR(__xludf.DUMMYFUNCTION("""COMPUTED_VALUE"""),"ECAC")</f>
        <v>ECAC</v>
      </c>
    </row>
    <row r="110">
      <c r="A110" s="1" t="str">
        <f>IFERROR(__xludf.DUMMYFUNCTION("""COMPUTED_VALUE"""),"VLG4NV")</f>
        <v>VLG4NV</v>
      </c>
      <c r="B110" s="1" t="str">
        <f>IFERROR(__xludf.DUMMYFUNCTION("""COMPUTED_VALUE"""),"A320")</f>
        <v>A320</v>
      </c>
      <c r="C110" s="1" t="str">
        <f>IFERROR(__xludf.DUMMYFUNCTION("""COMPUTED_VALUE"""),"LIPE")</f>
        <v>LIPE</v>
      </c>
      <c r="D110" s="1" t="str">
        <f>IFERROR(__xludf.DUMMYFUNCTION("""COMPUTED_VALUE"""),"LEBL")</f>
        <v>LEBL</v>
      </c>
      <c r="E110" s="1" t="str">
        <f>IFERROR(__xludf.DUMMYFUNCTION("""COMPUTED_VALUE"""),"ECMER")</f>
        <v>ECMER</v>
      </c>
      <c r="F110" s="1">
        <f>IFERROR(__xludf.DUMMYFUNCTION("""COMPUTED_VALUE"""),350.0)</f>
        <v>350</v>
      </c>
      <c r="G110" s="7">
        <f>IFERROR(__xludf.DUMMYFUNCTION("""COMPUTED_VALUE"""),0.2916666666666667)</f>
        <v>0.2916666667</v>
      </c>
      <c r="H110" s="1">
        <f>IFERROR(__xludf.DUMMYFUNCTION("""COMPUTED_VALUE"""),15.0)</f>
        <v>15</v>
      </c>
      <c r="I110" s="7">
        <f>IFERROR(__xludf.DUMMYFUNCTION("""COMPUTED_VALUE"""),0.3472222222222222)</f>
        <v>0.3472222222</v>
      </c>
      <c r="J110" s="1" t="str">
        <f>IFERROR(__xludf.DUMMYFUNCTION("""COMPUTED_VALUE"""),"D")</f>
        <v>D</v>
      </c>
      <c r="K110" s="1">
        <f>IFERROR(__xludf.DUMMYFUNCTION("""COMPUTED_VALUE"""),173.0)</f>
        <v>173</v>
      </c>
      <c r="L110" s="7">
        <f>IFERROR(__xludf.DUMMYFUNCTION("""COMPUTED_VALUE"""),0.055555555555555525)</f>
        <v>0.05555555556</v>
      </c>
      <c r="M110" s="7">
        <f>IFERROR(__xludf.DUMMYFUNCTION("""COMPUTED_VALUE"""),0.032430555555555525)</f>
        <v>0.03243055556</v>
      </c>
      <c r="O110" s="9">
        <f>IFERROR(__xludf.DUMMYFUNCTION("""COMPUTED_VALUE"""),646.0166666666661)</f>
        <v>646.0166667</v>
      </c>
      <c r="P110" s="1" t="str">
        <f>IFERROR(__xludf.DUMMYFUNCTION("""COMPUTED_VALUE"""),"VLG")</f>
        <v>VLG</v>
      </c>
      <c r="Q110" s="1" t="str">
        <f>IFERROR(__xludf.DUMMYFUNCTION("""COMPUTED_VALUE"""),"ECAC")</f>
        <v>ECAC</v>
      </c>
    </row>
    <row r="111">
      <c r="A111" s="1" t="str">
        <f>IFERROR(__xludf.DUMMYFUNCTION("""COMPUTED_VALUE"""),"VLG64RZ")</f>
        <v>VLG64RZ</v>
      </c>
      <c r="B111" s="1" t="str">
        <f>IFERROR(__xludf.DUMMYFUNCTION("""COMPUTED_VALUE"""),"A320")</f>
        <v>A320</v>
      </c>
      <c r="C111" s="1" t="str">
        <f>IFERROR(__xludf.DUMMYFUNCTION("""COMPUTED_VALUE"""),"LEMH")</f>
        <v>LEMH</v>
      </c>
      <c r="D111" s="1" t="str">
        <f>IFERROR(__xludf.DUMMYFUNCTION("""COMPUTED_VALUE"""),"LEBL")</f>
        <v>LEBL</v>
      </c>
      <c r="E111" s="1" t="str">
        <f>IFERROR(__xludf.DUMMYFUNCTION("""COMPUTED_VALUE"""),"ECOFX")</f>
        <v>ECOFX</v>
      </c>
      <c r="F111" s="1">
        <f>IFERROR(__xludf.DUMMYFUNCTION("""COMPUTED_VALUE"""),180.0)</f>
        <v>180</v>
      </c>
      <c r="G111" s="7">
        <f>IFERROR(__xludf.DUMMYFUNCTION("""COMPUTED_VALUE"""),0.31527777777777777)</f>
        <v>0.3152777778</v>
      </c>
      <c r="H111" s="1">
        <f>IFERROR(__xludf.DUMMYFUNCTION("""COMPUTED_VALUE"""),11.0)</f>
        <v>11</v>
      </c>
      <c r="I111" s="7">
        <f>IFERROR(__xludf.DUMMYFUNCTION("""COMPUTED_VALUE"""),0.3472222222222222)</f>
        <v>0.3472222222</v>
      </c>
      <c r="J111" s="1" t="str">
        <f>IFERROR(__xludf.DUMMYFUNCTION("""COMPUTED_VALUE"""),"D")</f>
        <v>D</v>
      </c>
      <c r="K111" s="1">
        <f>IFERROR(__xludf.DUMMYFUNCTION("""COMPUTED_VALUE"""),173.0)</f>
        <v>173</v>
      </c>
      <c r="L111" s="7">
        <f>IFERROR(__xludf.DUMMYFUNCTION("""COMPUTED_VALUE"""),0.03194444444444444)</f>
        <v>0.03194444444</v>
      </c>
      <c r="M111" s="7">
        <f>IFERROR(__xludf.DUMMYFUNCTION("""COMPUTED_VALUE"""),0.011597222222222217)</f>
        <v>0.01159722222</v>
      </c>
      <c r="O111" s="9">
        <f>IFERROR(__xludf.DUMMYFUNCTION("""COMPUTED_VALUE"""),231.01666666666657)</f>
        <v>231.0166667</v>
      </c>
      <c r="P111" s="1" t="str">
        <f>IFERROR(__xludf.DUMMYFUNCTION("""COMPUTED_VALUE"""),"VLG")</f>
        <v>VLG</v>
      </c>
      <c r="Q111" s="1" t="str">
        <f>IFERROR(__xludf.DUMMYFUNCTION("""COMPUTED_VALUE"""),"ECAC")</f>
        <v>ECAC</v>
      </c>
    </row>
    <row r="112">
      <c r="A112" s="1" t="str">
        <f>IFERROR(__xludf.DUMMYFUNCTION("""COMPUTED_VALUE"""),"THY90W")</f>
        <v>THY90W</v>
      </c>
      <c r="B112" s="1" t="str">
        <f>IFERROR(__xludf.DUMMYFUNCTION("""COMPUTED_VALUE"""),"A333")</f>
        <v>A333</v>
      </c>
      <c r="C112" s="1" t="str">
        <f>IFERROR(__xludf.DUMMYFUNCTION("""COMPUTED_VALUE"""),"LTFM")</f>
        <v>LTFM</v>
      </c>
      <c r="D112" s="1" t="str">
        <f>IFERROR(__xludf.DUMMYFUNCTION("""COMPUTED_VALUE"""),"LEBL")</f>
        <v>LEBL</v>
      </c>
      <c r="E112" s="1" t="str">
        <f>IFERROR(__xludf.DUMMYFUNCTION("""COMPUTED_VALUE"""),"TCJNJ")</f>
        <v>TCJNJ</v>
      </c>
      <c r="F112" s="1">
        <f>IFERROR(__xludf.DUMMYFUNCTION("""COMPUTED_VALUE"""),390.0)</f>
        <v>390</v>
      </c>
      <c r="G112" s="7">
        <f>IFERROR(__xludf.DUMMYFUNCTION("""COMPUTED_VALUE"""),0.2222222222222222)</f>
        <v>0.2222222222</v>
      </c>
      <c r="H112" s="1">
        <f>IFERROR(__xludf.DUMMYFUNCTION("""COMPUTED_VALUE"""),25.0)</f>
        <v>25</v>
      </c>
      <c r="I112" s="7">
        <f>IFERROR(__xludf.DUMMYFUNCTION("""COMPUTED_VALUE"""),0.3506944444444444)</f>
        <v>0.3506944444</v>
      </c>
      <c r="J112" s="1" t="str">
        <f>IFERROR(__xludf.DUMMYFUNCTION("""COMPUTED_VALUE"""),"B")</f>
        <v>B</v>
      </c>
      <c r="K112" s="1">
        <f>IFERROR(__xludf.DUMMYFUNCTION("""COMPUTED_VALUE"""),284.0)</f>
        <v>284</v>
      </c>
      <c r="L112" s="7">
        <f>IFERROR(__xludf.DUMMYFUNCTION("""COMPUTED_VALUE"""),0.1284722222222222)</f>
        <v>0.1284722222</v>
      </c>
      <c r="M112" s="7">
        <f>IFERROR(__xludf.DUMMYFUNCTION("""COMPUTED_VALUE"""),0.09840277777777776)</f>
        <v>0.09840277778</v>
      </c>
      <c r="O112" s="9">
        <f>IFERROR(__xludf.DUMMYFUNCTION("""COMPUTED_VALUE"""),2125.4999999999995)</f>
        <v>2125.5</v>
      </c>
      <c r="P112" s="1" t="str">
        <f>IFERROR(__xludf.DUMMYFUNCTION("""COMPUTED_VALUE"""),"THY")</f>
        <v>THY</v>
      </c>
      <c r="Q112" s="1" t="str">
        <f>IFERROR(__xludf.DUMMYFUNCTION("""COMPUTED_VALUE"""),"ECAC")</f>
        <v>ECAC</v>
      </c>
    </row>
    <row r="113">
      <c r="A113" s="1" t="str">
        <f>IFERROR(__xludf.DUMMYFUNCTION("""COMPUTED_VALUE"""),"RYR2246")</f>
        <v>RYR2246</v>
      </c>
      <c r="B113" s="1" t="str">
        <f>IFERROR(__xludf.DUMMYFUNCTION("""COMPUTED_VALUE"""),"B738")</f>
        <v>B738</v>
      </c>
      <c r="C113" s="1" t="str">
        <f>IFERROR(__xludf.DUMMYFUNCTION("""COMPUTED_VALUE"""),"LIRF")</f>
        <v>LIRF</v>
      </c>
      <c r="D113" s="1" t="str">
        <f>IFERROR(__xludf.DUMMYFUNCTION("""COMPUTED_VALUE"""),"LEBL")</f>
        <v>LEBL</v>
      </c>
      <c r="E113" s="1" t="str">
        <f>IFERROR(__xludf.DUMMYFUNCTION("""COMPUTED_VALUE"""),"9HQEK")</f>
        <v>9HQEK</v>
      </c>
      <c r="F113" s="1">
        <f>IFERROR(__xludf.DUMMYFUNCTION("""COMPUTED_VALUE"""),330.0)</f>
        <v>330</v>
      </c>
      <c r="G113" s="7">
        <f>IFERROR(__xludf.DUMMYFUNCTION("""COMPUTED_VALUE"""),0.29444444444444445)</f>
        <v>0.2944444444</v>
      </c>
      <c r="H113" s="1">
        <f>IFERROR(__xludf.DUMMYFUNCTION("""COMPUTED_VALUE"""),14.0)</f>
        <v>14</v>
      </c>
      <c r="I113" s="7">
        <f>IFERROR(__xludf.DUMMYFUNCTION("""COMPUTED_VALUE"""),0.3506944444444444)</f>
        <v>0.3506944444</v>
      </c>
      <c r="J113" s="1" t="str">
        <f>IFERROR(__xludf.DUMMYFUNCTION("""COMPUTED_VALUE"""),"D")</f>
        <v>D</v>
      </c>
      <c r="K113" s="1">
        <f>IFERROR(__xludf.DUMMYFUNCTION("""COMPUTED_VALUE"""),184.0)</f>
        <v>184</v>
      </c>
      <c r="L113" s="7">
        <f>IFERROR(__xludf.DUMMYFUNCTION("""COMPUTED_VALUE"""),0.05624999999999997)</f>
        <v>0.05625</v>
      </c>
      <c r="M113" s="7">
        <f>IFERROR(__xludf.DUMMYFUNCTION("""COMPUTED_VALUE"""),0.03381944444444441)</f>
        <v>0.03381944444</v>
      </c>
      <c r="O113" s="9">
        <f>IFERROR(__xludf.DUMMYFUNCTION("""COMPUTED_VALUE"""),673.6833333333327)</f>
        <v>673.6833333</v>
      </c>
      <c r="P113" s="1" t="str">
        <f>IFERROR(__xludf.DUMMYFUNCTION("""COMPUTED_VALUE"""),"RYR")</f>
        <v>RYR</v>
      </c>
      <c r="Q113" s="1" t="str">
        <f>IFERROR(__xludf.DUMMYFUNCTION("""COMPUTED_VALUE"""),"ECAC")</f>
        <v>ECAC</v>
      </c>
    </row>
    <row r="114">
      <c r="A114" s="1" t="str">
        <f>IFERROR(__xludf.DUMMYFUNCTION("""COMPUTED_VALUE"""),"EZY94BU")</f>
        <v>EZY94BU</v>
      </c>
      <c r="B114" s="1" t="str">
        <f>IFERROR(__xludf.DUMMYFUNCTION("""COMPUTED_VALUE"""),"A320")</f>
        <v>A320</v>
      </c>
      <c r="C114" s="1" t="str">
        <f>IFERROR(__xludf.DUMMYFUNCTION("""COMPUTED_VALUE"""),"EGPF")</f>
        <v>EGPF</v>
      </c>
      <c r="D114" s="1" t="str">
        <f>IFERROR(__xludf.DUMMYFUNCTION("""COMPUTED_VALUE"""),"LEBL")</f>
        <v>LEBL</v>
      </c>
      <c r="E114" s="1" t="str">
        <f>IFERROR(__xludf.DUMMYFUNCTION("""COMPUTED_VALUE"""),"GEZOK")</f>
        <v>GEZOK</v>
      </c>
      <c r="F114" s="1">
        <f>IFERROR(__xludf.DUMMYFUNCTION("""COMPUTED_VALUE"""),370.0)</f>
        <v>370</v>
      </c>
      <c r="G114" s="7">
        <f>IFERROR(__xludf.DUMMYFUNCTION("""COMPUTED_VALUE"""),0.2534722222222222)</f>
        <v>0.2534722222</v>
      </c>
      <c r="H114" s="1">
        <f>IFERROR(__xludf.DUMMYFUNCTION("""COMPUTED_VALUE"""),1.0)</f>
        <v>1</v>
      </c>
      <c r="I114" s="7">
        <f>IFERROR(__xludf.DUMMYFUNCTION("""COMPUTED_VALUE"""),0.3506944444444444)</f>
        <v>0.3506944444</v>
      </c>
      <c r="J114" s="1" t="str">
        <f>IFERROR(__xludf.DUMMYFUNCTION("""COMPUTED_VALUE"""),"D")</f>
        <v>D</v>
      </c>
      <c r="K114" s="1">
        <f>IFERROR(__xludf.DUMMYFUNCTION("""COMPUTED_VALUE"""),173.0)</f>
        <v>173</v>
      </c>
      <c r="L114" s="7">
        <f>IFERROR(__xludf.DUMMYFUNCTION("""COMPUTED_VALUE"""),0.09722222222222221)</f>
        <v>0.09722222222</v>
      </c>
      <c r="M114" s="7">
        <f>IFERROR(__xludf.DUMMYFUNCTION("""COMPUTED_VALUE"""),0.08381944444444443)</f>
        <v>0.08381944444</v>
      </c>
      <c r="O114" s="9">
        <f>IFERROR(__xludf.DUMMYFUNCTION("""COMPUTED_VALUE"""),1669.683333333333)</f>
        <v>1669.683333</v>
      </c>
      <c r="P114" s="1" t="str">
        <f>IFERROR(__xludf.DUMMYFUNCTION("""COMPUTED_VALUE"""),"EZY")</f>
        <v>EZY</v>
      </c>
      <c r="Q114" s="1" t="str">
        <f>IFERROR(__xludf.DUMMYFUNCTION("""COMPUTED_VALUE"""),"ECAC")</f>
        <v>ECAC</v>
      </c>
    </row>
    <row r="115">
      <c r="A115" s="1" t="str">
        <f>IFERROR(__xludf.DUMMYFUNCTION("""COMPUTED_VALUE"""),"WJA66")</f>
        <v>WJA66</v>
      </c>
      <c r="B115" s="1" t="str">
        <f>IFERROR(__xludf.DUMMYFUNCTION("""COMPUTED_VALUE"""),"B38M")</f>
        <v>B38M</v>
      </c>
      <c r="C115" s="1" t="str">
        <f>IFERROR(__xludf.DUMMYFUNCTION("""COMPUTED_VALUE"""),"CYHZ")</f>
        <v>CYHZ</v>
      </c>
      <c r="D115" s="1" t="str">
        <f>IFERROR(__xludf.DUMMYFUNCTION("""COMPUTED_VALUE"""),"LEBL")</f>
        <v>LEBL</v>
      </c>
      <c r="E115" s="1" t="str">
        <f>IFERROR(__xludf.DUMMYFUNCTION("""COMPUTED_VALUE"""),"CGEHF")</f>
        <v>CGEHF</v>
      </c>
      <c r="F115" s="1">
        <f>IFERROR(__xludf.DUMMYFUNCTION("""COMPUTED_VALUE"""),380.0)</f>
        <v>380</v>
      </c>
      <c r="G115" s="7">
        <f>IFERROR(__xludf.DUMMYFUNCTION("""COMPUTED_VALUE"""),0.0625)</f>
        <v>0.0625</v>
      </c>
      <c r="H115" s="1">
        <f>IFERROR(__xludf.DUMMYFUNCTION("""COMPUTED_VALUE"""),10.0)</f>
        <v>10</v>
      </c>
      <c r="I115" s="7">
        <f>IFERROR(__xludf.DUMMYFUNCTION("""COMPUTED_VALUE"""),0.3506944444444444)</f>
        <v>0.3506944444</v>
      </c>
      <c r="J115" s="1" t="str">
        <f>IFERROR(__xludf.DUMMYFUNCTION("""COMPUTED_VALUE"""),"D")</f>
        <v>D</v>
      </c>
      <c r="K115" s="1">
        <f>IFERROR(__xludf.DUMMYFUNCTION("""COMPUTED_VALUE"""),186.0)</f>
        <v>186</v>
      </c>
      <c r="L115" s="7">
        <f>IFERROR(__xludf.DUMMYFUNCTION("""COMPUTED_VALUE"""),0.2881944444444444)</f>
        <v>0.2881944444</v>
      </c>
      <c r="M115" s="7">
        <f>IFERROR(__xludf.DUMMYFUNCTION("""COMPUTED_VALUE"""),0.2685416666666667)</f>
        <v>0.2685416667</v>
      </c>
      <c r="O115" s="9">
        <f>IFERROR(__xludf.DUMMYFUNCTION("""COMPUTED_VALUE"""),5349.35)</f>
        <v>5349.35</v>
      </c>
      <c r="P115" s="1" t="str">
        <f>IFERROR(__xludf.DUMMYFUNCTION("""COMPUTED_VALUE"""),"WJA")</f>
        <v>WJA</v>
      </c>
      <c r="Q115" s="1" t="str">
        <f>IFERROR(__xludf.DUMMYFUNCTION("""COMPUTED_VALUE"""),"NO ECAC")</f>
        <v>NO ECAC</v>
      </c>
    </row>
    <row r="116">
      <c r="A116" s="1" t="str">
        <f>IFERROR(__xludf.DUMMYFUNCTION("""COMPUTED_VALUE"""),"VLG2485")</f>
        <v>VLG2485</v>
      </c>
      <c r="B116" s="1" t="str">
        <f>IFERROR(__xludf.DUMMYFUNCTION("""COMPUTED_VALUE"""),"A319")</f>
        <v>A319</v>
      </c>
      <c r="C116" s="1" t="str">
        <f>IFERROR(__xludf.DUMMYFUNCTION("""COMPUTED_VALUE"""),"LESO")</f>
        <v>LESO</v>
      </c>
      <c r="D116" s="1" t="str">
        <f>IFERROR(__xludf.DUMMYFUNCTION("""COMPUTED_VALUE"""),"LEBL")</f>
        <v>LEBL</v>
      </c>
      <c r="E116" s="1" t="str">
        <f>IFERROR(__xludf.DUMMYFUNCTION("""COMPUTED_VALUE"""),"ECMIQ")</f>
        <v>ECMIQ</v>
      </c>
      <c r="F116" s="1">
        <f>IFERROR(__xludf.DUMMYFUNCTION("""COMPUTED_VALUE"""),300.0)</f>
        <v>300</v>
      </c>
      <c r="G116" s="7">
        <f>IFERROR(__xludf.DUMMYFUNCTION("""COMPUTED_VALUE"""),0.3173611111111111)</f>
        <v>0.3173611111</v>
      </c>
      <c r="H116" s="1">
        <f>IFERROR(__xludf.DUMMYFUNCTION("""COMPUTED_VALUE"""),7.0)</f>
        <v>7</v>
      </c>
      <c r="I116" s="7">
        <f>IFERROR(__xludf.DUMMYFUNCTION("""COMPUTED_VALUE"""),0.3506944444444444)</f>
        <v>0.3506944444</v>
      </c>
      <c r="J116" s="1" t="str">
        <f>IFERROR(__xludf.DUMMYFUNCTION("""COMPUTED_VALUE"""),"D")</f>
        <v>D</v>
      </c>
      <c r="K116" s="1">
        <f>IFERROR(__xludf.DUMMYFUNCTION("""COMPUTED_VALUE"""),144.0)</f>
        <v>144</v>
      </c>
      <c r="L116" s="7">
        <f>IFERROR(__xludf.DUMMYFUNCTION("""COMPUTED_VALUE"""),0.033333333333333326)</f>
        <v>0.03333333333</v>
      </c>
      <c r="M116" s="7">
        <f>IFERROR(__xludf.DUMMYFUNCTION("""COMPUTED_VALUE"""),0.01576388888888888)</f>
        <v>0.01576388889</v>
      </c>
      <c r="O116" s="9">
        <f>IFERROR(__xludf.DUMMYFUNCTION("""COMPUTED_VALUE"""),314.0166666666665)</f>
        <v>314.0166667</v>
      </c>
      <c r="P116" s="1" t="str">
        <f>IFERROR(__xludf.DUMMYFUNCTION("""COMPUTED_VALUE"""),"VLG")</f>
        <v>VLG</v>
      </c>
      <c r="Q116" s="1" t="str">
        <f>IFERROR(__xludf.DUMMYFUNCTION("""COMPUTED_VALUE"""),"NO ECAC")</f>
        <v>NO ECAC</v>
      </c>
    </row>
    <row r="117">
      <c r="A117" s="1" t="str">
        <f>IFERROR(__xludf.DUMMYFUNCTION("""COMPUTED_VALUE"""),"JCO025M")</f>
        <v>JCO025M</v>
      </c>
      <c r="B117" s="1" t="str">
        <f>IFERROR(__xludf.DUMMYFUNCTION("""COMPUTED_VALUE"""),"GLEX")</f>
        <v>GLEX</v>
      </c>
      <c r="C117" s="1" t="str">
        <f>IFERROR(__xludf.DUMMYFUNCTION("""COMPUTED_VALUE"""),"LGRP")</f>
        <v>LGRP</v>
      </c>
      <c r="D117" s="1" t="str">
        <f>IFERROR(__xludf.DUMMYFUNCTION("""COMPUTED_VALUE"""),"LEBL")</f>
        <v>LEBL</v>
      </c>
      <c r="E117" s="1" t="str">
        <f>IFERROR(__xludf.DUMMYFUNCTION("""COMPUTED_VALUE"""),"GIFMI")</f>
        <v>GIFMI</v>
      </c>
      <c r="F117" s="1">
        <f>IFERROR(__xludf.DUMMYFUNCTION("""COMPUTED_VALUE"""),430.0)</f>
        <v>430</v>
      </c>
      <c r="G117" s="7">
        <f>IFERROR(__xludf.DUMMYFUNCTION("""COMPUTED_VALUE"""),0.225)</f>
        <v>0.225</v>
      </c>
      <c r="H117" s="1">
        <f>IFERROR(__xludf.DUMMYFUNCTION("""COMPUTED_VALUE"""),8.0)</f>
        <v>8</v>
      </c>
      <c r="I117" s="7">
        <f>IFERROR(__xludf.DUMMYFUNCTION("""COMPUTED_VALUE"""),0.3506944444444444)</f>
        <v>0.3506944444</v>
      </c>
      <c r="J117" s="1" t="str">
        <f>IFERROR(__xludf.DUMMYFUNCTION("""COMPUTED_VALUE"""),"E")</f>
        <v>E</v>
      </c>
      <c r="K117" s="1">
        <f>IFERROR(__xludf.DUMMYFUNCTION("""COMPUTED_VALUE"""),15.0)</f>
        <v>15</v>
      </c>
      <c r="L117" s="7">
        <f>IFERROR(__xludf.DUMMYFUNCTION("""COMPUTED_VALUE"""),0.12569444444444441)</f>
        <v>0.1256944444</v>
      </c>
      <c r="M117" s="7">
        <f>IFERROR(__xludf.DUMMYFUNCTION("""COMPUTED_VALUE"""),0.10743055555555553)</f>
        <v>0.1074305556</v>
      </c>
      <c r="O117" s="9">
        <f>IFERROR(__xludf.DUMMYFUNCTION("""COMPUTED_VALUE"""),1160.2499999999998)</f>
        <v>1160.25</v>
      </c>
      <c r="P117" s="1" t="str">
        <f>IFERROR(__xludf.DUMMYFUNCTION("""COMPUTED_VALUE"""),"JCO")</f>
        <v>JCO</v>
      </c>
      <c r="Q117" s="1" t="str">
        <f>IFERROR(__xludf.DUMMYFUNCTION("""COMPUTED_VALUE"""),"ECAC")</f>
        <v>ECAC</v>
      </c>
    </row>
    <row r="118">
      <c r="A118" s="1" t="str">
        <f>IFERROR(__xludf.DUMMYFUNCTION("""COMPUTED_VALUE"""),"VLG2EE")</f>
        <v>VLG2EE</v>
      </c>
      <c r="B118" s="1" t="str">
        <f>IFERROR(__xludf.DUMMYFUNCTION("""COMPUTED_VALUE"""),"A320")</f>
        <v>A320</v>
      </c>
      <c r="C118" s="1" t="str">
        <f>IFERROR(__xludf.DUMMYFUNCTION("""COMPUTED_VALUE"""),"GCLP")</f>
        <v>GCLP</v>
      </c>
      <c r="D118" s="1" t="str">
        <f>IFERROR(__xludf.DUMMYFUNCTION("""COMPUTED_VALUE"""),"LEBL")</f>
        <v>LEBL</v>
      </c>
      <c r="E118" s="1" t="str">
        <f>IFERROR(__xludf.DUMMYFUNCTION("""COMPUTED_VALUE"""),"ECLLJ")</f>
        <v>ECLLJ</v>
      </c>
      <c r="F118" s="1">
        <f>IFERROR(__xludf.DUMMYFUNCTION("""COMPUTED_VALUE"""),380.0)</f>
        <v>380</v>
      </c>
      <c r="G118" s="7">
        <f>IFERROR(__xludf.DUMMYFUNCTION("""COMPUTED_VALUE"""),0.2375)</f>
        <v>0.2375</v>
      </c>
      <c r="H118" s="1">
        <f>IFERROR(__xludf.DUMMYFUNCTION("""COMPUTED_VALUE"""),14.0)</f>
        <v>14</v>
      </c>
      <c r="I118" s="7">
        <f>IFERROR(__xludf.DUMMYFUNCTION("""COMPUTED_VALUE"""),0.3506944444444444)</f>
        <v>0.3506944444</v>
      </c>
      <c r="J118" s="1" t="str">
        <f>IFERROR(__xludf.DUMMYFUNCTION("""COMPUTED_VALUE"""),"D")</f>
        <v>D</v>
      </c>
      <c r="K118" s="1">
        <f>IFERROR(__xludf.DUMMYFUNCTION("""COMPUTED_VALUE"""),173.0)</f>
        <v>173</v>
      </c>
      <c r="L118" s="7">
        <f>IFERROR(__xludf.DUMMYFUNCTION("""COMPUTED_VALUE"""),0.11319444444444443)</f>
        <v>0.1131944444</v>
      </c>
      <c r="M118" s="7">
        <f>IFERROR(__xludf.DUMMYFUNCTION("""COMPUTED_VALUE"""),0.09076388888888887)</f>
        <v>0.09076388889</v>
      </c>
      <c r="O118" s="9">
        <f>IFERROR(__xludf.DUMMYFUNCTION("""COMPUTED_VALUE"""),1808.0166666666662)</f>
        <v>1808.016667</v>
      </c>
      <c r="P118" s="1" t="str">
        <f>IFERROR(__xludf.DUMMYFUNCTION("""COMPUTED_VALUE"""),"VLG")</f>
        <v>VLG</v>
      </c>
      <c r="Q118" s="1" t="str">
        <f>IFERROR(__xludf.DUMMYFUNCTION("""COMPUTED_VALUE"""),"ECAC")</f>
        <v>ECAC</v>
      </c>
    </row>
    <row r="119">
      <c r="A119" s="1" t="str">
        <f>IFERROR(__xludf.DUMMYFUNCTION("""COMPUTED_VALUE"""),"VLG22YH")</f>
        <v>VLG22YH</v>
      </c>
      <c r="B119" s="1" t="str">
        <f>IFERROR(__xludf.DUMMYFUNCTION("""COMPUTED_VALUE"""),"A20N")</f>
        <v>A20N</v>
      </c>
      <c r="C119" s="1" t="str">
        <f>IFERROR(__xludf.DUMMYFUNCTION("""COMPUTED_VALUE"""),"LIMJ")</f>
        <v>LIMJ</v>
      </c>
      <c r="D119" s="1" t="str">
        <f>IFERROR(__xludf.DUMMYFUNCTION("""COMPUTED_VALUE"""),"LEBL")</f>
        <v>LEBL</v>
      </c>
      <c r="E119" s="1" t="str">
        <f>IFERROR(__xludf.DUMMYFUNCTION("""COMPUTED_VALUE"""),"ECNCU")</f>
        <v>ECNCU</v>
      </c>
      <c r="F119" s="1">
        <f>IFERROR(__xludf.DUMMYFUNCTION("""COMPUTED_VALUE"""),330.0)</f>
        <v>330</v>
      </c>
      <c r="G119" s="7">
        <f>IFERROR(__xludf.DUMMYFUNCTION("""COMPUTED_VALUE"""),0.31180555555555556)</f>
        <v>0.3118055556</v>
      </c>
      <c r="H119" s="1">
        <f>IFERROR(__xludf.DUMMYFUNCTION("""COMPUTED_VALUE"""),11.0)</f>
        <v>11</v>
      </c>
      <c r="I119" s="7">
        <f>IFERROR(__xludf.DUMMYFUNCTION("""COMPUTED_VALUE"""),0.3541666666666667)</f>
        <v>0.3541666667</v>
      </c>
      <c r="J119" s="1" t="str">
        <f>IFERROR(__xludf.DUMMYFUNCTION("""COMPUTED_VALUE"""),"D")</f>
        <v>D</v>
      </c>
      <c r="K119" s="1">
        <f>IFERROR(__xludf.DUMMYFUNCTION("""COMPUTED_VALUE"""),180.0)</f>
        <v>180</v>
      </c>
      <c r="L119" s="7">
        <f>IFERROR(__xludf.DUMMYFUNCTION("""COMPUTED_VALUE"""),0.04236111111111113)</f>
        <v>0.04236111111</v>
      </c>
      <c r="M119" s="7">
        <f>IFERROR(__xludf.DUMMYFUNCTION("""COMPUTED_VALUE"""),0.022013888888888902)</f>
        <v>0.02201388889</v>
      </c>
      <c r="O119" s="9">
        <f>IFERROR(__xludf.DUMMYFUNCTION("""COMPUTED_VALUE"""),438.51666666666694)</f>
        <v>438.5166667</v>
      </c>
      <c r="P119" s="1" t="str">
        <f>IFERROR(__xludf.DUMMYFUNCTION("""COMPUTED_VALUE"""),"VLG")</f>
        <v>VLG</v>
      </c>
      <c r="Q119" s="1" t="str">
        <f>IFERROR(__xludf.DUMMYFUNCTION("""COMPUTED_VALUE"""),"ECAC")</f>
        <v>ECAC</v>
      </c>
    </row>
    <row r="120">
      <c r="A120" s="1" t="str">
        <f>IFERROR(__xludf.DUMMYFUNCTION("""COMPUTED_VALUE"""),"AAL192")</f>
        <v>AAL192</v>
      </c>
      <c r="B120" s="1" t="str">
        <f>IFERROR(__xludf.DUMMYFUNCTION("""COMPUTED_VALUE"""),"B789")</f>
        <v>B789</v>
      </c>
      <c r="C120" s="1" t="str">
        <f>IFERROR(__xludf.DUMMYFUNCTION("""COMPUTED_VALUE"""),"KDFW")</f>
        <v>KDFW</v>
      </c>
      <c r="D120" s="1" t="str">
        <f>IFERROR(__xludf.DUMMYFUNCTION("""COMPUTED_VALUE"""),"LEBL")</f>
        <v>LEBL</v>
      </c>
      <c r="E120" s="1" t="str">
        <f>IFERROR(__xludf.DUMMYFUNCTION("""COMPUTED_VALUE"""),"N826AN")</f>
        <v>N826AN</v>
      </c>
      <c r="F120" s="1">
        <f>IFERROR(__xludf.DUMMYFUNCTION("""COMPUTED_VALUE"""),410.0)</f>
        <v>410</v>
      </c>
      <c r="G120" s="7">
        <f>IFERROR(__xludf.DUMMYFUNCTION("""COMPUTED_VALUE"""),0.95)</f>
        <v>0.95</v>
      </c>
      <c r="H120" s="1">
        <f>IFERROR(__xludf.DUMMYFUNCTION("""COMPUTED_VALUE"""),18.0)</f>
        <v>18</v>
      </c>
      <c r="I120" s="7">
        <f>IFERROR(__xludf.DUMMYFUNCTION("""COMPUTED_VALUE"""),0.3541666666666667)</f>
        <v>0.3541666667</v>
      </c>
      <c r="J120" s="1" t="str">
        <f>IFERROR(__xludf.DUMMYFUNCTION("""COMPUTED_VALUE"""),"B")</f>
        <v>B</v>
      </c>
      <c r="K120" s="1">
        <f>IFERROR(__xludf.DUMMYFUNCTION("""COMPUTED_VALUE"""),284.0)</f>
        <v>284</v>
      </c>
      <c r="L120" s="7">
        <f>IFERROR(__xludf.DUMMYFUNCTION("""COMPUTED_VALUE"""),0.4041666666666668)</f>
        <v>0.4041666667</v>
      </c>
      <c r="M120" s="7">
        <f>IFERROR(__xludf.DUMMYFUNCTION("""COMPUTED_VALUE"""),0.37895833333333345)</f>
        <v>0.3789583333</v>
      </c>
      <c r="O120" s="9">
        <f>IFERROR(__xludf.DUMMYFUNCTION("""COMPUTED_VALUE"""),8185.500000000002)</f>
        <v>8185.5</v>
      </c>
      <c r="P120" s="1" t="str">
        <f>IFERROR(__xludf.DUMMYFUNCTION("""COMPUTED_VALUE"""),"AAL")</f>
        <v>AAL</v>
      </c>
      <c r="Q120" s="1" t="str">
        <f>IFERROR(__xludf.DUMMYFUNCTION("""COMPUTED_VALUE"""),"NO ECAC")</f>
        <v>NO ECAC</v>
      </c>
    </row>
    <row r="121">
      <c r="A121" s="1" t="str">
        <f>IFERROR(__xludf.DUMMYFUNCTION("""COMPUTED_VALUE"""),"AHY045")</f>
        <v>AHY045</v>
      </c>
      <c r="B121" s="1" t="str">
        <f>IFERROR(__xludf.DUMMYFUNCTION("""COMPUTED_VALUE"""),"A319")</f>
        <v>A319</v>
      </c>
      <c r="C121" s="1" t="str">
        <f>IFERROR(__xludf.DUMMYFUNCTION("""COMPUTED_VALUE"""),"UBBB")</f>
        <v>UBBB</v>
      </c>
      <c r="D121" s="1" t="str">
        <f>IFERROR(__xludf.DUMMYFUNCTION("""COMPUTED_VALUE"""),"LEBL")</f>
        <v>LEBL</v>
      </c>
      <c r="E121" s="1" t="str">
        <f>IFERROR(__xludf.DUMMYFUNCTION("""COMPUTED_VALUE"""),"4KAZ03")</f>
        <v>4KAZ03</v>
      </c>
      <c r="F121" s="1">
        <f>IFERROR(__xludf.DUMMYFUNCTION("""COMPUTED_VALUE"""),370.0)</f>
        <v>370</v>
      </c>
      <c r="G121" s="7">
        <f>IFERROR(__xludf.DUMMYFUNCTION("""COMPUTED_VALUE"""),0.125)</f>
        <v>0.125</v>
      </c>
      <c r="H121" s="1">
        <f>IFERROR(__xludf.DUMMYFUNCTION("""COMPUTED_VALUE"""),10.0)</f>
        <v>10</v>
      </c>
      <c r="I121" s="7">
        <f>IFERROR(__xludf.DUMMYFUNCTION("""COMPUTED_VALUE"""),0.3541666666666667)</f>
        <v>0.3541666667</v>
      </c>
      <c r="J121" s="1" t="str">
        <f>IFERROR(__xludf.DUMMYFUNCTION("""COMPUTED_VALUE"""),"D")</f>
        <v>D</v>
      </c>
      <c r="K121" s="1">
        <f>IFERROR(__xludf.DUMMYFUNCTION("""COMPUTED_VALUE"""),144.0)</f>
        <v>144</v>
      </c>
      <c r="L121" s="7">
        <f>IFERROR(__xludf.DUMMYFUNCTION("""COMPUTED_VALUE"""),0.22916666666666669)</f>
        <v>0.2291666667</v>
      </c>
      <c r="M121" s="7">
        <f>IFERROR(__xludf.DUMMYFUNCTION("""COMPUTED_VALUE"""),0.20951388888888892)</f>
        <v>0.2095138889</v>
      </c>
      <c r="O121" s="9">
        <f>IFERROR(__xludf.DUMMYFUNCTION("""COMPUTED_VALUE"""),4173.516666666667)</f>
        <v>4173.516667</v>
      </c>
      <c r="P121" s="1" t="str">
        <f>IFERROR(__xludf.DUMMYFUNCTION("""COMPUTED_VALUE"""),"AHY")</f>
        <v>AHY</v>
      </c>
      <c r="Q121" s="1" t="str">
        <f>IFERROR(__xludf.DUMMYFUNCTION("""COMPUTED_VALUE"""),"ECAC")</f>
        <v>ECAC</v>
      </c>
    </row>
    <row r="122">
      <c r="A122" s="1" t="str">
        <f>IFERROR(__xludf.DUMMYFUNCTION("""COMPUTED_VALUE"""),"VLG190W")</f>
        <v>VLG190W</v>
      </c>
      <c r="B122" s="1" t="str">
        <f>IFERROR(__xludf.DUMMYFUNCTION("""COMPUTED_VALUE"""),"A320")</f>
        <v>A320</v>
      </c>
      <c r="C122" s="1" t="str">
        <f>IFERROR(__xludf.DUMMYFUNCTION("""COMPUTED_VALUE"""),"LEAS")</f>
        <v>LEAS</v>
      </c>
      <c r="D122" s="1" t="str">
        <f>IFERROR(__xludf.DUMMYFUNCTION("""COMPUTED_VALUE"""),"LEBL")</f>
        <v>LEBL</v>
      </c>
      <c r="E122" s="1" t="str">
        <f>IFERROR(__xludf.DUMMYFUNCTION("""COMPUTED_VALUE"""),"ECLOP")</f>
        <v>ECLOP</v>
      </c>
      <c r="F122" s="1">
        <f>IFERROR(__xludf.DUMMYFUNCTION("""COMPUTED_VALUE"""),320.0)</f>
        <v>320</v>
      </c>
      <c r="G122" s="7">
        <f>IFERROR(__xludf.DUMMYFUNCTION("""COMPUTED_VALUE"""),0.3090277777777778)</f>
        <v>0.3090277778</v>
      </c>
      <c r="H122" s="1">
        <f>IFERROR(__xludf.DUMMYFUNCTION("""COMPUTED_VALUE"""),5.0)</f>
        <v>5</v>
      </c>
      <c r="I122" s="7">
        <f>IFERROR(__xludf.DUMMYFUNCTION("""COMPUTED_VALUE"""),0.3576388888888889)</f>
        <v>0.3576388889</v>
      </c>
      <c r="J122" s="1" t="str">
        <f>IFERROR(__xludf.DUMMYFUNCTION("""COMPUTED_VALUE"""),"D")</f>
        <v>D</v>
      </c>
      <c r="K122" s="1">
        <f>IFERROR(__xludf.DUMMYFUNCTION("""COMPUTED_VALUE"""),173.0)</f>
        <v>173</v>
      </c>
      <c r="L122" s="7">
        <f>IFERROR(__xludf.DUMMYFUNCTION("""COMPUTED_VALUE"""),0.048611111111111105)</f>
        <v>0.04861111111</v>
      </c>
      <c r="M122" s="7">
        <f>IFERROR(__xludf.DUMMYFUNCTION("""COMPUTED_VALUE"""),0.032430555555555546)</f>
        <v>0.03243055556</v>
      </c>
      <c r="O122" s="9">
        <f>IFERROR(__xludf.DUMMYFUNCTION("""COMPUTED_VALUE"""),646.0166666666664)</f>
        <v>646.0166667</v>
      </c>
      <c r="P122" s="1" t="str">
        <f>IFERROR(__xludf.DUMMYFUNCTION("""COMPUTED_VALUE"""),"VLG")</f>
        <v>VLG</v>
      </c>
      <c r="Q122" s="1" t="str">
        <f>IFERROR(__xludf.DUMMYFUNCTION("""COMPUTED_VALUE"""),"ECAC")</f>
        <v>ECAC</v>
      </c>
    </row>
    <row r="123">
      <c r="A123" s="1" t="str">
        <f>IFERROR(__xludf.DUMMYFUNCTION("""COMPUTED_VALUE"""),"VLG5ZF")</f>
        <v>VLG5ZF</v>
      </c>
      <c r="B123" s="1" t="str">
        <f>IFERROR(__xludf.DUMMYFUNCTION("""COMPUTED_VALUE"""),"A20N")</f>
        <v>A20N</v>
      </c>
      <c r="C123" s="1" t="str">
        <f>IFERROR(__xludf.DUMMYFUNCTION("""COMPUTED_VALUE"""),"LEIB")</f>
        <v>LEIB</v>
      </c>
      <c r="D123" s="1" t="str">
        <f>IFERROR(__xludf.DUMMYFUNCTION("""COMPUTED_VALUE"""),"LEBL")</f>
        <v>LEBL</v>
      </c>
      <c r="E123" s="1" t="str">
        <f>IFERROR(__xludf.DUMMYFUNCTION("""COMPUTED_VALUE"""),"ECNFK")</f>
        <v>ECNFK</v>
      </c>
      <c r="F123" s="1">
        <f>IFERROR(__xludf.DUMMYFUNCTION("""COMPUTED_VALUE"""),180.0)</f>
        <v>180</v>
      </c>
      <c r="G123" s="7">
        <f>IFERROR(__xludf.DUMMYFUNCTION("""COMPUTED_VALUE"""),0.3236111111111111)</f>
        <v>0.3236111111</v>
      </c>
      <c r="H123" s="1">
        <f>IFERROR(__xludf.DUMMYFUNCTION("""COMPUTED_VALUE"""),10.0)</f>
        <v>10</v>
      </c>
      <c r="I123" s="7">
        <f>IFERROR(__xludf.DUMMYFUNCTION("""COMPUTED_VALUE"""),0.3576388888888889)</f>
        <v>0.3576388889</v>
      </c>
      <c r="J123" s="1" t="str">
        <f>IFERROR(__xludf.DUMMYFUNCTION("""COMPUTED_VALUE"""),"D")</f>
        <v>D</v>
      </c>
      <c r="K123" s="1">
        <f>IFERROR(__xludf.DUMMYFUNCTION("""COMPUTED_VALUE"""),180.0)</f>
        <v>180</v>
      </c>
      <c r="L123" s="7">
        <f>IFERROR(__xludf.DUMMYFUNCTION("""COMPUTED_VALUE"""),0.03402777777777777)</f>
        <v>0.03402777778</v>
      </c>
      <c r="M123" s="7">
        <f>IFERROR(__xludf.DUMMYFUNCTION("""COMPUTED_VALUE"""),0.014374999999999988)</f>
        <v>0.014375</v>
      </c>
      <c r="O123" s="9">
        <f>IFERROR(__xludf.DUMMYFUNCTION("""COMPUTED_VALUE"""),286.3499999999998)</f>
        <v>286.35</v>
      </c>
      <c r="P123" s="1" t="str">
        <f>IFERROR(__xludf.DUMMYFUNCTION("""COMPUTED_VALUE"""),"VLG")</f>
        <v>VLG</v>
      </c>
      <c r="Q123" s="1" t="str">
        <f>IFERROR(__xludf.DUMMYFUNCTION("""COMPUTED_VALUE"""),"ECAC")</f>
        <v>ECAC</v>
      </c>
    </row>
    <row r="124">
      <c r="A124" s="1" t="str">
        <f>IFERROR(__xludf.DUMMYFUNCTION("""COMPUTED_VALUE"""),"ITY074")</f>
        <v>ITY074</v>
      </c>
      <c r="B124" s="1" t="str">
        <f>IFERROR(__xludf.DUMMYFUNCTION("""COMPUTED_VALUE"""),"A20N")</f>
        <v>A20N</v>
      </c>
      <c r="C124" s="1" t="str">
        <f>IFERROR(__xludf.DUMMYFUNCTION("""COMPUTED_VALUE"""),"LIRF")</f>
        <v>LIRF</v>
      </c>
      <c r="D124" s="1" t="str">
        <f>IFERROR(__xludf.DUMMYFUNCTION("""COMPUTED_VALUE"""),"LEBL")</f>
        <v>LEBL</v>
      </c>
      <c r="E124" s="1" t="str">
        <f>IFERROR(__xludf.DUMMYFUNCTION("""COMPUTED_VALUE"""),"EIHOM")</f>
        <v>EIHOM</v>
      </c>
      <c r="F124" s="1">
        <f>IFERROR(__xludf.DUMMYFUNCTION("""COMPUTED_VALUE"""),350.0)</f>
        <v>350</v>
      </c>
      <c r="G124" s="7">
        <f>IFERROR(__xludf.DUMMYFUNCTION("""COMPUTED_VALUE"""),0.3013888888888889)</f>
        <v>0.3013888889</v>
      </c>
      <c r="H124" s="1">
        <f>IFERROR(__xludf.DUMMYFUNCTION("""COMPUTED_VALUE"""),11.0)</f>
        <v>11</v>
      </c>
      <c r="I124" s="7">
        <f>IFERROR(__xludf.DUMMYFUNCTION("""COMPUTED_VALUE"""),0.3576388888888889)</f>
        <v>0.3576388889</v>
      </c>
      <c r="J124" s="1" t="str">
        <f>IFERROR(__xludf.DUMMYFUNCTION("""COMPUTED_VALUE"""),"D")</f>
        <v>D</v>
      </c>
      <c r="K124" s="1">
        <f>IFERROR(__xludf.DUMMYFUNCTION("""COMPUTED_VALUE"""),180.0)</f>
        <v>180</v>
      </c>
      <c r="L124" s="7">
        <f>IFERROR(__xludf.DUMMYFUNCTION("""COMPUTED_VALUE"""),0.05625000000000002)</f>
        <v>0.05625</v>
      </c>
      <c r="M124" s="7">
        <f>IFERROR(__xludf.DUMMYFUNCTION("""COMPUTED_VALUE"""),0.0359027777777778)</f>
        <v>0.03590277778</v>
      </c>
      <c r="O124" s="9">
        <f>IFERROR(__xludf.DUMMYFUNCTION("""COMPUTED_VALUE"""),715.1833333333337)</f>
        <v>715.1833333</v>
      </c>
      <c r="P124" s="1" t="str">
        <f>IFERROR(__xludf.DUMMYFUNCTION("""COMPUTED_VALUE"""),"ITY")</f>
        <v>ITY</v>
      </c>
      <c r="Q124" s="1" t="str">
        <f>IFERROR(__xludf.DUMMYFUNCTION("""COMPUTED_VALUE"""),"ECAC")</f>
        <v>ECAC</v>
      </c>
    </row>
    <row r="125">
      <c r="A125" s="1" t="str">
        <f>IFERROR(__xludf.DUMMYFUNCTION("""COMPUTED_VALUE"""),"EZY68NR")</f>
        <v>EZY68NR</v>
      </c>
      <c r="B125" s="1" t="str">
        <f>IFERROR(__xludf.DUMMYFUNCTION("""COMPUTED_VALUE"""),"A319")</f>
        <v>A319</v>
      </c>
      <c r="C125" s="1" t="str">
        <f>IFERROR(__xludf.DUMMYFUNCTION("""COMPUTED_VALUE"""),"EGKK")</f>
        <v>EGKK</v>
      </c>
      <c r="D125" s="1" t="str">
        <f>IFERROR(__xludf.DUMMYFUNCTION("""COMPUTED_VALUE"""),"LEBL")</f>
        <v>LEBL</v>
      </c>
      <c r="E125" s="1" t="str">
        <f>IFERROR(__xludf.DUMMYFUNCTION("""COMPUTED_VALUE"""),"GEZFT")</f>
        <v>GEZFT</v>
      </c>
      <c r="F125" s="1">
        <f>IFERROR(__xludf.DUMMYFUNCTION("""COMPUTED_VALUE"""),330.0)</f>
        <v>330</v>
      </c>
      <c r="G125" s="7">
        <f>IFERROR(__xludf.DUMMYFUNCTION("""COMPUTED_VALUE"""),0.28541666666666665)</f>
        <v>0.2854166667</v>
      </c>
      <c r="H125" s="1">
        <f>IFERROR(__xludf.DUMMYFUNCTION("""COMPUTED_VALUE"""),11.0)</f>
        <v>11</v>
      </c>
      <c r="I125" s="7">
        <f>IFERROR(__xludf.DUMMYFUNCTION("""COMPUTED_VALUE"""),0.3611111111111111)</f>
        <v>0.3611111111</v>
      </c>
      <c r="J125" s="1" t="str">
        <f>IFERROR(__xludf.DUMMYFUNCTION("""COMPUTED_VALUE"""),"D")</f>
        <v>D</v>
      </c>
      <c r="K125" s="1">
        <f>IFERROR(__xludf.DUMMYFUNCTION("""COMPUTED_VALUE"""),144.0)</f>
        <v>144</v>
      </c>
      <c r="L125" s="7">
        <f>IFERROR(__xludf.DUMMYFUNCTION("""COMPUTED_VALUE"""),0.07569444444444445)</f>
        <v>0.07569444444</v>
      </c>
      <c r="M125" s="7">
        <f>IFERROR(__xludf.DUMMYFUNCTION("""COMPUTED_VALUE"""),0.05534722222222223)</f>
        <v>0.05534722222</v>
      </c>
      <c r="O125" s="9">
        <f>IFERROR(__xludf.DUMMYFUNCTION("""COMPUTED_VALUE"""),1102.5166666666669)</f>
        <v>1102.516667</v>
      </c>
      <c r="P125" s="1" t="str">
        <f>IFERROR(__xludf.DUMMYFUNCTION("""COMPUTED_VALUE"""),"EZY")</f>
        <v>EZY</v>
      </c>
      <c r="Q125" s="1" t="str">
        <f>IFERROR(__xludf.DUMMYFUNCTION("""COMPUTED_VALUE"""),"ECAC")</f>
        <v>ECAC</v>
      </c>
    </row>
    <row r="126">
      <c r="A126" s="1" t="str">
        <f>IFERROR(__xludf.DUMMYFUNCTION("""COMPUTED_VALUE"""),"VLG6NA")</f>
        <v>VLG6NA</v>
      </c>
      <c r="B126" s="1" t="str">
        <f>IFERROR(__xludf.DUMMYFUNCTION("""COMPUTED_VALUE"""),"A320")</f>
        <v>A320</v>
      </c>
      <c r="C126" s="1" t="str">
        <f>IFERROR(__xludf.DUMMYFUNCTION("""COMPUTED_VALUE"""),"LEGR")</f>
        <v>LEGR</v>
      </c>
      <c r="D126" s="1" t="str">
        <f>IFERROR(__xludf.DUMMYFUNCTION("""COMPUTED_VALUE"""),"LEBL")</f>
        <v>LEBL</v>
      </c>
      <c r="E126" s="1" t="str">
        <f>IFERROR(__xludf.DUMMYFUNCTION("""COMPUTED_VALUE"""),"ECOFU")</f>
        <v>ECOFU</v>
      </c>
      <c r="F126" s="1">
        <f>IFERROR(__xludf.DUMMYFUNCTION("""COMPUTED_VALUE"""),380.0)</f>
        <v>380</v>
      </c>
      <c r="G126" s="7">
        <f>IFERROR(__xludf.DUMMYFUNCTION("""COMPUTED_VALUE"""),0.3090277777777778)</f>
        <v>0.3090277778</v>
      </c>
      <c r="H126" s="1">
        <f>IFERROR(__xludf.DUMMYFUNCTION("""COMPUTED_VALUE"""),5.0)</f>
        <v>5</v>
      </c>
      <c r="I126" s="7">
        <f>IFERROR(__xludf.DUMMYFUNCTION("""COMPUTED_VALUE"""),0.3611111111111111)</f>
        <v>0.3611111111</v>
      </c>
      <c r="J126" s="1" t="str">
        <f>IFERROR(__xludf.DUMMYFUNCTION("""COMPUTED_VALUE"""),"D")</f>
        <v>D</v>
      </c>
      <c r="K126" s="1">
        <f>IFERROR(__xludf.DUMMYFUNCTION("""COMPUTED_VALUE"""),173.0)</f>
        <v>173</v>
      </c>
      <c r="L126" s="7">
        <f>IFERROR(__xludf.DUMMYFUNCTION("""COMPUTED_VALUE"""),0.052083333333333315)</f>
        <v>0.05208333333</v>
      </c>
      <c r="M126" s="7">
        <f>IFERROR(__xludf.DUMMYFUNCTION("""COMPUTED_VALUE"""),0.035902777777777756)</f>
        <v>0.03590277778</v>
      </c>
      <c r="O126" s="9">
        <f>IFERROR(__xludf.DUMMYFUNCTION("""COMPUTED_VALUE"""),715.1833333333329)</f>
        <v>715.1833333</v>
      </c>
      <c r="P126" s="1" t="str">
        <f>IFERROR(__xludf.DUMMYFUNCTION("""COMPUTED_VALUE"""),"VLG")</f>
        <v>VLG</v>
      </c>
      <c r="Q126" s="1" t="str">
        <f>IFERROR(__xludf.DUMMYFUNCTION("""COMPUTED_VALUE"""),"ECAC")</f>
        <v>ECAC</v>
      </c>
    </row>
    <row r="127">
      <c r="A127" s="1" t="str">
        <f>IFERROR(__xludf.DUMMYFUNCTION("""COMPUTED_VALUE"""),"RYR10NA")</f>
        <v>RYR10NA</v>
      </c>
      <c r="B127" s="1" t="str">
        <f>IFERROR(__xludf.DUMMYFUNCTION("""COMPUTED_VALUE"""),"B738")</f>
        <v>B738</v>
      </c>
      <c r="C127" s="1" t="str">
        <f>IFERROR(__xludf.DUMMYFUNCTION("""COMPUTED_VALUE"""),"EGNX")</f>
        <v>EGNX</v>
      </c>
      <c r="D127" s="1" t="str">
        <f>IFERROR(__xludf.DUMMYFUNCTION("""COMPUTED_VALUE"""),"LEBL")</f>
        <v>LEBL</v>
      </c>
      <c r="E127" s="1" t="str">
        <f>IFERROR(__xludf.DUMMYFUNCTION("""COMPUTED_VALUE"""),"9HQFK")</f>
        <v>9HQFK</v>
      </c>
      <c r="F127" s="1">
        <f>IFERROR(__xludf.DUMMYFUNCTION("""COMPUTED_VALUE"""),370.0)</f>
        <v>370</v>
      </c>
      <c r="G127" s="7">
        <f>IFERROR(__xludf.DUMMYFUNCTION("""COMPUTED_VALUE"""),0.2881944444444444)</f>
        <v>0.2881944444</v>
      </c>
      <c r="H127" s="1">
        <f>IFERROR(__xludf.DUMMYFUNCTION("""COMPUTED_VALUE"""),10.0)</f>
        <v>10</v>
      </c>
      <c r="I127" s="7">
        <f>IFERROR(__xludf.DUMMYFUNCTION("""COMPUTED_VALUE"""),0.3611111111111111)</f>
        <v>0.3611111111</v>
      </c>
      <c r="J127" s="1" t="str">
        <f>IFERROR(__xludf.DUMMYFUNCTION("""COMPUTED_VALUE"""),"D")</f>
        <v>D</v>
      </c>
      <c r="K127" s="1">
        <f>IFERROR(__xludf.DUMMYFUNCTION("""COMPUTED_VALUE"""),184.0)</f>
        <v>184</v>
      </c>
      <c r="L127" s="7">
        <f>IFERROR(__xludf.DUMMYFUNCTION("""COMPUTED_VALUE"""),0.07291666666666669)</f>
        <v>0.07291666667</v>
      </c>
      <c r="M127" s="7">
        <f>IFERROR(__xludf.DUMMYFUNCTION("""COMPUTED_VALUE"""),0.0532638888888889)</f>
        <v>0.05326388889</v>
      </c>
      <c r="O127" s="9">
        <f>IFERROR(__xludf.DUMMYFUNCTION("""COMPUTED_VALUE"""),1061.016666666667)</f>
        <v>1061.016667</v>
      </c>
      <c r="P127" s="1" t="str">
        <f>IFERROR(__xludf.DUMMYFUNCTION("""COMPUTED_VALUE"""),"RYR")</f>
        <v>RYR</v>
      </c>
      <c r="Q127" s="1" t="str">
        <f>IFERROR(__xludf.DUMMYFUNCTION("""COMPUTED_VALUE"""),"ECAC")</f>
        <v>ECAC</v>
      </c>
    </row>
    <row r="128">
      <c r="A128" s="1" t="str">
        <f>IFERROR(__xludf.DUMMYFUNCTION("""COMPUTED_VALUE"""),"VLG37RL")</f>
        <v>VLG37RL</v>
      </c>
      <c r="B128" s="1" t="str">
        <f>IFERROR(__xludf.DUMMYFUNCTION("""COMPUTED_VALUE"""),"A320")</f>
        <v>A320</v>
      </c>
      <c r="C128" s="1" t="str">
        <f>IFERROR(__xludf.DUMMYFUNCTION("""COMPUTED_VALUE"""),"LIRF")</f>
        <v>LIRF</v>
      </c>
      <c r="D128" s="1" t="str">
        <f>IFERROR(__xludf.DUMMYFUNCTION("""COMPUTED_VALUE"""),"LEBL")</f>
        <v>LEBL</v>
      </c>
      <c r="E128" s="1" t="str">
        <f>IFERROR(__xludf.DUMMYFUNCTION("""COMPUTED_VALUE"""),"ECOGE")</f>
        <v>ECOGE</v>
      </c>
      <c r="F128" s="1">
        <f>IFERROR(__xludf.DUMMYFUNCTION("""COMPUTED_VALUE"""),340.0)</f>
        <v>340</v>
      </c>
      <c r="G128" s="7">
        <f>IFERROR(__xludf.DUMMYFUNCTION("""COMPUTED_VALUE"""),0.30625)</f>
        <v>0.30625</v>
      </c>
      <c r="H128" s="1">
        <f>IFERROR(__xludf.DUMMYFUNCTION("""COMPUTED_VALUE"""),15.0)</f>
        <v>15</v>
      </c>
      <c r="I128" s="7">
        <f>IFERROR(__xludf.DUMMYFUNCTION("""COMPUTED_VALUE"""),0.3645833333333333)</f>
        <v>0.3645833333</v>
      </c>
      <c r="J128" s="1" t="str">
        <f>IFERROR(__xludf.DUMMYFUNCTION("""COMPUTED_VALUE"""),"D")</f>
        <v>D</v>
      </c>
      <c r="K128" s="1">
        <f>IFERROR(__xludf.DUMMYFUNCTION("""COMPUTED_VALUE"""),173.0)</f>
        <v>173</v>
      </c>
      <c r="L128" s="7">
        <f>IFERROR(__xludf.DUMMYFUNCTION("""COMPUTED_VALUE"""),0.05833333333333329)</f>
        <v>0.05833333333</v>
      </c>
      <c r="M128" s="7">
        <f>IFERROR(__xludf.DUMMYFUNCTION("""COMPUTED_VALUE"""),0.03520833333333329)</f>
        <v>0.03520833333</v>
      </c>
      <c r="O128" s="9">
        <f>IFERROR(__xludf.DUMMYFUNCTION("""COMPUTED_VALUE"""),701.3499999999992)</f>
        <v>701.35</v>
      </c>
      <c r="P128" s="1" t="str">
        <f>IFERROR(__xludf.DUMMYFUNCTION("""COMPUTED_VALUE"""),"VLG")</f>
        <v>VLG</v>
      </c>
      <c r="Q128" s="1" t="str">
        <f>IFERROR(__xludf.DUMMYFUNCTION("""COMPUTED_VALUE"""),"ECAC")</f>
        <v>ECAC</v>
      </c>
    </row>
    <row r="129">
      <c r="A129" s="1" t="str">
        <f>IFERROR(__xludf.DUMMYFUNCTION("""COMPUTED_VALUE"""),"VLG1VM")</f>
        <v>VLG1VM</v>
      </c>
      <c r="B129" s="1" t="str">
        <f>IFERROR(__xludf.DUMMYFUNCTION("""COMPUTED_VALUE"""),"A320")</f>
        <v>A320</v>
      </c>
      <c r="C129" s="1" t="str">
        <f>IFERROR(__xludf.DUMMYFUNCTION("""COMPUTED_VALUE"""),"LMML")</f>
        <v>LMML</v>
      </c>
      <c r="D129" s="1" t="str">
        <f>IFERROR(__xludf.DUMMYFUNCTION("""COMPUTED_VALUE"""),"LEBL")</f>
        <v>LEBL</v>
      </c>
      <c r="E129" s="1" t="str">
        <f>IFERROR(__xludf.DUMMYFUNCTION("""COMPUTED_VALUE"""),"ECKDX")</f>
        <v>ECKDX</v>
      </c>
      <c r="F129" s="1">
        <f>IFERROR(__xludf.DUMMYFUNCTION("""COMPUTED_VALUE"""),360.0)</f>
        <v>360</v>
      </c>
      <c r="G129" s="7">
        <f>IFERROR(__xludf.DUMMYFUNCTION("""COMPUTED_VALUE"""),0.28888888888888886)</f>
        <v>0.2888888889</v>
      </c>
      <c r="H129" s="1">
        <f>IFERROR(__xludf.DUMMYFUNCTION("""COMPUTED_VALUE"""),8.0)</f>
        <v>8</v>
      </c>
      <c r="I129" s="7">
        <f>IFERROR(__xludf.DUMMYFUNCTION("""COMPUTED_VALUE"""),0.3645833333333333)</f>
        <v>0.3645833333</v>
      </c>
      <c r="J129" s="1" t="str">
        <f>IFERROR(__xludf.DUMMYFUNCTION("""COMPUTED_VALUE"""),"D")</f>
        <v>D</v>
      </c>
      <c r="K129" s="1">
        <f>IFERROR(__xludf.DUMMYFUNCTION("""COMPUTED_VALUE"""),173.0)</f>
        <v>173</v>
      </c>
      <c r="L129" s="7">
        <f>IFERROR(__xludf.DUMMYFUNCTION("""COMPUTED_VALUE"""),0.07569444444444445)</f>
        <v>0.07569444444</v>
      </c>
      <c r="M129" s="7">
        <f>IFERROR(__xludf.DUMMYFUNCTION("""COMPUTED_VALUE"""),0.05743055555555556)</f>
        <v>0.05743055556</v>
      </c>
      <c r="O129" s="9">
        <f>IFERROR(__xludf.DUMMYFUNCTION("""COMPUTED_VALUE"""),1144.0166666666667)</f>
        <v>1144.016667</v>
      </c>
      <c r="P129" s="1" t="str">
        <f>IFERROR(__xludf.DUMMYFUNCTION("""COMPUTED_VALUE"""),"VLG")</f>
        <v>VLG</v>
      </c>
      <c r="Q129" s="1" t="str">
        <f>IFERROR(__xludf.DUMMYFUNCTION("""COMPUTED_VALUE"""),"ECAC")</f>
        <v>ECAC</v>
      </c>
    </row>
    <row r="130">
      <c r="A130" s="1" t="str">
        <f>IFERROR(__xludf.DUMMYFUNCTION("""COMPUTED_VALUE"""),"VLG9ML")</f>
        <v>VLG9ML</v>
      </c>
      <c r="B130" s="1" t="str">
        <f>IFERROR(__xludf.DUMMYFUNCTION("""COMPUTED_VALUE"""),"A320")</f>
        <v>A320</v>
      </c>
      <c r="C130" s="1" t="str">
        <f>IFERROR(__xludf.DUMMYFUNCTION("""COMPUTED_VALUE"""),"LFPG")</f>
        <v>LFPG</v>
      </c>
      <c r="D130" s="1" t="str">
        <f>IFERROR(__xludf.DUMMYFUNCTION("""COMPUTED_VALUE"""),"LEBL")</f>
        <v>LEBL</v>
      </c>
      <c r="E130" s="1" t="str">
        <f>IFERROR(__xludf.DUMMYFUNCTION("""COMPUTED_VALUE"""),"ECNUP")</f>
        <v>ECNUP</v>
      </c>
      <c r="F130" s="1">
        <f>IFERROR(__xludf.DUMMYFUNCTION("""COMPUTED_VALUE"""),370.0)</f>
        <v>370</v>
      </c>
      <c r="G130" s="7">
        <f>IFERROR(__xludf.DUMMYFUNCTION("""COMPUTED_VALUE"""),0.3125)</f>
        <v>0.3125</v>
      </c>
      <c r="H130" s="1">
        <f>IFERROR(__xludf.DUMMYFUNCTION("""COMPUTED_VALUE"""),11.0)</f>
        <v>11</v>
      </c>
      <c r="I130" s="7">
        <f>IFERROR(__xludf.DUMMYFUNCTION("""COMPUTED_VALUE"""),0.3645833333333333)</f>
        <v>0.3645833333</v>
      </c>
      <c r="J130" s="1" t="str">
        <f>IFERROR(__xludf.DUMMYFUNCTION("""COMPUTED_VALUE"""),"D")</f>
        <v>D</v>
      </c>
      <c r="K130" s="1">
        <f>IFERROR(__xludf.DUMMYFUNCTION("""COMPUTED_VALUE"""),173.0)</f>
        <v>173</v>
      </c>
      <c r="L130" s="7">
        <f>IFERROR(__xludf.DUMMYFUNCTION("""COMPUTED_VALUE"""),0.052083333333333315)</f>
        <v>0.05208333333</v>
      </c>
      <c r="M130" s="7">
        <f>IFERROR(__xludf.DUMMYFUNCTION("""COMPUTED_VALUE"""),0.03173611111111109)</f>
        <v>0.03173611111</v>
      </c>
      <c r="O130" s="9">
        <f>IFERROR(__xludf.DUMMYFUNCTION("""COMPUTED_VALUE"""),632.1833333333329)</f>
        <v>632.1833333</v>
      </c>
      <c r="P130" s="1" t="str">
        <f>IFERROR(__xludf.DUMMYFUNCTION("""COMPUTED_VALUE"""),"VLG")</f>
        <v>VLG</v>
      </c>
      <c r="Q130" s="1" t="str">
        <f>IFERROR(__xludf.DUMMYFUNCTION("""COMPUTED_VALUE"""),"ECAC")</f>
        <v>ECAC</v>
      </c>
    </row>
    <row r="131">
      <c r="A131" s="1" t="str">
        <f>IFERROR(__xludf.DUMMYFUNCTION("""COMPUTED_VALUE"""),"VLG29BB")</f>
        <v>VLG29BB</v>
      </c>
      <c r="B131" s="1" t="str">
        <f>IFERROR(__xludf.DUMMYFUNCTION("""COMPUTED_VALUE"""),"A321")</f>
        <v>A321</v>
      </c>
      <c r="C131" s="1" t="str">
        <f>IFERROR(__xludf.DUMMYFUNCTION("""COMPUTED_VALUE"""),"LEMG")</f>
        <v>LEMG</v>
      </c>
      <c r="D131" s="1" t="str">
        <f>IFERROR(__xludf.DUMMYFUNCTION("""COMPUTED_VALUE"""),"LEBL")</f>
        <v>LEBL</v>
      </c>
      <c r="E131" s="1" t="str">
        <f>IFERROR(__xludf.DUMMYFUNCTION("""COMPUTED_VALUE"""),"ECNLY")</f>
        <v>ECNLY</v>
      </c>
      <c r="F131" s="1">
        <f>IFERROR(__xludf.DUMMYFUNCTION("""COMPUTED_VALUE"""),340.0)</f>
        <v>340</v>
      </c>
      <c r="G131" s="7">
        <f>IFERROR(__xludf.DUMMYFUNCTION("""COMPUTED_VALUE"""),0.30972222222222223)</f>
        <v>0.3097222222</v>
      </c>
      <c r="H131" s="1">
        <f>IFERROR(__xludf.DUMMYFUNCTION("""COMPUTED_VALUE"""),11.0)</f>
        <v>11</v>
      </c>
      <c r="I131" s="7">
        <f>IFERROR(__xludf.DUMMYFUNCTION("""COMPUTED_VALUE"""),0.3680555555555556)</f>
        <v>0.3680555556</v>
      </c>
      <c r="J131" s="1" t="str">
        <f>IFERROR(__xludf.DUMMYFUNCTION("""COMPUTED_VALUE"""),"D")</f>
        <v>D</v>
      </c>
      <c r="K131" s="1">
        <f>IFERROR(__xludf.DUMMYFUNCTION("""COMPUTED_VALUE"""),207.0)</f>
        <v>207</v>
      </c>
      <c r="L131" s="7">
        <f>IFERROR(__xludf.DUMMYFUNCTION("""COMPUTED_VALUE"""),0.05833333333333335)</f>
        <v>0.05833333333</v>
      </c>
      <c r="M131" s="7">
        <f>IFERROR(__xludf.DUMMYFUNCTION("""COMPUTED_VALUE"""),0.03798611111111112)</f>
        <v>0.03798611111</v>
      </c>
      <c r="O131" s="9">
        <f>IFERROR(__xludf.DUMMYFUNCTION("""COMPUTED_VALUE"""),756.6833333333336)</f>
        <v>756.6833333</v>
      </c>
      <c r="P131" s="1" t="str">
        <f>IFERROR(__xludf.DUMMYFUNCTION("""COMPUTED_VALUE"""),"VLG")</f>
        <v>VLG</v>
      </c>
      <c r="Q131" s="1" t="str">
        <f>IFERROR(__xludf.DUMMYFUNCTION("""COMPUTED_VALUE"""),"ECAC")</f>
        <v>ECAC</v>
      </c>
    </row>
    <row r="132">
      <c r="A132" s="1" t="str">
        <f>IFERROR(__xludf.DUMMYFUNCTION("""COMPUTED_VALUE"""),"DLH77T")</f>
        <v>DLH77T</v>
      </c>
      <c r="B132" s="1" t="str">
        <f>IFERROR(__xludf.DUMMYFUNCTION("""COMPUTED_VALUE"""),"A321")</f>
        <v>A321</v>
      </c>
      <c r="C132" s="1" t="str">
        <f>IFERROR(__xludf.DUMMYFUNCTION("""COMPUTED_VALUE"""),"EDDM")</f>
        <v>EDDM</v>
      </c>
      <c r="D132" s="1" t="str">
        <f>IFERROR(__xludf.DUMMYFUNCTION("""COMPUTED_VALUE"""),"LEBL")</f>
        <v>LEBL</v>
      </c>
      <c r="E132" s="1" t="str">
        <f>IFERROR(__xludf.DUMMYFUNCTION("""COMPUTED_VALUE"""),"DAIDX")</f>
        <v>DAIDX</v>
      </c>
      <c r="F132" s="1">
        <f>IFERROR(__xludf.DUMMYFUNCTION("""COMPUTED_VALUE"""),350.0)</f>
        <v>350</v>
      </c>
      <c r="G132" s="7">
        <f>IFERROR(__xludf.DUMMYFUNCTION("""COMPUTED_VALUE"""),0.30277777777777776)</f>
        <v>0.3027777778</v>
      </c>
      <c r="H132" s="1">
        <f>IFERROR(__xludf.DUMMYFUNCTION("""COMPUTED_VALUE"""),11.0)</f>
        <v>11</v>
      </c>
      <c r="I132" s="7">
        <f>IFERROR(__xludf.DUMMYFUNCTION("""COMPUTED_VALUE"""),0.3680555555555556)</f>
        <v>0.3680555556</v>
      </c>
      <c r="J132" s="1" t="str">
        <f>IFERROR(__xludf.DUMMYFUNCTION("""COMPUTED_VALUE"""),"D")</f>
        <v>D</v>
      </c>
      <c r="K132" s="1">
        <f>IFERROR(__xludf.DUMMYFUNCTION("""COMPUTED_VALUE"""),207.0)</f>
        <v>207</v>
      </c>
      <c r="L132" s="7">
        <f>IFERROR(__xludf.DUMMYFUNCTION("""COMPUTED_VALUE"""),0.06527777777777782)</f>
        <v>0.06527777778</v>
      </c>
      <c r="M132" s="7">
        <f>IFERROR(__xludf.DUMMYFUNCTION("""COMPUTED_VALUE"""),0.0449305555555556)</f>
        <v>0.04493055556</v>
      </c>
      <c r="O132" s="9">
        <f>IFERROR(__xludf.DUMMYFUNCTION("""COMPUTED_VALUE"""),895.0166666666676)</f>
        <v>895.0166667</v>
      </c>
      <c r="P132" s="1" t="str">
        <f>IFERROR(__xludf.DUMMYFUNCTION("""COMPUTED_VALUE"""),"DLH")</f>
        <v>DLH</v>
      </c>
      <c r="Q132" s="1" t="str">
        <f>IFERROR(__xludf.DUMMYFUNCTION("""COMPUTED_VALUE"""),"ECAC")</f>
        <v>ECAC</v>
      </c>
    </row>
    <row r="133">
      <c r="A133" s="1" t="str">
        <f>IFERROR(__xludf.DUMMYFUNCTION("""COMPUTED_VALUE"""),"VLG52FK")</f>
        <v>VLG52FK</v>
      </c>
      <c r="B133" s="1" t="str">
        <f>IFERROR(__xludf.DUMMYFUNCTION("""COMPUTED_VALUE"""),"A320")</f>
        <v>A320</v>
      </c>
      <c r="C133" s="1" t="str">
        <f>IFERROR(__xludf.DUMMYFUNCTION("""COMPUTED_VALUE"""),"GCXO")</f>
        <v>GCXO</v>
      </c>
      <c r="D133" s="1" t="str">
        <f>IFERROR(__xludf.DUMMYFUNCTION("""COMPUTED_VALUE"""),"LEBL")</f>
        <v>LEBL</v>
      </c>
      <c r="E133" s="1" t="str">
        <f>IFERROR(__xludf.DUMMYFUNCTION("""COMPUTED_VALUE"""),"ECJTQ")</f>
        <v>ECJTQ</v>
      </c>
      <c r="F133" s="1">
        <f>IFERROR(__xludf.DUMMYFUNCTION("""COMPUTED_VALUE"""),380.0)</f>
        <v>380</v>
      </c>
      <c r="G133" s="7">
        <f>IFERROR(__xludf.DUMMYFUNCTION("""COMPUTED_VALUE"""),0.2569444444444444)</f>
        <v>0.2569444444</v>
      </c>
      <c r="H133" s="1">
        <f>IFERROR(__xludf.DUMMYFUNCTION("""COMPUTED_VALUE"""),4.0)</f>
        <v>4</v>
      </c>
      <c r="I133" s="7">
        <f>IFERROR(__xludf.DUMMYFUNCTION("""COMPUTED_VALUE"""),0.3680555555555556)</f>
        <v>0.3680555556</v>
      </c>
      <c r="J133" s="1" t="str">
        <f>IFERROR(__xludf.DUMMYFUNCTION("""COMPUTED_VALUE"""),"D")</f>
        <v>D</v>
      </c>
      <c r="K133" s="1">
        <f>IFERROR(__xludf.DUMMYFUNCTION("""COMPUTED_VALUE"""),173.0)</f>
        <v>173</v>
      </c>
      <c r="L133" s="7">
        <f>IFERROR(__xludf.DUMMYFUNCTION("""COMPUTED_VALUE"""),0.11111111111111116)</f>
        <v>0.1111111111</v>
      </c>
      <c r="M133" s="7">
        <f>IFERROR(__xludf.DUMMYFUNCTION("""COMPUTED_VALUE"""),0.09562500000000004)</f>
        <v>0.095625</v>
      </c>
      <c r="O133" s="9">
        <f>IFERROR(__xludf.DUMMYFUNCTION("""COMPUTED_VALUE"""),1904.8500000000006)</f>
        <v>1904.85</v>
      </c>
      <c r="P133" s="1" t="str">
        <f>IFERROR(__xludf.DUMMYFUNCTION("""COMPUTED_VALUE"""),"VLG")</f>
        <v>VLG</v>
      </c>
      <c r="Q133" s="1" t="str">
        <f>IFERROR(__xludf.DUMMYFUNCTION("""COMPUTED_VALUE"""),"ECAC")</f>
        <v>ECAC</v>
      </c>
    </row>
    <row r="134">
      <c r="A134" s="1" t="str">
        <f>IFERROR(__xludf.DUMMYFUNCTION("""COMPUTED_VALUE"""),"VLG2JJ")</f>
        <v>VLG2JJ</v>
      </c>
      <c r="B134" s="1" t="str">
        <f>IFERROR(__xludf.DUMMYFUNCTION("""COMPUTED_VALUE"""),"A320")</f>
        <v>A320</v>
      </c>
      <c r="C134" s="1" t="str">
        <f>IFERROR(__xludf.DUMMYFUNCTION("""COMPUTED_VALUE"""),"LDSP")</f>
        <v>LDSP</v>
      </c>
      <c r="D134" s="1" t="str">
        <f>IFERROR(__xludf.DUMMYFUNCTION("""COMPUTED_VALUE"""),"LEBL")</f>
        <v>LEBL</v>
      </c>
      <c r="E134" s="1" t="str">
        <f>IFERROR(__xludf.DUMMYFUNCTION("""COMPUTED_VALUE"""),"ECMJB")</f>
        <v>ECMJB</v>
      </c>
      <c r="F134" s="1">
        <f>IFERROR(__xludf.DUMMYFUNCTION("""COMPUTED_VALUE"""),370.0)</f>
        <v>370</v>
      </c>
      <c r="G134" s="7">
        <f>IFERROR(__xludf.DUMMYFUNCTION("""COMPUTED_VALUE"""),0.2972222222222222)</f>
        <v>0.2972222222</v>
      </c>
      <c r="H134" s="1">
        <f>IFERROR(__xludf.DUMMYFUNCTION("""COMPUTED_VALUE"""),8.0)</f>
        <v>8</v>
      </c>
      <c r="I134" s="7">
        <f>IFERROR(__xludf.DUMMYFUNCTION("""COMPUTED_VALUE"""),0.3715277777777778)</f>
        <v>0.3715277778</v>
      </c>
      <c r="J134" s="1" t="str">
        <f>IFERROR(__xludf.DUMMYFUNCTION("""COMPUTED_VALUE"""),"D")</f>
        <v>D</v>
      </c>
      <c r="K134" s="1">
        <f>IFERROR(__xludf.DUMMYFUNCTION("""COMPUTED_VALUE"""),173.0)</f>
        <v>173</v>
      </c>
      <c r="L134" s="7">
        <f>IFERROR(__xludf.DUMMYFUNCTION("""COMPUTED_VALUE"""),0.07430555555555557)</f>
        <v>0.07430555556</v>
      </c>
      <c r="M134" s="7">
        <f>IFERROR(__xludf.DUMMYFUNCTION("""COMPUTED_VALUE"""),0.05604166666666668)</f>
        <v>0.05604166667</v>
      </c>
      <c r="O134" s="9">
        <f>IFERROR(__xludf.DUMMYFUNCTION("""COMPUTED_VALUE"""),1116.3500000000001)</f>
        <v>1116.35</v>
      </c>
      <c r="P134" s="1" t="str">
        <f>IFERROR(__xludf.DUMMYFUNCTION("""COMPUTED_VALUE"""),"VLG")</f>
        <v>VLG</v>
      </c>
      <c r="Q134" s="1" t="str">
        <f>IFERROR(__xludf.DUMMYFUNCTION("""COMPUTED_VALUE"""),"ECAC")</f>
        <v>ECAC</v>
      </c>
    </row>
    <row r="135">
      <c r="A135" s="1" t="str">
        <f>IFERROR(__xludf.DUMMYFUNCTION("""COMPUTED_VALUE"""),"RYR4LV")</f>
        <v>RYR4LV</v>
      </c>
      <c r="B135" s="1" t="str">
        <f>IFERROR(__xludf.DUMMYFUNCTION("""COMPUTED_VALUE"""),"B738")</f>
        <v>B738</v>
      </c>
      <c r="C135" s="1" t="str">
        <f>IFERROR(__xludf.DUMMYFUNCTION("""COMPUTED_VALUE"""),"ELLX")</f>
        <v>ELLX</v>
      </c>
      <c r="D135" s="1" t="str">
        <f>IFERROR(__xludf.DUMMYFUNCTION("""COMPUTED_VALUE"""),"LEBL")</f>
        <v>LEBL</v>
      </c>
      <c r="E135" s="1" t="str">
        <f>IFERROR(__xludf.DUMMYFUNCTION("""COMPUTED_VALUE"""),"9HQEW")</f>
        <v>9HQEW</v>
      </c>
      <c r="F135" s="1">
        <f>IFERROR(__xludf.DUMMYFUNCTION("""COMPUTED_VALUE"""),370.0)</f>
        <v>370</v>
      </c>
      <c r="G135" s="7">
        <f>IFERROR(__xludf.DUMMYFUNCTION("""COMPUTED_VALUE"""),0.3159722222222222)</f>
        <v>0.3159722222</v>
      </c>
      <c r="H135" s="1">
        <f>IFERROR(__xludf.DUMMYFUNCTION("""COMPUTED_VALUE"""),15.0)</f>
        <v>15</v>
      </c>
      <c r="I135" s="7">
        <f>IFERROR(__xludf.DUMMYFUNCTION("""COMPUTED_VALUE"""),0.3715277777777778)</f>
        <v>0.3715277778</v>
      </c>
      <c r="J135" s="1" t="str">
        <f>IFERROR(__xludf.DUMMYFUNCTION("""COMPUTED_VALUE"""),"D")</f>
        <v>D</v>
      </c>
      <c r="K135" s="1">
        <f>IFERROR(__xludf.DUMMYFUNCTION("""COMPUTED_VALUE"""),184.0)</f>
        <v>184</v>
      </c>
      <c r="L135" s="7">
        <f>IFERROR(__xludf.DUMMYFUNCTION("""COMPUTED_VALUE"""),0.05555555555555558)</f>
        <v>0.05555555556</v>
      </c>
      <c r="M135" s="7">
        <f>IFERROR(__xludf.DUMMYFUNCTION("""COMPUTED_VALUE"""),0.03243055555555558)</f>
        <v>0.03243055556</v>
      </c>
      <c r="O135" s="9">
        <f>IFERROR(__xludf.DUMMYFUNCTION("""COMPUTED_VALUE"""),646.0166666666672)</f>
        <v>646.0166667</v>
      </c>
      <c r="P135" s="1" t="str">
        <f>IFERROR(__xludf.DUMMYFUNCTION("""COMPUTED_VALUE"""),"RYR")</f>
        <v>RYR</v>
      </c>
      <c r="Q135" s="1" t="str">
        <f>IFERROR(__xludf.DUMMYFUNCTION("""COMPUTED_VALUE"""),"ECAC")</f>
        <v>ECAC</v>
      </c>
    </row>
    <row r="136">
      <c r="A136" s="1" t="str">
        <f>IFERROR(__xludf.DUMMYFUNCTION("""COMPUTED_VALUE"""),"VLG3DQ")</f>
        <v>VLG3DQ</v>
      </c>
      <c r="B136" s="1" t="str">
        <f>IFERROR(__xludf.DUMMYFUNCTION("""COMPUTED_VALUE"""),"A320")</f>
        <v>A320</v>
      </c>
      <c r="C136" s="1" t="str">
        <f>IFERROR(__xludf.DUMMYFUNCTION("""COMPUTED_VALUE"""),"LSZH")</f>
        <v>LSZH</v>
      </c>
      <c r="D136" s="1" t="str">
        <f>IFERROR(__xludf.DUMMYFUNCTION("""COMPUTED_VALUE"""),"LEBL")</f>
        <v>LEBL</v>
      </c>
      <c r="E136" s="1" t="str">
        <f>IFERROR(__xludf.DUMMYFUNCTION("""COMPUTED_VALUE"""),"ECLVV")</f>
        <v>ECLVV</v>
      </c>
      <c r="F136" s="1">
        <f>IFERROR(__xludf.DUMMYFUNCTION("""COMPUTED_VALUE"""),330.0)</f>
        <v>330</v>
      </c>
      <c r="G136" s="7">
        <f>IFERROR(__xludf.DUMMYFUNCTION("""COMPUTED_VALUE"""),0.3236111111111111)</f>
        <v>0.3236111111</v>
      </c>
      <c r="H136" s="1">
        <f>IFERROR(__xludf.DUMMYFUNCTION("""COMPUTED_VALUE"""),11.0)</f>
        <v>11</v>
      </c>
      <c r="I136" s="7">
        <f>IFERROR(__xludf.DUMMYFUNCTION("""COMPUTED_VALUE"""),0.3715277777777778)</f>
        <v>0.3715277778</v>
      </c>
      <c r="J136" s="1" t="str">
        <f>IFERROR(__xludf.DUMMYFUNCTION("""COMPUTED_VALUE"""),"D")</f>
        <v>D</v>
      </c>
      <c r="K136" s="1">
        <f>IFERROR(__xludf.DUMMYFUNCTION("""COMPUTED_VALUE"""),173.0)</f>
        <v>173</v>
      </c>
      <c r="L136" s="7">
        <f>IFERROR(__xludf.DUMMYFUNCTION("""COMPUTED_VALUE"""),0.04791666666666666)</f>
        <v>0.04791666667</v>
      </c>
      <c r="M136" s="7">
        <f>IFERROR(__xludf.DUMMYFUNCTION("""COMPUTED_VALUE"""),0.027569444444444438)</f>
        <v>0.02756944444</v>
      </c>
      <c r="O136" s="9">
        <f>IFERROR(__xludf.DUMMYFUNCTION("""COMPUTED_VALUE"""),549.1833333333332)</f>
        <v>549.1833333</v>
      </c>
      <c r="P136" s="1" t="str">
        <f>IFERROR(__xludf.DUMMYFUNCTION("""COMPUTED_VALUE"""),"VLG")</f>
        <v>VLG</v>
      </c>
      <c r="Q136" s="1" t="str">
        <f>IFERROR(__xludf.DUMMYFUNCTION("""COMPUTED_VALUE"""),"ECAC")</f>
        <v>ECAC</v>
      </c>
    </row>
    <row r="137">
      <c r="A137" s="1" t="str">
        <f>IFERROR(__xludf.DUMMYFUNCTION("""COMPUTED_VALUE"""),"VLG7BN")</f>
        <v>VLG7BN</v>
      </c>
      <c r="B137" s="1" t="str">
        <f>IFERROR(__xludf.DUMMYFUNCTION("""COMPUTED_VALUE"""),"A321")</f>
        <v>A321</v>
      </c>
      <c r="C137" s="1" t="str">
        <f>IFERROR(__xludf.DUMMYFUNCTION("""COMPUTED_VALUE"""),"LSGG")</f>
        <v>LSGG</v>
      </c>
      <c r="D137" s="1" t="str">
        <f>IFERROR(__xludf.DUMMYFUNCTION("""COMPUTED_VALUE"""),"LEBL")</f>
        <v>LEBL</v>
      </c>
      <c r="E137" s="1" t="str">
        <f>IFERROR(__xludf.DUMMYFUNCTION("""COMPUTED_VALUE"""),"ECMHS")</f>
        <v>ECMHS</v>
      </c>
      <c r="F137" s="1">
        <f>IFERROR(__xludf.DUMMYFUNCTION("""COMPUTED_VALUE"""),330.0)</f>
        <v>330</v>
      </c>
      <c r="G137" s="7">
        <f>IFERROR(__xludf.DUMMYFUNCTION("""COMPUTED_VALUE"""),0.3298611111111111)</f>
        <v>0.3298611111</v>
      </c>
      <c r="H137" s="1">
        <f>IFERROR(__xludf.DUMMYFUNCTION("""COMPUTED_VALUE"""),10.0)</f>
        <v>10</v>
      </c>
      <c r="I137" s="7">
        <f>IFERROR(__xludf.DUMMYFUNCTION("""COMPUTED_VALUE"""),0.3715277777777778)</f>
        <v>0.3715277778</v>
      </c>
      <c r="J137" s="1" t="str">
        <f>IFERROR(__xludf.DUMMYFUNCTION("""COMPUTED_VALUE"""),"D")</f>
        <v>D</v>
      </c>
      <c r="K137" s="1">
        <f>IFERROR(__xludf.DUMMYFUNCTION("""COMPUTED_VALUE"""),207.0)</f>
        <v>207</v>
      </c>
      <c r="L137" s="7">
        <f>IFERROR(__xludf.DUMMYFUNCTION("""COMPUTED_VALUE"""),0.041666666666666685)</f>
        <v>0.04166666667</v>
      </c>
      <c r="M137" s="7">
        <f>IFERROR(__xludf.DUMMYFUNCTION("""COMPUTED_VALUE"""),0.022013888888888906)</f>
        <v>0.02201388889</v>
      </c>
      <c r="O137" s="9">
        <f>IFERROR(__xludf.DUMMYFUNCTION("""COMPUTED_VALUE"""),438.51666666666705)</f>
        <v>438.5166667</v>
      </c>
      <c r="P137" s="1" t="str">
        <f>IFERROR(__xludf.DUMMYFUNCTION("""COMPUTED_VALUE"""),"VLG")</f>
        <v>VLG</v>
      </c>
      <c r="Q137" s="1" t="str">
        <f>IFERROR(__xludf.DUMMYFUNCTION("""COMPUTED_VALUE"""),"ECAC")</f>
        <v>ECAC</v>
      </c>
    </row>
    <row r="138">
      <c r="A138" s="1" t="str">
        <f>IFERROR(__xludf.DUMMYFUNCTION("""COMPUTED_VALUE"""),"VLG48RF")</f>
        <v>VLG48RF</v>
      </c>
      <c r="B138" s="1" t="str">
        <f>IFERROR(__xludf.DUMMYFUNCTION("""COMPUTED_VALUE"""),"A321")</f>
        <v>A321</v>
      </c>
      <c r="C138" s="1" t="str">
        <f>IFERROR(__xludf.DUMMYFUNCTION("""COMPUTED_VALUE"""),"LFRS")</f>
        <v>LFRS</v>
      </c>
      <c r="D138" s="1" t="str">
        <f>IFERROR(__xludf.DUMMYFUNCTION("""COMPUTED_VALUE"""),"LEBL")</f>
        <v>LEBL</v>
      </c>
      <c r="E138" s="1" t="str">
        <f>IFERROR(__xludf.DUMMYFUNCTION("""COMPUTED_VALUE"""),"ECMHB")</f>
        <v>ECMHB</v>
      </c>
      <c r="F138" s="1">
        <f>IFERROR(__xludf.DUMMYFUNCTION("""COMPUTED_VALUE"""),330.0)</f>
        <v>330</v>
      </c>
      <c r="G138" s="7">
        <f>IFERROR(__xludf.DUMMYFUNCTION("""COMPUTED_VALUE"""),0.3263888888888889)</f>
        <v>0.3263888889</v>
      </c>
      <c r="H138" s="1">
        <f>IFERROR(__xludf.DUMMYFUNCTION("""COMPUTED_VALUE"""),10.0)</f>
        <v>10</v>
      </c>
      <c r="I138" s="7">
        <f>IFERROR(__xludf.DUMMYFUNCTION("""COMPUTED_VALUE"""),0.375)</f>
        <v>0.375</v>
      </c>
      <c r="J138" s="1" t="str">
        <f>IFERROR(__xludf.DUMMYFUNCTION("""COMPUTED_VALUE"""),"D")</f>
        <v>D</v>
      </c>
      <c r="K138" s="1">
        <f>IFERROR(__xludf.DUMMYFUNCTION("""COMPUTED_VALUE"""),207.0)</f>
        <v>207</v>
      </c>
      <c r="L138" s="7">
        <f>IFERROR(__xludf.DUMMYFUNCTION("""COMPUTED_VALUE"""),0.048611111111111105)</f>
        <v>0.04861111111</v>
      </c>
      <c r="M138" s="7">
        <f>IFERROR(__xludf.DUMMYFUNCTION("""COMPUTED_VALUE"""),0.028958333333333326)</f>
        <v>0.02895833333</v>
      </c>
      <c r="O138" s="9">
        <f>IFERROR(__xludf.DUMMYFUNCTION("""COMPUTED_VALUE"""),576.8499999999999)</f>
        <v>576.85</v>
      </c>
      <c r="P138" s="1" t="str">
        <f>IFERROR(__xludf.DUMMYFUNCTION("""COMPUTED_VALUE"""),"VLG")</f>
        <v>VLG</v>
      </c>
      <c r="Q138" s="1" t="str">
        <f>IFERROR(__xludf.DUMMYFUNCTION("""COMPUTED_VALUE"""),"ECAC")</f>
        <v>ECAC</v>
      </c>
    </row>
    <row r="139">
      <c r="A139" s="1" t="str">
        <f>IFERROR(__xludf.DUMMYFUNCTION("""COMPUTED_VALUE"""),"AEE710")</f>
        <v>AEE710</v>
      </c>
      <c r="B139" s="1" t="str">
        <f>IFERROR(__xludf.DUMMYFUNCTION("""COMPUTED_VALUE"""),"A21N")</f>
        <v>A21N</v>
      </c>
      <c r="C139" s="1" t="str">
        <f>IFERROR(__xludf.DUMMYFUNCTION("""COMPUTED_VALUE"""),"LGAV")</f>
        <v>LGAV</v>
      </c>
      <c r="D139" s="1" t="str">
        <f>IFERROR(__xludf.DUMMYFUNCTION("""COMPUTED_VALUE"""),"LEBL")</f>
        <v>LEBL</v>
      </c>
      <c r="E139" s="1" t="str">
        <f>IFERROR(__xludf.DUMMYFUNCTION("""COMPUTED_VALUE"""),"SXNAK")</f>
        <v>SXNAK</v>
      </c>
      <c r="F139" s="1">
        <f>IFERROR(__xludf.DUMMYFUNCTION("""COMPUTED_VALUE"""),340.0)</f>
        <v>340</v>
      </c>
      <c r="G139" s="7">
        <f>IFERROR(__xludf.DUMMYFUNCTION("""COMPUTED_VALUE"""),0.26805555555555555)</f>
        <v>0.2680555556</v>
      </c>
      <c r="H139" s="1">
        <f>IFERROR(__xludf.DUMMYFUNCTION("""COMPUTED_VALUE"""),12.0)</f>
        <v>12</v>
      </c>
      <c r="I139" s="7">
        <f>IFERROR(__xludf.DUMMYFUNCTION("""COMPUTED_VALUE"""),0.375)</f>
        <v>0.375</v>
      </c>
      <c r="J139" s="1" t="str">
        <f>IFERROR(__xludf.DUMMYFUNCTION("""COMPUTED_VALUE"""),"D")</f>
        <v>D</v>
      </c>
      <c r="K139" s="1">
        <f>IFERROR(__xludf.DUMMYFUNCTION("""COMPUTED_VALUE"""),200.0)</f>
        <v>200</v>
      </c>
      <c r="L139" s="7">
        <f>IFERROR(__xludf.DUMMYFUNCTION("""COMPUTED_VALUE"""),0.10694444444444445)</f>
        <v>0.1069444444</v>
      </c>
      <c r="M139" s="7">
        <f>IFERROR(__xludf.DUMMYFUNCTION("""COMPUTED_VALUE"""),0.08590277777777779)</f>
        <v>0.08590277778</v>
      </c>
      <c r="O139" s="9">
        <f>IFERROR(__xludf.DUMMYFUNCTION("""COMPUTED_VALUE"""),1711.1833333333336)</f>
        <v>1711.183333</v>
      </c>
      <c r="P139" s="1" t="str">
        <f>IFERROR(__xludf.DUMMYFUNCTION("""COMPUTED_VALUE"""),"AEE")</f>
        <v>AEE</v>
      </c>
      <c r="Q139" s="1" t="str">
        <f>IFERROR(__xludf.DUMMYFUNCTION("""COMPUTED_VALUE"""),"ECAC")</f>
        <v>ECAC</v>
      </c>
    </row>
    <row r="140">
      <c r="A140" s="1" t="str">
        <f>IFERROR(__xludf.DUMMYFUNCTION("""COMPUTED_VALUE"""),"AFR44HZ")</f>
        <v>AFR44HZ</v>
      </c>
      <c r="B140" s="1" t="str">
        <f>IFERROR(__xludf.DUMMYFUNCTION("""COMPUTED_VALUE"""),"A321")</f>
        <v>A321</v>
      </c>
      <c r="C140" s="1" t="str">
        <f>IFERROR(__xludf.DUMMYFUNCTION("""COMPUTED_VALUE"""),"LFPG")</f>
        <v>LFPG</v>
      </c>
      <c r="D140" s="1" t="str">
        <f>IFERROR(__xludf.DUMMYFUNCTION("""COMPUTED_VALUE"""),"LEBL")</f>
        <v>LEBL</v>
      </c>
      <c r="E140" s="1" t="str">
        <f>IFERROR(__xludf.DUMMYFUNCTION("""COMPUTED_VALUE"""),"FGTAQ")</f>
        <v>FGTAQ</v>
      </c>
      <c r="F140" s="1">
        <f>IFERROR(__xludf.DUMMYFUNCTION("""COMPUTED_VALUE"""),370.0)</f>
        <v>370</v>
      </c>
      <c r="G140" s="7">
        <f>IFERROR(__xludf.DUMMYFUNCTION("""COMPUTED_VALUE"""),0.3229166666666667)</f>
        <v>0.3229166667</v>
      </c>
      <c r="H140" s="1">
        <f>IFERROR(__xludf.DUMMYFUNCTION("""COMPUTED_VALUE"""),23.0)</f>
        <v>23</v>
      </c>
      <c r="I140" s="7">
        <f>IFERROR(__xludf.DUMMYFUNCTION("""COMPUTED_VALUE"""),0.375)</f>
        <v>0.375</v>
      </c>
      <c r="J140" s="1" t="str">
        <f>IFERROR(__xludf.DUMMYFUNCTION("""COMPUTED_VALUE"""),"D")</f>
        <v>D</v>
      </c>
      <c r="K140" s="1">
        <f>IFERROR(__xludf.DUMMYFUNCTION("""COMPUTED_VALUE"""),207.0)</f>
        <v>207</v>
      </c>
      <c r="L140" s="7">
        <f>IFERROR(__xludf.DUMMYFUNCTION("""COMPUTED_VALUE"""),0.052083333333333315)</f>
        <v>0.05208333333</v>
      </c>
      <c r="M140" s="7">
        <f>IFERROR(__xludf.DUMMYFUNCTION("""COMPUTED_VALUE"""),0.02340277777777776)</f>
        <v>0.02340277778</v>
      </c>
      <c r="O140" s="9">
        <f>IFERROR(__xludf.DUMMYFUNCTION("""COMPUTED_VALUE"""),466.18333333333294)</f>
        <v>466.1833333</v>
      </c>
      <c r="P140" s="1" t="str">
        <f>IFERROR(__xludf.DUMMYFUNCTION("""COMPUTED_VALUE"""),"AFR")</f>
        <v>AFR</v>
      </c>
      <c r="Q140" s="1" t="str">
        <f>IFERROR(__xludf.DUMMYFUNCTION("""COMPUTED_VALUE"""),"ECAC")</f>
        <v>ECAC</v>
      </c>
    </row>
    <row r="141">
      <c r="A141" s="1" t="str">
        <f>IFERROR(__xludf.DUMMYFUNCTION("""COMPUTED_VALUE"""),"VLG78TV")</f>
        <v>VLG78TV</v>
      </c>
      <c r="B141" s="1" t="str">
        <f>IFERROR(__xludf.DUMMYFUNCTION("""COMPUTED_VALUE"""),"A321")</f>
        <v>A321</v>
      </c>
      <c r="C141" s="1" t="str">
        <f>IFERROR(__xludf.DUMMYFUNCTION("""COMPUTED_VALUE"""),"LIPZ")</f>
        <v>LIPZ</v>
      </c>
      <c r="D141" s="1" t="str">
        <f>IFERROR(__xludf.DUMMYFUNCTION("""COMPUTED_VALUE"""),"LEBL")</f>
        <v>LEBL</v>
      </c>
      <c r="E141" s="1" t="str">
        <f>IFERROR(__xludf.DUMMYFUNCTION("""COMPUTED_VALUE"""),"ECMGZ")</f>
        <v>ECMGZ</v>
      </c>
      <c r="F141" s="1">
        <f>IFERROR(__xludf.DUMMYFUNCTION("""COMPUTED_VALUE"""),350.0)</f>
        <v>350</v>
      </c>
      <c r="G141" s="7">
        <f>IFERROR(__xludf.DUMMYFUNCTION("""COMPUTED_VALUE"""),0.3229166666666667)</f>
        <v>0.3229166667</v>
      </c>
      <c r="H141" s="1">
        <f>IFERROR(__xludf.DUMMYFUNCTION("""COMPUTED_VALUE"""),11.0)</f>
        <v>11</v>
      </c>
      <c r="I141" s="7">
        <f>IFERROR(__xludf.DUMMYFUNCTION("""COMPUTED_VALUE"""),0.3784722222222222)</f>
        <v>0.3784722222</v>
      </c>
      <c r="J141" s="1" t="str">
        <f>IFERROR(__xludf.DUMMYFUNCTION("""COMPUTED_VALUE"""),"D")</f>
        <v>D</v>
      </c>
      <c r="K141" s="1">
        <f>IFERROR(__xludf.DUMMYFUNCTION("""COMPUTED_VALUE"""),207.0)</f>
        <v>207</v>
      </c>
      <c r="L141" s="7">
        <f>IFERROR(__xludf.DUMMYFUNCTION("""COMPUTED_VALUE"""),0.055555555555555525)</f>
        <v>0.05555555556</v>
      </c>
      <c r="M141" s="7">
        <f>IFERROR(__xludf.DUMMYFUNCTION("""COMPUTED_VALUE"""),0.0352083333333333)</f>
        <v>0.03520833333</v>
      </c>
      <c r="O141" s="9">
        <f>IFERROR(__xludf.DUMMYFUNCTION("""COMPUTED_VALUE"""),701.3499999999993)</f>
        <v>701.35</v>
      </c>
      <c r="P141" s="1" t="str">
        <f>IFERROR(__xludf.DUMMYFUNCTION("""COMPUTED_VALUE"""),"VLG")</f>
        <v>VLG</v>
      </c>
      <c r="Q141" s="1" t="str">
        <f>IFERROR(__xludf.DUMMYFUNCTION("""COMPUTED_VALUE"""),"ECAC")</f>
        <v>ECAC</v>
      </c>
    </row>
    <row r="142">
      <c r="A142" s="1" t="str">
        <f>IFERROR(__xludf.DUMMYFUNCTION("""COMPUTED_VALUE"""),"TAP1030")</f>
        <v>TAP1030</v>
      </c>
      <c r="B142" s="1" t="str">
        <f>IFERROR(__xludf.DUMMYFUNCTION("""COMPUTED_VALUE"""),"A321")</f>
        <v>A321</v>
      </c>
      <c r="C142" s="1" t="str">
        <f>IFERROR(__xludf.DUMMYFUNCTION("""COMPUTED_VALUE"""),"LPPT")</f>
        <v>LPPT</v>
      </c>
      <c r="D142" s="1" t="str">
        <f>IFERROR(__xludf.DUMMYFUNCTION("""COMPUTED_VALUE"""),"LEBL")</f>
        <v>LEBL</v>
      </c>
      <c r="E142" s="1" t="str">
        <f>IFERROR(__xludf.DUMMYFUNCTION("""COMPUTED_VALUE"""),"LYWSA")</f>
        <v>LYWSA</v>
      </c>
      <c r="F142" s="1">
        <f>IFERROR(__xludf.DUMMYFUNCTION("""COMPUTED_VALUE"""),360.0)</f>
        <v>360</v>
      </c>
      <c r="G142" s="7">
        <f>IFERROR(__xludf.DUMMYFUNCTION("""COMPUTED_VALUE"""),0.30833333333333335)</f>
        <v>0.3083333333</v>
      </c>
      <c r="H142" s="1">
        <f>IFERROR(__xludf.DUMMYFUNCTION("""COMPUTED_VALUE"""),19.0)</f>
        <v>19</v>
      </c>
      <c r="I142" s="7">
        <f>IFERROR(__xludf.DUMMYFUNCTION("""COMPUTED_VALUE"""),0.3784722222222222)</f>
        <v>0.3784722222</v>
      </c>
      <c r="J142" s="1" t="str">
        <f>IFERROR(__xludf.DUMMYFUNCTION("""COMPUTED_VALUE"""),"D")</f>
        <v>D</v>
      </c>
      <c r="K142" s="1">
        <f>IFERROR(__xludf.DUMMYFUNCTION("""COMPUTED_VALUE"""),207.0)</f>
        <v>207</v>
      </c>
      <c r="L142" s="7">
        <f>IFERROR(__xludf.DUMMYFUNCTION("""COMPUTED_VALUE"""),0.07013888888888886)</f>
        <v>0.07013888889</v>
      </c>
      <c r="M142" s="7">
        <f>IFERROR(__xludf.DUMMYFUNCTION("""COMPUTED_VALUE"""),0.04423611111111108)</f>
        <v>0.04423611111</v>
      </c>
      <c r="O142" s="9">
        <f>IFERROR(__xludf.DUMMYFUNCTION("""COMPUTED_VALUE"""),881.1833333333327)</f>
        <v>881.1833333</v>
      </c>
      <c r="P142" s="1" t="str">
        <f>IFERROR(__xludf.DUMMYFUNCTION("""COMPUTED_VALUE"""),"TAP")</f>
        <v>TAP</v>
      </c>
      <c r="Q142" s="1" t="str">
        <f>IFERROR(__xludf.DUMMYFUNCTION("""COMPUTED_VALUE"""),"ECAC")</f>
        <v>ECAC</v>
      </c>
    </row>
    <row r="143">
      <c r="A143" s="1" t="str">
        <f>IFERROR(__xludf.DUMMYFUNCTION("""COMPUTED_VALUE"""),"AAL40")</f>
        <v>AAL40</v>
      </c>
      <c r="B143" s="1" t="str">
        <f>IFERROR(__xludf.DUMMYFUNCTION("""COMPUTED_VALUE"""),"B788")</f>
        <v>B788</v>
      </c>
      <c r="C143" s="1" t="str">
        <f>IFERROR(__xludf.DUMMYFUNCTION("""COMPUTED_VALUE"""),"KORD")</f>
        <v>KORD</v>
      </c>
      <c r="D143" s="1" t="str">
        <f>IFERROR(__xludf.DUMMYFUNCTION("""COMPUTED_VALUE"""),"LEBL")</f>
        <v>LEBL</v>
      </c>
      <c r="E143" s="1" t="str">
        <f>IFERROR(__xludf.DUMMYFUNCTION("""COMPUTED_VALUE"""),"N870AX")</f>
        <v>N870AX</v>
      </c>
      <c r="F143" s="1">
        <f>IFERROR(__xludf.DUMMYFUNCTION("""COMPUTED_VALUE"""),410.0)</f>
        <v>410</v>
      </c>
      <c r="G143" s="7">
        <f>IFERROR(__xludf.DUMMYFUNCTION("""COMPUTED_VALUE"""),0.05347222222222222)</f>
        <v>0.05347222222</v>
      </c>
      <c r="H143" s="1">
        <f>IFERROR(__xludf.DUMMYFUNCTION("""COMPUTED_VALUE"""),37.0)</f>
        <v>37</v>
      </c>
      <c r="I143" s="7">
        <f>IFERROR(__xludf.DUMMYFUNCTION("""COMPUTED_VALUE"""),0.3819444444444444)</f>
        <v>0.3819444444</v>
      </c>
      <c r="J143" s="1" t="str">
        <f>IFERROR(__xludf.DUMMYFUNCTION("""COMPUTED_VALUE"""),"B")</f>
        <v>B</v>
      </c>
      <c r="K143" s="1">
        <f>IFERROR(__xludf.DUMMYFUNCTION("""COMPUTED_VALUE"""),266.0)</f>
        <v>266</v>
      </c>
      <c r="L143" s="7">
        <f>IFERROR(__xludf.DUMMYFUNCTION("""COMPUTED_VALUE"""),0.3284722222222222)</f>
        <v>0.3284722222</v>
      </c>
      <c r="M143" s="7">
        <f>IFERROR(__xludf.DUMMYFUNCTION("""COMPUTED_VALUE"""),0.29006944444444444)</f>
        <v>0.2900694444</v>
      </c>
      <c r="O143" s="9">
        <f>IFERROR(__xludf.DUMMYFUNCTION("""COMPUTED_VALUE"""),6265.499999999999)</f>
        <v>6265.5</v>
      </c>
      <c r="P143" s="1" t="str">
        <f>IFERROR(__xludf.DUMMYFUNCTION("""COMPUTED_VALUE"""),"AAL")</f>
        <v>AAL</v>
      </c>
      <c r="Q143" s="1" t="str">
        <f>IFERROR(__xludf.DUMMYFUNCTION("""COMPUTED_VALUE"""),"NO ECAC")</f>
        <v>NO ECAC</v>
      </c>
    </row>
    <row r="144">
      <c r="A144" s="1" t="str">
        <f>IFERROR(__xludf.DUMMYFUNCTION("""COMPUTED_VALUE"""),"EJU61VN")</f>
        <v>EJU61VN</v>
      </c>
      <c r="B144" s="1" t="str">
        <f>IFERROR(__xludf.DUMMYFUNCTION("""COMPUTED_VALUE"""),"A319")</f>
        <v>A319</v>
      </c>
      <c r="C144" s="1" t="str">
        <f>IFERROR(__xludf.DUMMYFUNCTION("""COMPUTED_VALUE"""),"LFSB")</f>
        <v>LFSB</v>
      </c>
      <c r="D144" s="1" t="str">
        <f>IFERROR(__xludf.DUMMYFUNCTION("""COMPUTED_VALUE"""),"LEBL")</f>
        <v>LEBL</v>
      </c>
      <c r="E144" s="1" t="str">
        <f>IFERROR(__xludf.DUMMYFUNCTION("""COMPUTED_VALUE"""),"OELKC")</f>
        <v>OELKC</v>
      </c>
      <c r="F144" s="1">
        <f>IFERROR(__xludf.DUMMYFUNCTION("""COMPUTED_VALUE"""),330.0)</f>
        <v>330</v>
      </c>
      <c r="G144" s="7">
        <f>IFERROR(__xludf.DUMMYFUNCTION("""COMPUTED_VALUE"""),0.32916666666666666)</f>
        <v>0.3291666667</v>
      </c>
      <c r="H144" s="1">
        <f>IFERROR(__xludf.DUMMYFUNCTION("""COMPUTED_VALUE"""),11.0)</f>
        <v>11</v>
      </c>
      <c r="I144" s="7">
        <f>IFERROR(__xludf.DUMMYFUNCTION("""COMPUTED_VALUE"""),0.3819444444444444)</f>
        <v>0.3819444444</v>
      </c>
      <c r="J144" s="1" t="str">
        <f>IFERROR(__xludf.DUMMYFUNCTION("""COMPUTED_VALUE"""),"D")</f>
        <v>D</v>
      </c>
      <c r="K144" s="1">
        <f>IFERROR(__xludf.DUMMYFUNCTION("""COMPUTED_VALUE"""),144.0)</f>
        <v>144</v>
      </c>
      <c r="L144" s="7">
        <f>IFERROR(__xludf.DUMMYFUNCTION("""COMPUTED_VALUE"""),0.05277777777777776)</f>
        <v>0.05277777778</v>
      </c>
      <c r="M144" s="7">
        <f>IFERROR(__xludf.DUMMYFUNCTION("""COMPUTED_VALUE"""),0.03243055555555553)</f>
        <v>0.03243055556</v>
      </c>
      <c r="O144" s="9">
        <f>IFERROR(__xludf.DUMMYFUNCTION("""COMPUTED_VALUE"""),646.0166666666662)</f>
        <v>646.0166667</v>
      </c>
      <c r="P144" s="1" t="str">
        <f>IFERROR(__xludf.DUMMYFUNCTION("""COMPUTED_VALUE"""),"EJU")</f>
        <v>EJU</v>
      </c>
      <c r="Q144" s="1" t="str">
        <f>IFERROR(__xludf.DUMMYFUNCTION("""COMPUTED_VALUE"""),"ECAC")</f>
        <v>ECAC</v>
      </c>
    </row>
    <row r="145">
      <c r="A145" s="1" t="str">
        <f>IFERROR(__xludf.DUMMYFUNCTION("""COMPUTED_VALUE"""),"VLG2MC")</f>
        <v>VLG2MC</v>
      </c>
      <c r="B145" s="1" t="str">
        <f>IFERROR(__xludf.DUMMYFUNCTION("""COMPUTED_VALUE"""),"A320")</f>
        <v>A320</v>
      </c>
      <c r="C145" s="1" t="str">
        <f>IFERROR(__xludf.DUMMYFUNCTION("""COMPUTED_VALUE"""),"LEMH")</f>
        <v>LEMH</v>
      </c>
      <c r="D145" s="1" t="str">
        <f>IFERROR(__xludf.DUMMYFUNCTION("""COMPUTED_VALUE"""),"LEBL")</f>
        <v>LEBL</v>
      </c>
      <c r="E145" s="1" t="str">
        <f>IFERROR(__xludf.DUMMYFUNCTION("""COMPUTED_VALUE"""),"ECOKH")</f>
        <v>ECOKH</v>
      </c>
      <c r="F145" s="1">
        <f>IFERROR(__xludf.DUMMYFUNCTION("""COMPUTED_VALUE"""),180.0)</f>
        <v>180</v>
      </c>
      <c r="G145" s="7">
        <f>IFERROR(__xludf.DUMMYFUNCTION("""COMPUTED_VALUE"""),0.36736111111111114)</f>
        <v>0.3673611111</v>
      </c>
      <c r="H145" s="1">
        <f>IFERROR(__xludf.DUMMYFUNCTION("""COMPUTED_VALUE"""),10.0)</f>
        <v>10</v>
      </c>
      <c r="I145" s="7">
        <f>IFERROR(__xludf.DUMMYFUNCTION("""COMPUTED_VALUE"""),0.3819444444444444)</f>
        <v>0.3819444444</v>
      </c>
      <c r="J145" s="1" t="str">
        <f>IFERROR(__xludf.DUMMYFUNCTION("""COMPUTED_VALUE"""),"D")</f>
        <v>D</v>
      </c>
      <c r="K145" s="1">
        <f>IFERROR(__xludf.DUMMYFUNCTION("""COMPUTED_VALUE"""),173.0)</f>
        <v>173</v>
      </c>
      <c r="L145" s="7">
        <f>IFERROR(__xludf.DUMMYFUNCTION("""COMPUTED_VALUE"""),0.014583333333333282)</f>
        <v>0.01458333333</v>
      </c>
      <c r="M145" s="7">
        <f>IFERROR(__xludf.DUMMYFUNCTION("""COMPUTED_VALUE"""),0.0076388888888888375)</f>
        <v>0.007638888889</v>
      </c>
      <c r="O145" s="9">
        <f>IFERROR(__xludf.DUMMYFUNCTION("""COMPUTED_VALUE"""),152.16666666666563)</f>
        <v>152.1666667</v>
      </c>
      <c r="P145" s="1" t="str">
        <f>IFERROR(__xludf.DUMMYFUNCTION("""COMPUTED_VALUE"""),"VLG")</f>
        <v>VLG</v>
      </c>
      <c r="Q145" s="1" t="str">
        <f>IFERROR(__xludf.DUMMYFUNCTION("""COMPUTED_VALUE"""),"ECAC")</f>
        <v>ECAC</v>
      </c>
    </row>
    <row r="146">
      <c r="A146" s="1" t="str">
        <f>IFERROR(__xludf.DUMMYFUNCTION("""COMPUTED_VALUE"""),"RYR72PP")</f>
        <v>RYR72PP</v>
      </c>
      <c r="B146" s="1" t="str">
        <f>IFERROR(__xludf.DUMMYFUNCTION("""COMPUTED_VALUE"""),"B738")</f>
        <v>B738</v>
      </c>
      <c r="C146" s="1" t="str">
        <f>IFERROR(__xludf.DUMMYFUNCTION("""COMPUTED_VALUE"""),"LICJ")</f>
        <v>LICJ</v>
      </c>
      <c r="D146" s="1" t="str">
        <f>IFERROR(__xludf.DUMMYFUNCTION("""COMPUTED_VALUE"""),"LEBL")</f>
        <v>LEBL</v>
      </c>
      <c r="E146" s="1" t="str">
        <f>IFERROR(__xludf.DUMMYFUNCTION("""COMPUTED_VALUE"""),"9HQBM")</f>
        <v>9HQBM</v>
      </c>
      <c r="F146" s="1">
        <f>IFERROR(__xludf.DUMMYFUNCTION("""COMPUTED_VALUE"""),380.0)</f>
        <v>380</v>
      </c>
      <c r="G146" s="7">
        <f>IFERROR(__xludf.DUMMYFUNCTION("""COMPUTED_VALUE"""),0.32083333333333336)</f>
        <v>0.3208333333</v>
      </c>
      <c r="H146" s="1">
        <f>IFERROR(__xludf.DUMMYFUNCTION("""COMPUTED_VALUE"""),12.0)</f>
        <v>12</v>
      </c>
      <c r="I146" s="7">
        <f>IFERROR(__xludf.DUMMYFUNCTION("""COMPUTED_VALUE"""),0.3854166666666667)</f>
        <v>0.3854166667</v>
      </c>
      <c r="J146" s="1" t="str">
        <f>IFERROR(__xludf.DUMMYFUNCTION("""COMPUTED_VALUE"""),"D")</f>
        <v>D</v>
      </c>
      <c r="K146" s="1">
        <f>IFERROR(__xludf.DUMMYFUNCTION("""COMPUTED_VALUE"""),184.0)</f>
        <v>184</v>
      </c>
      <c r="L146" s="7">
        <f>IFERROR(__xludf.DUMMYFUNCTION("""COMPUTED_VALUE"""),0.06458333333333333)</f>
        <v>0.06458333333</v>
      </c>
      <c r="M146" s="7">
        <f>IFERROR(__xludf.DUMMYFUNCTION("""COMPUTED_VALUE"""),0.04354166666666666)</f>
        <v>0.04354166667</v>
      </c>
      <c r="O146" s="9">
        <f>IFERROR(__xludf.DUMMYFUNCTION("""COMPUTED_VALUE"""),867.3499999999999)</f>
        <v>867.35</v>
      </c>
      <c r="P146" s="1" t="str">
        <f>IFERROR(__xludf.DUMMYFUNCTION("""COMPUTED_VALUE"""),"RYR")</f>
        <v>RYR</v>
      </c>
      <c r="Q146" s="1" t="str">
        <f>IFERROR(__xludf.DUMMYFUNCTION("""COMPUTED_VALUE"""),"ECAC")</f>
        <v>ECAC</v>
      </c>
    </row>
    <row r="147">
      <c r="A147" s="1" t="str">
        <f>IFERROR(__xludf.DUMMYFUNCTION("""COMPUTED_VALUE"""),"QQE256")</f>
        <v>QQE256</v>
      </c>
      <c r="B147" s="1" t="str">
        <f>IFERROR(__xludf.DUMMYFUNCTION("""COMPUTED_VALUE"""),"GLF6")</f>
        <v>GLF6</v>
      </c>
      <c r="C147" s="1" t="str">
        <f>IFERROR(__xludf.DUMMYFUNCTION("""COMPUTED_VALUE"""),"LFMN")</f>
        <v>LFMN</v>
      </c>
      <c r="D147" s="1" t="str">
        <f>IFERROR(__xludf.DUMMYFUNCTION("""COMPUTED_VALUE"""),"LEBL")</f>
        <v>LEBL</v>
      </c>
      <c r="E147" s="1" t="str">
        <f>IFERROR(__xludf.DUMMYFUNCTION("""COMPUTED_VALUE"""),"A7CGG")</f>
        <v>A7CGG</v>
      </c>
      <c r="F147" s="1">
        <f>IFERROR(__xludf.DUMMYFUNCTION("""COMPUTED_VALUE"""),270.0)</f>
        <v>270</v>
      </c>
      <c r="G147" s="7">
        <f>IFERROR(__xludf.DUMMYFUNCTION("""COMPUTED_VALUE"""),0.3347222222222222)</f>
        <v>0.3347222222</v>
      </c>
      <c r="H147" s="1">
        <f>IFERROR(__xludf.DUMMYFUNCTION("""COMPUTED_VALUE"""),12.0)</f>
        <v>12</v>
      </c>
      <c r="I147" s="7">
        <f>IFERROR(__xludf.DUMMYFUNCTION("""COMPUTED_VALUE"""),0.3854166666666667)</f>
        <v>0.3854166667</v>
      </c>
      <c r="J147" s="1" t="str">
        <f>IFERROR(__xludf.DUMMYFUNCTION("""COMPUTED_VALUE"""),"E")</f>
        <v>E</v>
      </c>
      <c r="K147" s="1">
        <f>IFERROR(__xludf.DUMMYFUNCTION("""COMPUTED_VALUE"""),15.0)</f>
        <v>15</v>
      </c>
      <c r="L147" s="7">
        <f>IFERROR(__xludf.DUMMYFUNCTION("""COMPUTED_VALUE"""),0.050694444444444486)</f>
        <v>0.05069444444</v>
      </c>
      <c r="M147" s="7">
        <f>IFERROR(__xludf.DUMMYFUNCTION("""COMPUTED_VALUE"""),0.02965277777777782)</f>
        <v>0.02965277778</v>
      </c>
      <c r="O147" s="9">
        <f>IFERROR(__xludf.DUMMYFUNCTION("""COMPUTED_VALUE"""),320.25000000000045)</f>
        <v>320.25</v>
      </c>
      <c r="P147" s="1" t="str">
        <f>IFERROR(__xludf.DUMMYFUNCTION("""COMPUTED_VALUE"""),"QQE")</f>
        <v>QQE</v>
      </c>
      <c r="Q147" s="1" t="str">
        <f>IFERROR(__xludf.DUMMYFUNCTION("""COMPUTED_VALUE"""),"ECAC")</f>
        <v>ECAC</v>
      </c>
    </row>
    <row r="148">
      <c r="A148" s="1" t="str">
        <f>IFERROR(__xludf.DUMMYFUNCTION("""COMPUTED_VALUE"""),"AEA56GM")</f>
        <v>AEA56GM</v>
      </c>
      <c r="B148" s="1" t="str">
        <f>IFERROR(__xludf.DUMMYFUNCTION("""COMPUTED_VALUE"""),"B738")</f>
        <v>B738</v>
      </c>
      <c r="C148" s="1" t="str">
        <f>IFERROR(__xludf.DUMMYFUNCTION("""COMPUTED_VALUE"""),"LEPA")</f>
        <v>LEPA</v>
      </c>
      <c r="D148" s="1" t="str">
        <f>IFERROR(__xludf.DUMMYFUNCTION("""COMPUTED_VALUE"""),"LEBL")</f>
        <v>LEBL</v>
      </c>
      <c r="E148" s="1" t="str">
        <f>IFERROR(__xludf.DUMMYFUNCTION("""COMPUTED_VALUE"""),"ECLQX")</f>
        <v>ECLQX</v>
      </c>
      <c r="F148" s="1">
        <f>IFERROR(__xludf.DUMMYFUNCTION("""COMPUTED_VALUE"""),180.0)</f>
        <v>180</v>
      </c>
      <c r="G148" s="7">
        <f>IFERROR(__xludf.DUMMYFUNCTION("""COMPUTED_VALUE"""),0.3576388888888889)</f>
        <v>0.3576388889</v>
      </c>
      <c r="H148" s="1">
        <f>IFERROR(__xludf.DUMMYFUNCTION("""COMPUTED_VALUE"""),17.0)</f>
        <v>17</v>
      </c>
      <c r="I148" s="7">
        <f>IFERROR(__xludf.DUMMYFUNCTION("""COMPUTED_VALUE"""),0.3854166666666667)</f>
        <v>0.3854166667</v>
      </c>
      <c r="J148" s="1" t="str">
        <f>IFERROR(__xludf.DUMMYFUNCTION("""COMPUTED_VALUE"""),"D")</f>
        <v>D</v>
      </c>
      <c r="K148" s="1">
        <f>IFERROR(__xludf.DUMMYFUNCTION("""COMPUTED_VALUE"""),184.0)</f>
        <v>184</v>
      </c>
      <c r="L148" s="7">
        <f>IFERROR(__xludf.DUMMYFUNCTION("""COMPUTED_VALUE"""),0.02777777777777779)</f>
        <v>0.02777777778</v>
      </c>
      <c r="M148" s="7">
        <f>IFERROR(__xludf.DUMMYFUNCTION("""COMPUTED_VALUE"""),0.0032638888888889012)</f>
        <v>0.003263888889</v>
      </c>
      <c r="O148" s="9">
        <f>IFERROR(__xludf.DUMMYFUNCTION("""COMPUTED_VALUE"""),65.01666666666691)</f>
        <v>65.01666667</v>
      </c>
      <c r="P148" s="1" t="str">
        <f>IFERROR(__xludf.DUMMYFUNCTION("""COMPUTED_VALUE"""),"AEA")</f>
        <v>AEA</v>
      </c>
      <c r="Q148" s="1" t="str">
        <f>IFERROR(__xludf.DUMMYFUNCTION("""COMPUTED_VALUE"""),"ECAC")</f>
        <v>ECAC</v>
      </c>
    </row>
    <row r="149">
      <c r="A149" s="1" t="str">
        <f>IFERROR(__xludf.DUMMYFUNCTION("""COMPUTED_VALUE"""),"EXS69VT")</f>
        <v>EXS69VT</v>
      </c>
      <c r="B149" s="1" t="str">
        <f>IFERROR(__xludf.DUMMYFUNCTION("""COMPUTED_VALUE"""),"B738")</f>
        <v>B738</v>
      </c>
      <c r="C149" s="1" t="str">
        <f>IFERROR(__xludf.DUMMYFUNCTION("""COMPUTED_VALUE"""),"EGCC")</f>
        <v>EGCC</v>
      </c>
      <c r="D149" s="1" t="str">
        <f>IFERROR(__xludf.DUMMYFUNCTION("""COMPUTED_VALUE"""),"LEBL")</f>
        <v>LEBL</v>
      </c>
      <c r="E149" s="1" t="str">
        <f>IFERROR(__xludf.DUMMYFUNCTION("""COMPUTED_VALUE"""),"GJZHX")</f>
        <v>GJZHX</v>
      </c>
      <c r="F149" s="1">
        <f>IFERROR(__xludf.DUMMYFUNCTION("""COMPUTED_VALUE"""),390.0)</f>
        <v>390</v>
      </c>
      <c r="G149" s="7">
        <f>IFERROR(__xludf.DUMMYFUNCTION("""COMPUTED_VALUE"""),0.31180555555555556)</f>
        <v>0.3118055556</v>
      </c>
      <c r="H149" s="1">
        <f>IFERROR(__xludf.DUMMYFUNCTION("""COMPUTED_VALUE"""),18.0)</f>
        <v>18</v>
      </c>
      <c r="I149" s="7">
        <f>IFERROR(__xludf.DUMMYFUNCTION("""COMPUTED_VALUE"""),0.3854166666666667)</f>
        <v>0.3854166667</v>
      </c>
      <c r="J149" s="1" t="str">
        <f>IFERROR(__xludf.DUMMYFUNCTION("""COMPUTED_VALUE"""),"D")</f>
        <v>D</v>
      </c>
      <c r="K149" s="1">
        <f>IFERROR(__xludf.DUMMYFUNCTION("""COMPUTED_VALUE"""),184.0)</f>
        <v>184</v>
      </c>
      <c r="L149" s="7">
        <f>IFERROR(__xludf.DUMMYFUNCTION("""COMPUTED_VALUE"""),0.07361111111111113)</f>
        <v>0.07361111111</v>
      </c>
      <c r="M149" s="7">
        <f>IFERROR(__xludf.DUMMYFUNCTION("""COMPUTED_VALUE"""),0.048402777777777795)</f>
        <v>0.04840277778</v>
      </c>
      <c r="O149" s="9">
        <f>IFERROR(__xludf.DUMMYFUNCTION("""COMPUTED_VALUE"""),964.1833333333336)</f>
        <v>964.1833333</v>
      </c>
      <c r="P149" s="1" t="str">
        <f>IFERROR(__xludf.DUMMYFUNCTION("""COMPUTED_VALUE"""),"EXS")</f>
        <v>EXS</v>
      </c>
      <c r="Q149" s="1" t="str">
        <f>IFERROR(__xludf.DUMMYFUNCTION("""COMPUTED_VALUE"""),"ECAC")</f>
        <v>ECAC</v>
      </c>
    </row>
    <row r="150">
      <c r="A150" s="1" t="str">
        <f>IFERROR(__xludf.DUMMYFUNCTION("""COMPUTED_VALUE"""),"RYR6SU")</f>
        <v>RYR6SU</v>
      </c>
      <c r="B150" s="1" t="str">
        <f>IFERROR(__xludf.DUMMYFUNCTION("""COMPUTED_VALUE"""),"B38M")</f>
        <v>B38M</v>
      </c>
      <c r="C150" s="1" t="str">
        <f>IFERROR(__xludf.DUMMYFUNCTION("""COMPUTED_VALUE"""),"EICK")</f>
        <v>EICK</v>
      </c>
      <c r="D150" s="1" t="str">
        <f>IFERROR(__xludf.DUMMYFUNCTION("""COMPUTED_VALUE"""),"LEBL")</f>
        <v>LEBL</v>
      </c>
      <c r="E150" s="1" t="str">
        <f>IFERROR(__xludf.DUMMYFUNCTION("""COMPUTED_VALUE"""),"EIIJM")</f>
        <v>EIIJM</v>
      </c>
      <c r="F150" s="1">
        <f>IFERROR(__xludf.DUMMYFUNCTION("""COMPUTED_VALUE"""),390.0)</f>
        <v>390</v>
      </c>
      <c r="G150" s="7">
        <f>IFERROR(__xludf.DUMMYFUNCTION("""COMPUTED_VALUE"""),0.3020833333333333)</f>
        <v>0.3020833333</v>
      </c>
      <c r="H150" s="1">
        <f>IFERROR(__xludf.DUMMYFUNCTION("""COMPUTED_VALUE"""),10.0)</f>
        <v>10</v>
      </c>
      <c r="I150" s="7">
        <f>IFERROR(__xludf.DUMMYFUNCTION("""COMPUTED_VALUE"""),0.3888888888888889)</f>
        <v>0.3888888889</v>
      </c>
      <c r="J150" s="1" t="str">
        <f>IFERROR(__xludf.DUMMYFUNCTION("""COMPUTED_VALUE"""),"D")</f>
        <v>D</v>
      </c>
      <c r="K150" s="1">
        <f>IFERROR(__xludf.DUMMYFUNCTION("""COMPUTED_VALUE"""),186.0)</f>
        <v>186</v>
      </c>
      <c r="L150" s="7">
        <f>IFERROR(__xludf.DUMMYFUNCTION("""COMPUTED_VALUE"""),0.08680555555555558)</f>
        <v>0.08680555556</v>
      </c>
      <c r="M150" s="7">
        <f>IFERROR(__xludf.DUMMYFUNCTION("""COMPUTED_VALUE"""),0.0671527777777778)</f>
        <v>0.06715277778</v>
      </c>
      <c r="O150" s="9">
        <f>IFERROR(__xludf.DUMMYFUNCTION("""COMPUTED_VALUE"""),1337.6833333333338)</f>
        <v>1337.683333</v>
      </c>
      <c r="P150" s="1" t="str">
        <f>IFERROR(__xludf.DUMMYFUNCTION("""COMPUTED_VALUE"""),"RYR")</f>
        <v>RYR</v>
      </c>
      <c r="Q150" s="1" t="str">
        <f>IFERROR(__xludf.DUMMYFUNCTION("""COMPUTED_VALUE"""),"ECAC")</f>
        <v>ECAC</v>
      </c>
    </row>
    <row r="151">
      <c r="A151" s="1" t="str">
        <f>IFERROR(__xludf.DUMMYFUNCTION("""COMPUTED_VALUE"""),"VLG33BZ")</f>
        <v>VLG33BZ</v>
      </c>
      <c r="B151" s="1" t="str">
        <f>IFERROR(__xludf.DUMMYFUNCTION("""COMPUTED_VALUE"""),"A320")</f>
        <v>A320</v>
      </c>
      <c r="C151" s="1" t="str">
        <f>IFERROR(__xludf.DUMMYFUNCTION("""COMPUTED_VALUE"""),"LPPR")</f>
        <v>LPPR</v>
      </c>
      <c r="D151" s="1" t="str">
        <f>IFERROR(__xludf.DUMMYFUNCTION("""COMPUTED_VALUE"""),"LEBL")</f>
        <v>LEBL</v>
      </c>
      <c r="E151" s="1" t="str">
        <f>IFERROR(__xludf.DUMMYFUNCTION("""COMPUTED_VALUE"""),"ECMAH")</f>
        <v>ECMAH</v>
      </c>
      <c r="F151" s="1">
        <f>IFERROR(__xludf.DUMMYFUNCTION("""COMPUTED_VALUE"""),320.0)</f>
        <v>320</v>
      </c>
      <c r="G151" s="7">
        <f>IFERROR(__xludf.DUMMYFUNCTION("""COMPUTED_VALUE"""),0.3347222222222222)</f>
        <v>0.3347222222</v>
      </c>
      <c r="H151" s="1">
        <f>IFERROR(__xludf.DUMMYFUNCTION("""COMPUTED_VALUE"""),10.0)</f>
        <v>10</v>
      </c>
      <c r="I151" s="7">
        <f>IFERROR(__xludf.DUMMYFUNCTION("""COMPUTED_VALUE"""),0.3888888888888889)</f>
        <v>0.3888888889</v>
      </c>
      <c r="J151" s="1" t="str">
        <f>IFERROR(__xludf.DUMMYFUNCTION("""COMPUTED_VALUE"""),"D")</f>
        <v>D</v>
      </c>
      <c r="K151" s="1">
        <f>IFERROR(__xludf.DUMMYFUNCTION("""COMPUTED_VALUE"""),173.0)</f>
        <v>173</v>
      </c>
      <c r="L151" s="7">
        <f>IFERROR(__xludf.DUMMYFUNCTION("""COMPUTED_VALUE"""),0.054166666666666696)</f>
        <v>0.05416666667</v>
      </c>
      <c r="M151" s="7">
        <f>IFERROR(__xludf.DUMMYFUNCTION("""COMPUTED_VALUE"""),0.03451388888888891)</f>
        <v>0.03451388889</v>
      </c>
      <c r="O151" s="9">
        <f>IFERROR(__xludf.DUMMYFUNCTION("""COMPUTED_VALUE"""),687.5166666666671)</f>
        <v>687.5166667</v>
      </c>
      <c r="P151" s="1" t="str">
        <f>IFERROR(__xludf.DUMMYFUNCTION("""COMPUTED_VALUE"""),"VLG")</f>
        <v>VLG</v>
      </c>
      <c r="Q151" s="1" t="str">
        <f>IFERROR(__xludf.DUMMYFUNCTION("""COMPUTED_VALUE"""),"ECAC")</f>
        <v>ECAC</v>
      </c>
    </row>
    <row r="152">
      <c r="A152" s="1" t="str">
        <f>IFERROR(__xludf.DUMMYFUNCTION("""COMPUTED_VALUE"""),"VLG8GA")</f>
        <v>VLG8GA</v>
      </c>
      <c r="B152" s="1" t="str">
        <f>IFERROR(__xludf.DUMMYFUNCTION("""COMPUTED_VALUE"""),"A320")</f>
        <v>A320</v>
      </c>
      <c r="C152" s="1" t="str">
        <f>IFERROR(__xludf.DUMMYFUNCTION("""COMPUTED_VALUE"""),"LFPO")</f>
        <v>LFPO</v>
      </c>
      <c r="D152" s="1" t="str">
        <f>IFERROR(__xludf.DUMMYFUNCTION("""COMPUTED_VALUE"""),"LEBL")</f>
        <v>LEBL</v>
      </c>
      <c r="E152" s="1" t="str">
        <f>IFERROR(__xludf.DUMMYFUNCTION("""COMPUTED_VALUE"""),"ECMCU")</f>
        <v>ECMCU</v>
      </c>
      <c r="F152" s="1">
        <f>IFERROR(__xludf.DUMMYFUNCTION("""COMPUTED_VALUE"""),370.0)</f>
        <v>370</v>
      </c>
      <c r="G152" s="7">
        <f>IFERROR(__xludf.DUMMYFUNCTION("""COMPUTED_VALUE"""),0.3416666666666667)</f>
        <v>0.3416666667</v>
      </c>
      <c r="H152" s="1">
        <f>IFERROR(__xludf.DUMMYFUNCTION("""COMPUTED_VALUE"""),13.0)</f>
        <v>13</v>
      </c>
      <c r="I152" s="7">
        <f>IFERROR(__xludf.DUMMYFUNCTION("""COMPUTED_VALUE"""),0.3888888888888889)</f>
        <v>0.3888888889</v>
      </c>
      <c r="J152" s="1" t="str">
        <f>IFERROR(__xludf.DUMMYFUNCTION("""COMPUTED_VALUE"""),"D")</f>
        <v>D</v>
      </c>
      <c r="K152" s="1">
        <f>IFERROR(__xludf.DUMMYFUNCTION("""COMPUTED_VALUE"""),173.0)</f>
        <v>173</v>
      </c>
      <c r="L152" s="7">
        <f>IFERROR(__xludf.DUMMYFUNCTION("""COMPUTED_VALUE"""),0.04722222222222222)</f>
        <v>0.04722222222</v>
      </c>
      <c r="M152" s="7">
        <f>IFERROR(__xludf.DUMMYFUNCTION("""COMPUTED_VALUE"""),0.02548611111111111)</f>
        <v>0.02548611111</v>
      </c>
      <c r="O152" s="9">
        <f>IFERROR(__xludf.DUMMYFUNCTION("""COMPUTED_VALUE"""),507.6833333333333)</f>
        <v>507.6833333</v>
      </c>
      <c r="P152" s="1" t="str">
        <f>IFERROR(__xludf.DUMMYFUNCTION("""COMPUTED_VALUE"""),"VLG")</f>
        <v>VLG</v>
      </c>
      <c r="Q152" s="1" t="str">
        <f>IFERROR(__xludf.DUMMYFUNCTION("""COMPUTED_VALUE"""),"ECAC")</f>
        <v>ECAC</v>
      </c>
    </row>
    <row r="153">
      <c r="A153" s="1" t="str">
        <f>IFERROR(__xludf.DUMMYFUNCTION("""COMPUTED_VALUE"""),"BEL8DL")</f>
        <v>BEL8DL</v>
      </c>
      <c r="B153" s="1" t="str">
        <f>IFERROR(__xludf.DUMMYFUNCTION("""COMPUTED_VALUE"""),"A320")</f>
        <v>A320</v>
      </c>
      <c r="C153" s="1" t="str">
        <f>IFERROR(__xludf.DUMMYFUNCTION("""COMPUTED_VALUE"""),"EBBR")</f>
        <v>EBBR</v>
      </c>
      <c r="D153" s="1" t="str">
        <f>IFERROR(__xludf.DUMMYFUNCTION("""COMPUTED_VALUE"""),"LEBL")</f>
        <v>LEBL</v>
      </c>
      <c r="E153" s="1" t="str">
        <f>IFERROR(__xludf.DUMMYFUNCTION("""COMPUTED_VALUE"""),"OOTCH")</f>
        <v>OOTCH</v>
      </c>
      <c r="F153" s="1">
        <f>IFERROR(__xludf.DUMMYFUNCTION("""COMPUTED_VALUE"""),390.0)</f>
        <v>390</v>
      </c>
      <c r="G153" s="7">
        <f>IFERROR(__xludf.DUMMYFUNCTION("""COMPUTED_VALUE"""),0.3277777777777778)</f>
        <v>0.3277777778</v>
      </c>
      <c r="H153" s="1">
        <f>IFERROR(__xludf.DUMMYFUNCTION("""COMPUTED_VALUE"""),12.0)</f>
        <v>12</v>
      </c>
      <c r="I153" s="7">
        <f>IFERROR(__xludf.DUMMYFUNCTION("""COMPUTED_VALUE"""),0.3888888888888889)</f>
        <v>0.3888888889</v>
      </c>
      <c r="J153" s="1" t="str">
        <f>IFERROR(__xludf.DUMMYFUNCTION("""COMPUTED_VALUE"""),"D")</f>
        <v>D</v>
      </c>
      <c r="K153" s="1">
        <f>IFERROR(__xludf.DUMMYFUNCTION("""COMPUTED_VALUE"""),173.0)</f>
        <v>173</v>
      </c>
      <c r="L153" s="7">
        <f>IFERROR(__xludf.DUMMYFUNCTION("""COMPUTED_VALUE"""),0.061111111111111116)</f>
        <v>0.06111111111</v>
      </c>
      <c r="M153" s="7">
        <f>IFERROR(__xludf.DUMMYFUNCTION("""COMPUTED_VALUE"""),0.04006944444444445)</f>
        <v>0.04006944444</v>
      </c>
      <c r="O153" s="9">
        <f>IFERROR(__xludf.DUMMYFUNCTION("""COMPUTED_VALUE"""),798.1833333333334)</f>
        <v>798.1833333</v>
      </c>
      <c r="P153" s="1" t="str">
        <f>IFERROR(__xludf.DUMMYFUNCTION("""COMPUTED_VALUE"""),"BEL")</f>
        <v>BEL</v>
      </c>
      <c r="Q153" s="1" t="str">
        <f>IFERROR(__xludf.DUMMYFUNCTION("""COMPUTED_VALUE"""),"ECAC")</f>
        <v>ECAC</v>
      </c>
    </row>
    <row r="154">
      <c r="A154" s="1" t="str">
        <f>IFERROR(__xludf.DUMMYFUNCTION("""COMPUTED_VALUE"""),"VLG7GX")</f>
        <v>VLG7GX</v>
      </c>
      <c r="B154" s="1" t="str">
        <f>IFERROR(__xludf.DUMMYFUNCTION("""COMPUTED_VALUE"""),"A321")</f>
        <v>A321</v>
      </c>
      <c r="C154" s="1" t="str">
        <f>IFERROR(__xludf.DUMMYFUNCTION("""COMPUTED_VALUE"""),"EBBR")</f>
        <v>EBBR</v>
      </c>
      <c r="D154" s="1" t="str">
        <f>IFERROR(__xludf.DUMMYFUNCTION("""COMPUTED_VALUE"""),"LEBL")</f>
        <v>LEBL</v>
      </c>
      <c r="E154" s="1" t="str">
        <f>IFERROR(__xludf.DUMMYFUNCTION("""COMPUTED_VALUE"""),"ECNLX")</f>
        <v>ECNLX</v>
      </c>
      <c r="F154" s="1">
        <f>IFERROR(__xludf.DUMMYFUNCTION("""COMPUTED_VALUE"""),370.0)</f>
        <v>370</v>
      </c>
      <c r="G154" s="7">
        <f>IFERROR(__xludf.DUMMYFUNCTION("""COMPUTED_VALUE"""),0.33055555555555555)</f>
        <v>0.3305555556</v>
      </c>
      <c r="H154" s="1">
        <f>IFERROR(__xludf.DUMMYFUNCTION("""COMPUTED_VALUE"""),11.0)</f>
        <v>11</v>
      </c>
      <c r="I154" s="7">
        <f>IFERROR(__xludf.DUMMYFUNCTION("""COMPUTED_VALUE"""),0.3923611111111111)</f>
        <v>0.3923611111</v>
      </c>
      <c r="J154" s="1" t="str">
        <f>IFERROR(__xludf.DUMMYFUNCTION("""COMPUTED_VALUE"""),"D")</f>
        <v>D</v>
      </c>
      <c r="K154" s="1">
        <f>IFERROR(__xludf.DUMMYFUNCTION("""COMPUTED_VALUE"""),207.0)</f>
        <v>207</v>
      </c>
      <c r="L154" s="7">
        <f>IFERROR(__xludf.DUMMYFUNCTION("""COMPUTED_VALUE"""),0.06180555555555556)</f>
        <v>0.06180555556</v>
      </c>
      <c r="M154" s="7">
        <f>IFERROR(__xludf.DUMMYFUNCTION("""COMPUTED_VALUE"""),0.04145833333333333)</f>
        <v>0.04145833333</v>
      </c>
      <c r="O154" s="9">
        <f>IFERROR(__xludf.DUMMYFUNCTION("""COMPUTED_VALUE"""),825.85)</f>
        <v>825.85</v>
      </c>
      <c r="P154" s="1" t="str">
        <f>IFERROR(__xludf.DUMMYFUNCTION("""COMPUTED_VALUE"""),"VLG")</f>
        <v>VLG</v>
      </c>
      <c r="Q154" s="1" t="str">
        <f>IFERROR(__xludf.DUMMYFUNCTION("""COMPUTED_VALUE"""),"ECAC")</f>
        <v>ECAC</v>
      </c>
    </row>
    <row r="155">
      <c r="A155" s="1" t="str">
        <f>IFERROR(__xludf.DUMMYFUNCTION("""COMPUTED_VALUE"""),"DLH39X")</f>
        <v>DLH39X</v>
      </c>
      <c r="B155" s="1" t="str">
        <f>IFERROR(__xludf.DUMMYFUNCTION("""COMPUTED_VALUE"""),"A321")</f>
        <v>A321</v>
      </c>
      <c r="C155" s="1" t="str">
        <f>IFERROR(__xludf.DUMMYFUNCTION("""COMPUTED_VALUE"""),"EDDF")</f>
        <v>EDDF</v>
      </c>
      <c r="D155" s="1" t="str">
        <f>IFERROR(__xludf.DUMMYFUNCTION("""COMPUTED_VALUE"""),"LEBL")</f>
        <v>LEBL</v>
      </c>
      <c r="E155" s="1" t="str">
        <f>IFERROR(__xludf.DUMMYFUNCTION("""COMPUTED_VALUE"""),"DAISV")</f>
        <v>DAISV</v>
      </c>
      <c r="F155" s="1">
        <f>IFERROR(__xludf.DUMMYFUNCTION("""COMPUTED_VALUE"""),370.0)</f>
        <v>370</v>
      </c>
      <c r="G155" s="7">
        <f>IFERROR(__xludf.DUMMYFUNCTION("""COMPUTED_VALUE"""),0.33611111111111114)</f>
        <v>0.3361111111</v>
      </c>
      <c r="H155" s="1">
        <f>IFERROR(__xludf.DUMMYFUNCTION("""COMPUTED_VALUE"""),14.0)</f>
        <v>14</v>
      </c>
      <c r="I155" s="7">
        <f>IFERROR(__xludf.DUMMYFUNCTION("""COMPUTED_VALUE"""),0.3958333333333333)</f>
        <v>0.3958333333</v>
      </c>
      <c r="J155" s="1" t="str">
        <f>IFERROR(__xludf.DUMMYFUNCTION("""COMPUTED_VALUE"""),"D")</f>
        <v>D</v>
      </c>
      <c r="K155" s="1">
        <f>IFERROR(__xludf.DUMMYFUNCTION("""COMPUTED_VALUE"""),207.0)</f>
        <v>207</v>
      </c>
      <c r="L155" s="7">
        <f>IFERROR(__xludf.DUMMYFUNCTION("""COMPUTED_VALUE"""),0.05972222222222218)</f>
        <v>0.05972222222</v>
      </c>
      <c r="M155" s="7">
        <f>IFERROR(__xludf.DUMMYFUNCTION("""COMPUTED_VALUE"""),0.03729166666666662)</f>
        <v>0.03729166667</v>
      </c>
      <c r="O155" s="9">
        <f>IFERROR(__xludf.DUMMYFUNCTION("""COMPUTED_VALUE"""),742.8499999999991)</f>
        <v>742.85</v>
      </c>
      <c r="P155" s="1" t="str">
        <f>IFERROR(__xludf.DUMMYFUNCTION("""COMPUTED_VALUE"""),"DLH")</f>
        <v>DLH</v>
      </c>
      <c r="Q155" s="1" t="str">
        <f>IFERROR(__xludf.DUMMYFUNCTION("""COMPUTED_VALUE"""),"ECAC")</f>
        <v>ECAC</v>
      </c>
    </row>
    <row r="156">
      <c r="A156" s="1" t="str">
        <f>IFERROR(__xludf.DUMMYFUNCTION("""COMPUTED_VALUE"""),"VLG4MW")</f>
        <v>VLG4MW</v>
      </c>
      <c r="B156" s="1" t="str">
        <f>IFERROR(__xludf.DUMMYFUNCTION("""COMPUTED_VALUE"""),"A321")</f>
        <v>A321</v>
      </c>
      <c r="C156" s="1" t="str">
        <f>IFERROR(__xludf.DUMMYFUNCTION("""COMPUTED_VALUE"""),"LECO")</f>
        <v>LECO</v>
      </c>
      <c r="D156" s="1" t="str">
        <f>IFERROR(__xludf.DUMMYFUNCTION("""COMPUTED_VALUE"""),"LEBL")</f>
        <v>LEBL</v>
      </c>
      <c r="E156" s="1" t="str">
        <f>IFERROR(__xludf.DUMMYFUNCTION("""COMPUTED_VALUE"""),"ECMHA")</f>
        <v>ECMHA</v>
      </c>
      <c r="F156" s="1">
        <f>IFERROR(__xludf.DUMMYFUNCTION("""COMPUTED_VALUE"""),320.0)</f>
        <v>320</v>
      </c>
      <c r="G156" s="7">
        <f>IFERROR(__xludf.DUMMYFUNCTION("""COMPUTED_VALUE"""),0.34097222222222223)</f>
        <v>0.3409722222</v>
      </c>
      <c r="H156" s="1">
        <f>IFERROR(__xludf.DUMMYFUNCTION("""COMPUTED_VALUE"""),6.0)</f>
        <v>6</v>
      </c>
      <c r="I156" s="7">
        <f>IFERROR(__xludf.DUMMYFUNCTION("""COMPUTED_VALUE"""),0.3958333333333333)</f>
        <v>0.3958333333</v>
      </c>
      <c r="J156" s="1" t="str">
        <f>IFERROR(__xludf.DUMMYFUNCTION("""COMPUTED_VALUE"""),"D")</f>
        <v>D</v>
      </c>
      <c r="K156" s="1">
        <f>IFERROR(__xludf.DUMMYFUNCTION("""COMPUTED_VALUE"""),207.0)</f>
        <v>207</v>
      </c>
      <c r="L156" s="7">
        <f>IFERROR(__xludf.DUMMYFUNCTION("""COMPUTED_VALUE"""),0.05486111111111108)</f>
        <v>0.05486111111</v>
      </c>
      <c r="M156" s="7">
        <f>IFERROR(__xludf.DUMMYFUNCTION("""COMPUTED_VALUE"""),0.03798611111111108)</f>
        <v>0.03798611111</v>
      </c>
      <c r="O156" s="9">
        <f>IFERROR(__xludf.DUMMYFUNCTION("""COMPUTED_VALUE"""),756.6833333333327)</f>
        <v>756.6833333</v>
      </c>
      <c r="P156" s="1" t="str">
        <f>IFERROR(__xludf.DUMMYFUNCTION("""COMPUTED_VALUE"""),"VLG")</f>
        <v>VLG</v>
      </c>
      <c r="Q156" s="1" t="str">
        <f>IFERROR(__xludf.DUMMYFUNCTION("""COMPUTED_VALUE"""),"NO ECAC")</f>
        <v>NO ECAC</v>
      </c>
    </row>
    <row r="157">
      <c r="A157" s="1" t="str">
        <f>IFERROR(__xludf.DUMMYFUNCTION("""COMPUTED_VALUE"""),"IBE26BT")</f>
        <v>IBE26BT</v>
      </c>
      <c r="B157" s="1" t="str">
        <f>IFERROR(__xludf.DUMMYFUNCTION("""COMPUTED_VALUE"""),"A332")</f>
        <v>A332</v>
      </c>
      <c r="C157" s="1" t="str">
        <f>IFERROR(__xludf.DUMMYFUNCTION("""COMPUTED_VALUE"""),"KBOS")</f>
        <v>KBOS</v>
      </c>
      <c r="D157" s="1" t="str">
        <f>IFERROR(__xludf.DUMMYFUNCTION("""COMPUTED_VALUE"""),"LEBL")</f>
        <v>LEBL</v>
      </c>
      <c r="E157" s="1" t="str">
        <f>IFERROR(__xludf.DUMMYFUNCTION("""COMPUTED_VALUE"""),"ECNRG")</f>
        <v>ECNRG</v>
      </c>
      <c r="F157" s="1">
        <f>IFERROR(__xludf.DUMMYFUNCTION("""COMPUTED_VALUE"""),410.0)</f>
        <v>410</v>
      </c>
      <c r="G157" s="7">
        <f>IFERROR(__xludf.DUMMYFUNCTION("""COMPUTED_VALUE"""),0.13819444444444445)</f>
        <v>0.1381944444</v>
      </c>
      <c r="H157" s="1">
        <f>IFERROR(__xludf.DUMMYFUNCTION("""COMPUTED_VALUE"""),19.0)</f>
        <v>19</v>
      </c>
      <c r="I157" s="7">
        <f>IFERROR(__xludf.DUMMYFUNCTION("""COMPUTED_VALUE"""),0.3958333333333333)</f>
        <v>0.3958333333</v>
      </c>
      <c r="J157" s="1" t="str">
        <f>IFERROR(__xludf.DUMMYFUNCTION("""COMPUTED_VALUE"""),"B")</f>
        <v>B</v>
      </c>
      <c r="K157" s="1">
        <f>IFERROR(__xludf.DUMMYFUNCTION("""COMPUTED_VALUE"""),281.0)</f>
        <v>281</v>
      </c>
      <c r="L157" s="7">
        <f>IFERROR(__xludf.DUMMYFUNCTION("""COMPUTED_VALUE"""),0.25763888888888886)</f>
        <v>0.2576388889</v>
      </c>
      <c r="M157" s="7">
        <f>IFERROR(__xludf.DUMMYFUNCTION("""COMPUTED_VALUE"""),0.2317361111111111)</f>
        <v>0.2317361111</v>
      </c>
      <c r="O157" s="9">
        <f>IFERROR(__xludf.DUMMYFUNCTION("""COMPUTED_VALUE"""),5005.499999999999)</f>
        <v>5005.5</v>
      </c>
      <c r="P157" s="1" t="str">
        <f>IFERROR(__xludf.DUMMYFUNCTION("""COMPUTED_VALUE"""),"IBE")</f>
        <v>IBE</v>
      </c>
      <c r="Q157" s="1" t="str">
        <f>IFERROR(__xludf.DUMMYFUNCTION("""COMPUTED_VALUE"""),"NO ECAC")</f>
        <v>NO ECAC</v>
      </c>
    </row>
    <row r="158">
      <c r="A158" s="1" t="str">
        <f>IFERROR(__xludf.DUMMYFUNCTION("""COMPUTED_VALUE"""),"VLG1869")</f>
        <v>VLG1869</v>
      </c>
      <c r="B158" s="1" t="str">
        <f>IFERROR(__xludf.DUMMYFUNCTION("""COMPUTED_VALUE"""),"A320")</f>
        <v>A320</v>
      </c>
      <c r="C158" s="1" t="str">
        <f>IFERROR(__xludf.DUMMYFUNCTION("""COMPUTED_VALUE"""),"EDDS")</f>
        <v>EDDS</v>
      </c>
      <c r="D158" s="1" t="str">
        <f>IFERROR(__xludf.DUMMYFUNCTION("""COMPUTED_VALUE"""),"LEBL")</f>
        <v>LEBL</v>
      </c>
      <c r="E158" s="1" t="str">
        <f>IFERROR(__xludf.DUMMYFUNCTION("""COMPUTED_VALUE"""),"ECKHN")</f>
        <v>ECKHN</v>
      </c>
      <c r="F158" s="1">
        <f>IFERROR(__xludf.DUMMYFUNCTION("""COMPUTED_VALUE"""),370.0)</f>
        <v>370</v>
      </c>
      <c r="G158" s="7">
        <f>IFERROR(__xludf.DUMMYFUNCTION("""COMPUTED_VALUE"""),0.34444444444444444)</f>
        <v>0.3444444444</v>
      </c>
      <c r="H158" s="1">
        <f>IFERROR(__xludf.DUMMYFUNCTION("""COMPUTED_VALUE"""),11.0)</f>
        <v>11</v>
      </c>
      <c r="I158" s="7">
        <f>IFERROR(__xludf.DUMMYFUNCTION("""COMPUTED_VALUE"""),0.3993055555555556)</f>
        <v>0.3993055556</v>
      </c>
      <c r="J158" s="1" t="str">
        <f>IFERROR(__xludf.DUMMYFUNCTION("""COMPUTED_VALUE"""),"D")</f>
        <v>D</v>
      </c>
      <c r="K158" s="1">
        <f>IFERROR(__xludf.DUMMYFUNCTION("""COMPUTED_VALUE"""),173.0)</f>
        <v>173</v>
      </c>
      <c r="L158" s="7">
        <f>IFERROR(__xludf.DUMMYFUNCTION("""COMPUTED_VALUE"""),0.05486111111111114)</f>
        <v>0.05486111111</v>
      </c>
      <c r="M158" s="7">
        <f>IFERROR(__xludf.DUMMYFUNCTION("""COMPUTED_VALUE"""),0.03451388888888891)</f>
        <v>0.03451388889</v>
      </c>
      <c r="O158" s="9">
        <f>IFERROR(__xludf.DUMMYFUNCTION("""COMPUTED_VALUE"""),687.5166666666671)</f>
        <v>687.5166667</v>
      </c>
      <c r="P158" s="1" t="str">
        <f>IFERROR(__xludf.DUMMYFUNCTION("""COMPUTED_VALUE"""),"VLG")</f>
        <v>VLG</v>
      </c>
      <c r="Q158" s="1" t="str">
        <f>IFERROR(__xludf.DUMMYFUNCTION("""COMPUTED_VALUE"""),"ECAC")</f>
        <v>ECAC</v>
      </c>
    </row>
    <row r="159">
      <c r="A159" s="1" t="str">
        <f>IFERROR(__xludf.DUMMYFUNCTION("""COMPUTED_VALUE"""),"TVF12YC")</f>
        <v>TVF12YC</v>
      </c>
      <c r="B159" s="1" t="str">
        <f>IFERROR(__xludf.DUMMYFUNCTION("""COMPUTED_VALUE"""),"A20N")</f>
        <v>A20N</v>
      </c>
      <c r="C159" s="1" t="str">
        <f>IFERROR(__xludf.DUMMYFUNCTION("""COMPUTED_VALUE"""),"LFPO")</f>
        <v>LFPO</v>
      </c>
      <c r="D159" s="1" t="str">
        <f>IFERROR(__xludf.DUMMYFUNCTION("""COMPUTED_VALUE"""),"LEBL")</f>
        <v>LEBL</v>
      </c>
      <c r="E159" s="1" t="str">
        <f>IFERROR(__xludf.DUMMYFUNCTION("""COMPUTED_VALUE"""),"FHXSB")</f>
        <v>FHXSB</v>
      </c>
      <c r="F159" s="1">
        <f>IFERROR(__xludf.DUMMYFUNCTION("""COMPUTED_VALUE"""),370.0)</f>
        <v>370</v>
      </c>
      <c r="G159" s="7">
        <f>IFERROR(__xludf.DUMMYFUNCTION("""COMPUTED_VALUE"""),0.3416666666666667)</f>
        <v>0.3416666667</v>
      </c>
      <c r="H159" s="1">
        <f>IFERROR(__xludf.DUMMYFUNCTION("""COMPUTED_VALUE"""),7.0)</f>
        <v>7</v>
      </c>
      <c r="I159" s="7">
        <f>IFERROR(__xludf.DUMMYFUNCTION("""COMPUTED_VALUE"""),0.3993055555555556)</f>
        <v>0.3993055556</v>
      </c>
      <c r="J159" s="1" t="str">
        <f>IFERROR(__xludf.DUMMYFUNCTION("""COMPUTED_VALUE"""),"D")</f>
        <v>D</v>
      </c>
      <c r="K159" s="1">
        <f>IFERROR(__xludf.DUMMYFUNCTION("""COMPUTED_VALUE"""),180.0)</f>
        <v>180</v>
      </c>
      <c r="L159" s="7">
        <f>IFERROR(__xludf.DUMMYFUNCTION("""COMPUTED_VALUE"""),0.057638888888888906)</f>
        <v>0.05763888889</v>
      </c>
      <c r="M159" s="7">
        <f>IFERROR(__xludf.DUMMYFUNCTION("""COMPUTED_VALUE"""),0.04006944444444446)</f>
        <v>0.04006944444</v>
      </c>
      <c r="O159" s="9">
        <f>IFERROR(__xludf.DUMMYFUNCTION("""COMPUTED_VALUE"""),798.1833333333337)</f>
        <v>798.1833333</v>
      </c>
      <c r="P159" s="1" t="str">
        <f>IFERROR(__xludf.DUMMYFUNCTION("""COMPUTED_VALUE"""),"TVF")</f>
        <v>TVF</v>
      </c>
      <c r="Q159" s="1" t="str">
        <f>IFERROR(__xludf.DUMMYFUNCTION("""COMPUTED_VALUE"""),"ECAC")</f>
        <v>ECAC</v>
      </c>
    </row>
    <row r="160">
      <c r="A160" s="1" t="str">
        <f>IFERROR(__xludf.DUMMYFUNCTION("""COMPUTED_VALUE"""),"VLG2TP")</f>
        <v>VLG2TP</v>
      </c>
      <c r="B160" s="1" t="str">
        <f>IFERROR(__xludf.DUMMYFUNCTION("""COMPUTED_VALUE"""),"A321")</f>
        <v>A321</v>
      </c>
      <c r="C160" s="1" t="str">
        <f>IFERROR(__xludf.DUMMYFUNCTION("""COMPUTED_VALUE"""),"LIRN")</f>
        <v>LIRN</v>
      </c>
      <c r="D160" s="1" t="str">
        <f>IFERROR(__xludf.DUMMYFUNCTION("""COMPUTED_VALUE"""),"LEBL")</f>
        <v>LEBL</v>
      </c>
      <c r="E160" s="1" t="str">
        <f>IFERROR(__xludf.DUMMYFUNCTION("""COMPUTED_VALUE"""),"ECMPV")</f>
        <v>ECMPV</v>
      </c>
      <c r="F160" s="1">
        <f>IFERROR(__xludf.DUMMYFUNCTION("""COMPUTED_VALUE"""),340.0)</f>
        <v>340</v>
      </c>
      <c r="G160" s="7">
        <f>IFERROR(__xludf.DUMMYFUNCTION("""COMPUTED_VALUE"""),0.34305555555555556)</f>
        <v>0.3430555556</v>
      </c>
      <c r="H160" s="1">
        <f>IFERROR(__xludf.DUMMYFUNCTION("""COMPUTED_VALUE"""),9.0)</f>
        <v>9</v>
      </c>
      <c r="I160" s="7">
        <f>IFERROR(__xludf.DUMMYFUNCTION("""COMPUTED_VALUE"""),0.4027777777777778)</f>
        <v>0.4027777778</v>
      </c>
      <c r="J160" s="1" t="str">
        <f>IFERROR(__xludf.DUMMYFUNCTION("""COMPUTED_VALUE"""),"D")</f>
        <v>D</v>
      </c>
      <c r="K160" s="1">
        <f>IFERROR(__xludf.DUMMYFUNCTION("""COMPUTED_VALUE"""),207.0)</f>
        <v>207</v>
      </c>
      <c r="L160" s="7">
        <f>IFERROR(__xludf.DUMMYFUNCTION("""COMPUTED_VALUE"""),0.05972222222222223)</f>
        <v>0.05972222222</v>
      </c>
      <c r="M160" s="7">
        <f>IFERROR(__xludf.DUMMYFUNCTION("""COMPUTED_VALUE"""),0.0407638888888889)</f>
        <v>0.04076388889</v>
      </c>
      <c r="O160" s="9">
        <f>IFERROR(__xludf.DUMMYFUNCTION("""COMPUTED_VALUE"""),812.0166666666668)</f>
        <v>812.0166667</v>
      </c>
      <c r="P160" s="1" t="str">
        <f>IFERROR(__xludf.DUMMYFUNCTION("""COMPUTED_VALUE"""),"VLG")</f>
        <v>VLG</v>
      </c>
      <c r="Q160" s="1" t="str">
        <f>IFERROR(__xludf.DUMMYFUNCTION("""COMPUTED_VALUE"""),"ECAC")</f>
        <v>ECAC</v>
      </c>
    </row>
    <row r="161">
      <c r="A161" s="1" t="str">
        <f>IFERROR(__xludf.DUMMYFUNCTION("""COMPUTED_VALUE"""),"DAL168")</f>
        <v>DAL168</v>
      </c>
      <c r="B161" s="1" t="str">
        <f>IFERROR(__xludf.DUMMYFUNCTION("""COMPUTED_VALUE"""),"A333")</f>
        <v>A333</v>
      </c>
      <c r="C161" s="1" t="str">
        <f>IFERROR(__xludf.DUMMYFUNCTION("""COMPUTED_VALUE"""),"KJFK")</f>
        <v>KJFK</v>
      </c>
      <c r="D161" s="1" t="str">
        <f>IFERROR(__xludf.DUMMYFUNCTION("""COMPUTED_VALUE"""),"LEBL")</f>
        <v>LEBL</v>
      </c>
      <c r="E161" s="1" t="str">
        <f>IFERROR(__xludf.DUMMYFUNCTION("""COMPUTED_VALUE"""),"N810NW")</f>
        <v>N810NW</v>
      </c>
      <c r="F161" s="1">
        <f>IFERROR(__xludf.DUMMYFUNCTION("""COMPUTED_VALUE"""),390.0)</f>
        <v>390</v>
      </c>
      <c r="G161" s="7">
        <f>IFERROR(__xludf.DUMMYFUNCTION("""COMPUTED_VALUE"""),0.10069444444444445)</f>
        <v>0.1006944444</v>
      </c>
      <c r="H161" s="1">
        <f>IFERROR(__xludf.DUMMYFUNCTION("""COMPUTED_VALUE"""),30.0)</f>
        <v>30</v>
      </c>
      <c r="I161" s="7">
        <f>IFERROR(__xludf.DUMMYFUNCTION("""COMPUTED_VALUE"""),0.40625)</f>
        <v>0.40625</v>
      </c>
      <c r="J161" s="1" t="str">
        <f>IFERROR(__xludf.DUMMYFUNCTION("""COMPUTED_VALUE"""),"B")</f>
        <v>B</v>
      </c>
      <c r="K161" s="1">
        <f>IFERROR(__xludf.DUMMYFUNCTION("""COMPUTED_VALUE"""),284.0)</f>
        <v>284</v>
      </c>
      <c r="L161" s="7">
        <f>IFERROR(__xludf.DUMMYFUNCTION("""COMPUTED_VALUE"""),0.3055555555555556)</f>
        <v>0.3055555556</v>
      </c>
      <c r="M161" s="7">
        <f>IFERROR(__xludf.DUMMYFUNCTION("""COMPUTED_VALUE"""),0.27201388888888894)</f>
        <v>0.2720138889</v>
      </c>
      <c r="O161" s="9">
        <f>IFERROR(__xludf.DUMMYFUNCTION("""COMPUTED_VALUE"""),5875.500000000001)</f>
        <v>5875.5</v>
      </c>
      <c r="P161" s="1" t="str">
        <f>IFERROR(__xludf.DUMMYFUNCTION("""COMPUTED_VALUE"""),"DAL")</f>
        <v>DAL</v>
      </c>
      <c r="Q161" s="1" t="str">
        <f>IFERROR(__xludf.DUMMYFUNCTION("""COMPUTED_VALUE"""),"NO ECAC")</f>
        <v>NO ECAC</v>
      </c>
    </row>
    <row r="162">
      <c r="A162" s="1" t="str">
        <f>IFERROR(__xludf.DUMMYFUNCTION("""COMPUTED_VALUE"""),"VLG3AW")</f>
        <v>VLG3AW</v>
      </c>
      <c r="B162" s="1" t="str">
        <f>IFERROR(__xludf.DUMMYFUNCTION("""COMPUTED_VALUE"""),"A320")</f>
        <v>A320</v>
      </c>
      <c r="C162" s="1" t="str">
        <f>IFERROR(__xludf.DUMMYFUNCTION("""COMPUTED_VALUE"""),"LEST")</f>
        <v>LEST</v>
      </c>
      <c r="D162" s="1" t="str">
        <f>IFERROR(__xludf.DUMMYFUNCTION("""COMPUTED_VALUE"""),"LEBL")</f>
        <v>LEBL</v>
      </c>
      <c r="E162" s="1" t="str">
        <f>IFERROR(__xludf.DUMMYFUNCTION("""COMPUTED_VALUE"""),"ECMAN")</f>
        <v>ECMAN</v>
      </c>
      <c r="F162" s="1">
        <f>IFERROR(__xludf.DUMMYFUNCTION("""COMPUTED_VALUE"""),320.0)</f>
        <v>320</v>
      </c>
      <c r="G162" s="7">
        <f>IFERROR(__xludf.DUMMYFUNCTION("""COMPUTED_VALUE"""),0.34375)</f>
        <v>0.34375</v>
      </c>
      <c r="H162" s="1">
        <f>IFERROR(__xludf.DUMMYFUNCTION("""COMPUTED_VALUE"""),15.0)</f>
        <v>15</v>
      </c>
      <c r="I162" s="7">
        <f>IFERROR(__xludf.DUMMYFUNCTION("""COMPUTED_VALUE"""),0.40625)</f>
        <v>0.40625</v>
      </c>
      <c r="J162" s="1" t="str">
        <f>IFERROR(__xludf.DUMMYFUNCTION("""COMPUTED_VALUE"""),"D")</f>
        <v>D</v>
      </c>
      <c r="K162" s="1">
        <f>IFERROR(__xludf.DUMMYFUNCTION("""COMPUTED_VALUE"""),173.0)</f>
        <v>173</v>
      </c>
      <c r="L162" s="7">
        <f>IFERROR(__xludf.DUMMYFUNCTION("""COMPUTED_VALUE"""),0.0625)</f>
        <v>0.0625</v>
      </c>
      <c r="M162" s="7">
        <f>IFERROR(__xludf.DUMMYFUNCTION("""COMPUTED_VALUE"""),0.039375)</f>
        <v>0.039375</v>
      </c>
      <c r="O162" s="9">
        <f>IFERROR(__xludf.DUMMYFUNCTION("""COMPUTED_VALUE"""),784.35)</f>
        <v>784.35</v>
      </c>
      <c r="P162" s="1" t="str">
        <f>IFERROR(__xludf.DUMMYFUNCTION("""COMPUTED_VALUE"""),"VLG")</f>
        <v>VLG</v>
      </c>
      <c r="Q162" s="1" t="str">
        <f>IFERROR(__xludf.DUMMYFUNCTION("""COMPUTED_VALUE"""),"ECAC")</f>
        <v>ECAC</v>
      </c>
    </row>
    <row r="163">
      <c r="A163" s="1" t="str">
        <f>IFERROR(__xludf.DUMMYFUNCTION("""COMPUTED_VALUE"""),"VLG41QL")</f>
        <v>VLG41QL</v>
      </c>
      <c r="B163" s="1" t="str">
        <f>IFERROR(__xludf.DUMMYFUNCTION("""COMPUTED_VALUE"""),"A321")</f>
        <v>A321</v>
      </c>
      <c r="C163" s="1" t="str">
        <f>IFERROR(__xludf.DUMMYFUNCTION("""COMPUTED_VALUE"""),"LDDU")</f>
        <v>LDDU</v>
      </c>
      <c r="D163" s="1" t="str">
        <f>IFERROR(__xludf.DUMMYFUNCTION("""COMPUTED_VALUE"""),"LEBL")</f>
        <v>LEBL</v>
      </c>
      <c r="E163" s="1" t="str">
        <f>IFERROR(__xludf.DUMMYFUNCTION("""COMPUTED_VALUE"""),"ECMQL")</f>
        <v>ECMQL</v>
      </c>
      <c r="F163" s="1">
        <f>IFERROR(__xludf.DUMMYFUNCTION("""COMPUTED_VALUE"""),340.0)</f>
        <v>340</v>
      </c>
      <c r="G163" s="7">
        <f>IFERROR(__xludf.DUMMYFUNCTION("""COMPUTED_VALUE"""),0.3326388888888889)</f>
        <v>0.3326388889</v>
      </c>
      <c r="H163" s="1">
        <f>IFERROR(__xludf.DUMMYFUNCTION("""COMPUTED_VALUE"""),9.0)</f>
        <v>9</v>
      </c>
      <c r="I163" s="7">
        <f>IFERROR(__xludf.DUMMYFUNCTION("""COMPUTED_VALUE"""),0.4097222222222222)</f>
        <v>0.4097222222</v>
      </c>
      <c r="J163" s="1" t="str">
        <f>IFERROR(__xludf.DUMMYFUNCTION("""COMPUTED_VALUE"""),"D")</f>
        <v>D</v>
      </c>
      <c r="K163" s="1">
        <f>IFERROR(__xludf.DUMMYFUNCTION("""COMPUTED_VALUE"""),207.0)</f>
        <v>207</v>
      </c>
      <c r="L163" s="7">
        <f>IFERROR(__xludf.DUMMYFUNCTION("""COMPUTED_VALUE"""),0.07708333333333334)</f>
        <v>0.07708333333</v>
      </c>
      <c r="M163" s="7">
        <f>IFERROR(__xludf.DUMMYFUNCTION("""COMPUTED_VALUE"""),0.058125)</f>
        <v>0.058125</v>
      </c>
      <c r="O163" s="9">
        <f>IFERROR(__xludf.DUMMYFUNCTION("""COMPUTED_VALUE"""),1157.85)</f>
        <v>1157.85</v>
      </c>
      <c r="P163" s="1" t="str">
        <f>IFERROR(__xludf.DUMMYFUNCTION("""COMPUTED_VALUE"""),"VLG")</f>
        <v>VLG</v>
      </c>
      <c r="Q163" s="1" t="str">
        <f>IFERROR(__xludf.DUMMYFUNCTION("""COMPUTED_VALUE"""),"ECAC")</f>
        <v>ECAC</v>
      </c>
    </row>
    <row r="164">
      <c r="A164" s="1" t="str">
        <f>IFERROR(__xludf.DUMMYFUNCTION("""COMPUTED_VALUE"""),"VLG68LU")</f>
        <v>VLG68LU</v>
      </c>
      <c r="B164" s="1" t="str">
        <f>IFERROR(__xludf.DUMMYFUNCTION("""COMPUTED_VALUE"""),"A319")</f>
        <v>A319</v>
      </c>
      <c r="C164" s="1" t="str">
        <f>IFERROR(__xludf.DUMMYFUNCTION("""COMPUTED_VALUE"""),"LIRQ")</f>
        <v>LIRQ</v>
      </c>
      <c r="D164" s="1" t="str">
        <f>IFERROR(__xludf.DUMMYFUNCTION("""COMPUTED_VALUE"""),"LEBL")</f>
        <v>LEBL</v>
      </c>
      <c r="E164" s="1" t="str">
        <f>IFERROR(__xludf.DUMMYFUNCTION("""COMPUTED_VALUE"""),"ECMKV")</f>
        <v>ECMKV</v>
      </c>
      <c r="F164" s="1">
        <f>IFERROR(__xludf.DUMMYFUNCTION("""COMPUTED_VALUE"""),350.0)</f>
        <v>350</v>
      </c>
      <c r="G164" s="7">
        <f>IFERROR(__xludf.DUMMYFUNCTION("""COMPUTED_VALUE"""),0.3576388888888889)</f>
        <v>0.3576388889</v>
      </c>
      <c r="H164" s="1">
        <f>IFERROR(__xludf.DUMMYFUNCTION("""COMPUTED_VALUE"""),20.0)</f>
        <v>20</v>
      </c>
      <c r="I164" s="7">
        <f>IFERROR(__xludf.DUMMYFUNCTION("""COMPUTED_VALUE"""),0.4097222222222222)</f>
        <v>0.4097222222</v>
      </c>
      <c r="J164" s="1" t="str">
        <f>IFERROR(__xludf.DUMMYFUNCTION("""COMPUTED_VALUE"""),"D")</f>
        <v>D</v>
      </c>
      <c r="K164" s="1">
        <f>IFERROR(__xludf.DUMMYFUNCTION("""COMPUTED_VALUE"""),144.0)</f>
        <v>144</v>
      </c>
      <c r="L164" s="7">
        <f>IFERROR(__xludf.DUMMYFUNCTION("""COMPUTED_VALUE"""),0.052083333333333315)</f>
        <v>0.05208333333</v>
      </c>
      <c r="M164" s="7">
        <f>IFERROR(__xludf.DUMMYFUNCTION("""COMPUTED_VALUE"""),0.02548611111111109)</f>
        <v>0.02548611111</v>
      </c>
      <c r="O164" s="9">
        <f>IFERROR(__xludf.DUMMYFUNCTION("""COMPUTED_VALUE"""),507.6833333333329)</f>
        <v>507.6833333</v>
      </c>
      <c r="P164" s="1" t="str">
        <f>IFERROR(__xludf.DUMMYFUNCTION("""COMPUTED_VALUE"""),"VLG")</f>
        <v>VLG</v>
      </c>
      <c r="Q164" s="1" t="str">
        <f>IFERROR(__xludf.DUMMYFUNCTION("""COMPUTED_VALUE"""),"ECAC")</f>
        <v>ECAC</v>
      </c>
    </row>
    <row r="165">
      <c r="A165" s="1" t="str">
        <f>IFERROR(__xludf.DUMMYFUNCTION("""COMPUTED_VALUE"""),"RYR74XY")</f>
        <v>RYR74XY</v>
      </c>
      <c r="B165" s="1" t="str">
        <f>IFERROR(__xludf.DUMMYFUNCTION("""COMPUTED_VALUE"""),"B738")</f>
        <v>B738</v>
      </c>
      <c r="C165" s="1" t="str">
        <f>IFERROR(__xludf.DUMMYFUNCTION("""COMPUTED_VALUE"""),"EBBR")</f>
        <v>EBBR</v>
      </c>
      <c r="D165" s="1" t="str">
        <f>IFERROR(__xludf.DUMMYFUNCTION("""COMPUTED_VALUE"""),"LEBL")</f>
        <v>LEBL</v>
      </c>
      <c r="E165" s="1" t="str">
        <f>IFERROR(__xludf.DUMMYFUNCTION("""COMPUTED_VALUE"""),"EIDCJ")</f>
        <v>EIDCJ</v>
      </c>
      <c r="F165" s="1">
        <f>IFERROR(__xludf.DUMMYFUNCTION("""COMPUTED_VALUE"""),370.0)</f>
        <v>370</v>
      </c>
      <c r="G165" s="7">
        <f>IFERROR(__xludf.DUMMYFUNCTION("""COMPUTED_VALUE"""),0.34652777777777777)</f>
        <v>0.3465277778</v>
      </c>
      <c r="H165" s="1">
        <f>IFERROR(__xludf.DUMMYFUNCTION("""COMPUTED_VALUE"""),13.0)</f>
        <v>13</v>
      </c>
      <c r="I165" s="7">
        <f>IFERROR(__xludf.DUMMYFUNCTION("""COMPUTED_VALUE"""),0.4097222222222222)</f>
        <v>0.4097222222</v>
      </c>
      <c r="J165" s="1" t="str">
        <f>IFERROR(__xludf.DUMMYFUNCTION("""COMPUTED_VALUE"""),"D")</f>
        <v>D</v>
      </c>
      <c r="K165" s="1">
        <f>IFERROR(__xludf.DUMMYFUNCTION("""COMPUTED_VALUE"""),184.0)</f>
        <v>184</v>
      </c>
      <c r="L165" s="7">
        <f>IFERROR(__xludf.DUMMYFUNCTION("""COMPUTED_VALUE"""),0.06319444444444444)</f>
        <v>0.06319444444</v>
      </c>
      <c r="M165" s="7">
        <f>IFERROR(__xludf.DUMMYFUNCTION("""COMPUTED_VALUE"""),0.04145833333333333)</f>
        <v>0.04145833333</v>
      </c>
      <c r="O165" s="9">
        <f>IFERROR(__xludf.DUMMYFUNCTION("""COMPUTED_VALUE"""),825.85)</f>
        <v>825.85</v>
      </c>
      <c r="P165" s="1" t="str">
        <f>IFERROR(__xludf.DUMMYFUNCTION("""COMPUTED_VALUE"""),"RYR")</f>
        <v>RYR</v>
      </c>
      <c r="Q165" s="1" t="str">
        <f>IFERROR(__xludf.DUMMYFUNCTION("""COMPUTED_VALUE"""),"ECAC")</f>
        <v>ECAC</v>
      </c>
    </row>
    <row r="166">
      <c r="A166" s="1" t="str">
        <f>IFERROR(__xludf.DUMMYFUNCTION("""COMPUTED_VALUE"""),"VLG2EQ")</f>
        <v>VLG2EQ</v>
      </c>
      <c r="B166" s="1" t="str">
        <f>IFERROR(__xludf.DUMMYFUNCTION("""COMPUTED_VALUE"""),"A20N")</f>
        <v>A20N</v>
      </c>
      <c r="C166" s="1" t="str">
        <f>IFERROR(__xludf.DUMMYFUNCTION("""COMPUTED_VALUE"""),"EKCH")</f>
        <v>EKCH</v>
      </c>
      <c r="D166" s="1" t="str">
        <f>IFERROR(__xludf.DUMMYFUNCTION("""COMPUTED_VALUE"""),"LEBL")</f>
        <v>LEBL</v>
      </c>
      <c r="E166" s="1" t="str">
        <f>IFERROR(__xludf.DUMMYFUNCTION("""COMPUTED_VALUE"""),"ECNCS")</f>
        <v>ECNCS</v>
      </c>
      <c r="F166" s="1">
        <f>IFERROR(__xludf.DUMMYFUNCTION("""COMPUTED_VALUE"""),390.0)</f>
        <v>390</v>
      </c>
      <c r="G166" s="7">
        <f>IFERROR(__xludf.DUMMYFUNCTION("""COMPUTED_VALUE"""),0.3090277777777778)</f>
        <v>0.3090277778</v>
      </c>
      <c r="H166" s="1">
        <f>IFERROR(__xludf.DUMMYFUNCTION("""COMPUTED_VALUE"""),10.0)</f>
        <v>10</v>
      </c>
      <c r="I166" s="7">
        <f>IFERROR(__xludf.DUMMYFUNCTION("""COMPUTED_VALUE"""),0.4097222222222222)</f>
        <v>0.4097222222</v>
      </c>
      <c r="J166" s="1" t="str">
        <f>IFERROR(__xludf.DUMMYFUNCTION("""COMPUTED_VALUE"""),"D")</f>
        <v>D</v>
      </c>
      <c r="K166" s="1">
        <f>IFERROR(__xludf.DUMMYFUNCTION("""COMPUTED_VALUE"""),180.0)</f>
        <v>180</v>
      </c>
      <c r="L166" s="7">
        <f>IFERROR(__xludf.DUMMYFUNCTION("""COMPUTED_VALUE"""),0.10069444444444442)</f>
        <v>0.1006944444</v>
      </c>
      <c r="M166" s="7">
        <f>IFERROR(__xludf.DUMMYFUNCTION("""COMPUTED_VALUE"""),0.08104166666666664)</f>
        <v>0.08104166667</v>
      </c>
      <c r="O166" s="9">
        <f>IFERROR(__xludf.DUMMYFUNCTION("""COMPUTED_VALUE"""),1614.3499999999995)</f>
        <v>1614.35</v>
      </c>
      <c r="P166" s="1" t="str">
        <f>IFERROR(__xludf.DUMMYFUNCTION("""COMPUTED_VALUE"""),"VLG")</f>
        <v>VLG</v>
      </c>
      <c r="Q166" s="1" t="str">
        <f>IFERROR(__xludf.DUMMYFUNCTION("""COMPUTED_VALUE"""),"ECAC")</f>
        <v>ECAC</v>
      </c>
    </row>
    <row r="167">
      <c r="A167" s="1" t="str">
        <f>IFERROR(__xludf.DUMMYFUNCTION("""COMPUTED_VALUE"""),"BAW484C")</f>
        <v>BAW484C</v>
      </c>
      <c r="B167" s="1" t="str">
        <f>IFERROR(__xludf.DUMMYFUNCTION("""COMPUTED_VALUE"""),"A319")</f>
        <v>A319</v>
      </c>
      <c r="C167" s="1" t="str">
        <f>IFERROR(__xludf.DUMMYFUNCTION("""COMPUTED_VALUE"""),"EGLL")</f>
        <v>EGLL</v>
      </c>
      <c r="D167" s="1" t="str">
        <f>IFERROR(__xludf.DUMMYFUNCTION("""COMPUTED_VALUE"""),"LEBL")</f>
        <v>LEBL</v>
      </c>
      <c r="E167" s="1" t="str">
        <f>IFERROR(__xludf.DUMMYFUNCTION("""COMPUTED_VALUE"""),"GEUOE")</f>
        <v>GEUOE</v>
      </c>
      <c r="F167" s="1">
        <f>IFERROR(__xludf.DUMMYFUNCTION("""COMPUTED_VALUE"""),350.0)</f>
        <v>350</v>
      </c>
      <c r="G167" s="7">
        <f>IFERROR(__xludf.DUMMYFUNCTION("""COMPUTED_VALUE"""),0.35208333333333336)</f>
        <v>0.3520833333</v>
      </c>
      <c r="H167" s="1">
        <f>IFERROR(__xludf.DUMMYFUNCTION("""COMPUTED_VALUE"""),27.0)</f>
        <v>27</v>
      </c>
      <c r="I167" s="7">
        <f>IFERROR(__xludf.DUMMYFUNCTION("""COMPUTED_VALUE"""),0.4097222222222222)</f>
        <v>0.4097222222</v>
      </c>
      <c r="J167" s="1" t="str">
        <f>IFERROR(__xludf.DUMMYFUNCTION("""COMPUTED_VALUE"""),"D")</f>
        <v>D</v>
      </c>
      <c r="K167" s="1">
        <f>IFERROR(__xludf.DUMMYFUNCTION("""COMPUTED_VALUE"""),144.0)</f>
        <v>144</v>
      </c>
      <c r="L167" s="7">
        <f>IFERROR(__xludf.DUMMYFUNCTION("""COMPUTED_VALUE"""),0.05763888888888885)</f>
        <v>0.05763888889</v>
      </c>
      <c r="M167" s="7">
        <f>IFERROR(__xludf.DUMMYFUNCTION("""COMPUTED_VALUE"""),0.026180555555555516)</f>
        <v>0.02618055556</v>
      </c>
      <c r="O167" s="9">
        <f>IFERROR(__xludf.DUMMYFUNCTION("""COMPUTED_VALUE"""),521.5166666666659)</f>
        <v>521.5166667</v>
      </c>
      <c r="P167" s="1" t="str">
        <f>IFERROR(__xludf.DUMMYFUNCTION("""COMPUTED_VALUE"""),"BAW")</f>
        <v>BAW</v>
      </c>
      <c r="Q167" s="1" t="str">
        <f>IFERROR(__xludf.DUMMYFUNCTION("""COMPUTED_VALUE"""),"ECAC")</f>
        <v>ECAC</v>
      </c>
    </row>
    <row r="168">
      <c r="A168" s="1" t="str">
        <f>IFERROR(__xludf.DUMMYFUNCTION("""COMPUTED_VALUE"""),"WMT3025")</f>
        <v>WMT3025</v>
      </c>
      <c r="B168" s="1" t="str">
        <f>IFERROR(__xludf.DUMMYFUNCTION("""COMPUTED_VALUE"""),"A21N")</f>
        <v>A21N</v>
      </c>
      <c r="C168" s="1" t="str">
        <f>IFERROR(__xludf.DUMMYFUNCTION("""COMPUTED_VALUE"""),"LIMC")</f>
        <v>LIMC</v>
      </c>
      <c r="D168" s="1" t="str">
        <f>IFERROR(__xludf.DUMMYFUNCTION("""COMPUTED_VALUE"""),"LEBL")</f>
        <v>LEBL</v>
      </c>
      <c r="E168" s="1" t="str">
        <f>IFERROR(__xludf.DUMMYFUNCTION("""COMPUTED_VALUE"""),"9HWNI")</f>
        <v>9HWNI</v>
      </c>
      <c r="F168" s="1">
        <f>IFERROR(__xludf.DUMMYFUNCTION("""COMPUTED_VALUE"""),330.0)</f>
        <v>330</v>
      </c>
      <c r="G168" s="7">
        <f>IFERROR(__xludf.DUMMYFUNCTION("""COMPUTED_VALUE"""),0.36875)</f>
        <v>0.36875</v>
      </c>
      <c r="H168" s="1">
        <f>IFERROR(__xludf.DUMMYFUNCTION("""COMPUTED_VALUE"""),16.0)</f>
        <v>16</v>
      </c>
      <c r="I168" s="7">
        <f>IFERROR(__xludf.DUMMYFUNCTION("""COMPUTED_VALUE"""),0.4131944444444444)</f>
        <v>0.4131944444</v>
      </c>
      <c r="J168" s="1" t="str">
        <f>IFERROR(__xludf.DUMMYFUNCTION("""COMPUTED_VALUE"""),"D")</f>
        <v>D</v>
      </c>
      <c r="K168" s="1">
        <f>IFERROR(__xludf.DUMMYFUNCTION("""COMPUTED_VALUE"""),200.0)</f>
        <v>200</v>
      </c>
      <c r="L168" s="7">
        <f>IFERROR(__xludf.DUMMYFUNCTION("""COMPUTED_VALUE"""),0.0444444444444444)</f>
        <v>0.04444444444</v>
      </c>
      <c r="M168" s="7">
        <f>IFERROR(__xludf.DUMMYFUNCTION("""COMPUTED_VALUE"""),0.02062499999999995)</f>
        <v>0.020625</v>
      </c>
      <c r="O168" s="9">
        <f>IFERROR(__xludf.DUMMYFUNCTION("""COMPUTED_VALUE"""),410.849999999999)</f>
        <v>410.85</v>
      </c>
      <c r="P168" s="1" t="str">
        <f>IFERROR(__xludf.DUMMYFUNCTION("""COMPUTED_VALUE"""),"WMT")</f>
        <v>WMT</v>
      </c>
      <c r="Q168" s="1" t="str">
        <f>IFERROR(__xludf.DUMMYFUNCTION("""COMPUTED_VALUE"""),"ECAC")</f>
        <v>ECAC</v>
      </c>
    </row>
    <row r="169">
      <c r="A169" s="1" t="str">
        <f>IFERROR(__xludf.DUMMYFUNCTION("""COMPUTED_VALUE"""),"VLG8SD")</f>
        <v>VLG8SD</v>
      </c>
      <c r="B169" s="1" t="str">
        <f>IFERROR(__xludf.DUMMYFUNCTION("""COMPUTED_VALUE"""),"A320")</f>
        <v>A320</v>
      </c>
      <c r="C169" s="1" t="str">
        <f>IFERROR(__xludf.DUMMYFUNCTION("""COMPUTED_VALUE"""),"LEBB")</f>
        <v>LEBB</v>
      </c>
      <c r="D169" s="1" t="str">
        <f>IFERROR(__xludf.DUMMYFUNCTION("""COMPUTED_VALUE"""),"LEBL")</f>
        <v>LEBL</v>
      </c>
      <c r="E169" s="1" t="str">
        <f>IFERROR(__xludf.DUMMYFUNCTION("""COMPUTED_VALUE"""),"ECJYX")</f>
        <v>ECJYX</v>
      </c>
      <c r="F169" s="1">
        <f>IFERROR(__xludf.DUMMYFUNCTION("""COMPUTED_VALUE"""),300.0)</f>
        <v>300</v>
      </c>
      <c r="G169" s="7">
        <f>IFERROR(__xludf.DUMMYFUNCTION("""COMPUTED_VALUE"""),0.3729166666666667)</f>
        <v>0.3729166667</v>
      </c>
      <c r="H169" s="1">
        <f>IFERROR(__xludf.DUMMYFUNCTION("""COMPUTED_VALUE"""),10.0)</f>
        <v>10</v>
      </c>
      <c r="I169" s="7">
        <f>IFERROR(__xludf.DUMMYFUNCTION("""COMPUTED_VALUE"""),0.4131944444444444)</f>
        <v>0.4131944444</v>
      </c>
      <c r="J169" s="1" t="str">
        <f>IFERROR(__xludf.DUMMYFUNCTION("""COMPUTED_VALUE"""),"D")</f>
        <v>D</v>
      </c>
      <c r="K169" s="1">
        <f>IFERROR(__xludf.DUMMYFUNCTION("""COMPUTED_VALUE"""),173.0)</f>
        <v>173</v>
      </c>
      <c r="L169" s="7">
        <f>IFERROR(__xludf.DUMMYFUNCTION("""COMPUTED_VALUE"""),0.040277777777777746)</f>
        <v>0.04027777778</v>
      </c>
      <c r="M169" s="7">
        <f>IFERROR(__xludf.DUMMYFUNCTION("""COMPUTED_VALUE"""),0.020624999999999966)</f>
        <v>0.020625</v>
      </c>
      <c r="O169" s="9">
        <f>IFERROR(__xludf.DUMMYFUNCTION("""COMPUTED_VALUE"""),410.84999999999934)</f>
        <v>410.85</v>
      </c>
      <c r="P169" s="1" t="str">
        <f>IFERROR(__xludf.DUMMYFUNCTION("""COMPUTED_VALUE"""),"VLG")</f>
        <v>VLG</v>
      </c>
      <c r="Q169" s="1" t="str">
        <f>IFERROR(__xludf.DUMMYFUNCTION("""COMPUTED_VALUE"""),"ECAC")</f>
        <v>ECAC</v>
      </c>
    </row>
    <row r="170">
      <c r="A170" s="1" t="str">
        <f>IFERROR(__xludf.DUMMYFUNCTION("""COMPUTED_VALUE"""),"WJA8")</f>
        <v>WJA8</v>
      </c>
      <c r="B170" s="1" t="str">
        <f>IFERROR(__xludf.DUMMYFUNCTION("""COMPUTED_VALUE"""),"B789")</f>
        <v>B789</v>
      </c>
      <c r="C170" s="1" t="str">
        <f>IFERROR(__xludf.DUMMYFUNCTION("""COMPUTED_VALUE"""),"CYYC")</f>
        <v>CYYC</v>
      </c>
      <c r="D170" s="1" t="str">
        <f>IFERROR(__xludf.DUMMYFUNCTION("""COMPUTED_VALUE"""),"LEBL")</f>
        <v>LEBL</v>
      </c>
      <c r="E170" s="1" t="str">
        <f>IFERROR(__xludf.DUMMYFUNCTION("""COMPUTED_VALUE"""),"CGKKN")</f>
        <v>CGKKN</v>
      </c>
      <c r="F170" s="1">
        <f>IFERROR(__xludf.DUMMYFUNCTION("""COMPUTED_VALUE"""),410.0)</f>
        <v>410</v>
      </c>
      <c r="G170" s="7">
        <f>IFERROR(__xludf.DUMMYFUNCTION("""COMPUTED_VALUE"""),0.04861111111111111)</f>
        <v>0.04861111111</v>
      </c>
      <c r="H170" s="1">
        <f>IFERROR(__xludf.DUMMYFUNCTION("""COMPUTED_VALUE"""),10.0)</f>
        <v>10</v>
      </c>
      <c r="I170" s="7">
        <f>IFERROR(__xludf.DUMMYFUNCTION("""COMPUTED_VALUE"""),0.4131944444444444)</f>
        <v>0.4131944444</v>
      </c>
      <c r="J170" s="1" t="str">
        <f>IFERROR(__xludf.DUMMYFUNCTION("""COMPUTED_VALUE"""),"B")</f>
        <v>B</v>
      </c>
      <c r="K170" s="1">
        <f>IFERROR(__xludf.DUMMYFUNCTION("""COMPUTED_VALUE"""),284.0)</f>
        <v>284</v>
      </c>
      <c r="L170" s="7">
        <f>IFERROR(__xludf.DUMMYFUNCTION("""COMPUTED_VALUE"""),0.3645833333333333)</f>
        <v>0.3645833333</v>
      </c>
      <c r="M170" s="7">
        <f>IFERROR(__xludf.DUMMYFUNCTION("""COMPUTED_VALUE"""),0.3449305555555556)</f>
        <v>0.3449305556</v>
      </c>
      <c r="O170" s="9">
        <f>IFERROR(__xludf.DUMMYFUNCTION("""COMPUTED_VALUE"""),7450.500000000001)</f>
        <v>7450.5</v>
      </c>
      <c r="P170" s="1" t="str">
        <f>IFERROR(__xludf.DUMMYFUNCTION("""COMPUTED_VALUE"""),"WJA")</f>
        <v>WJA</v>
      </c>
      <c r="Q170" s="1" t="str">
        <f>IFERROR(__xludf.DUMMYFUNCTION("""COMPUTED_VALUE"""),"NO ECAC")</f>
        <v>NO ECAC</v>
      </c>
    </row>
    <row r="171">
      <c r="A171" s="1" t="str">
        <f>IFERROR(__xludf.DUMMYFUNCTION("""COMPUTED_VALUE"""),"NMA7800")</f>
        <v>NMA7800</v>
      </c>
      <c r="B171" s="1" t="str">
        <f>IFERROR(__xludf.DUMMYFUNCTION("""COMPUTED_VALUE"""),"A320")</f>
        <v>A320</v>
      </c>
      <c r="C171" s="1" t="str">
        <f>IFERROR(__xludf.DUMMYFUNCTION("""COMPUTED_VALUE"""),"HELX")</f>
        <v>HELX</v>
      </c>
      <c r="D171" s="1" t="str">
        <f>IFERROR(__xludf.DUMMYFUNCTION("""COMPUTED_VALUE"""),"LEBL")</f>
        <v>LEBL</v>
      </c>
      <c r="E171" s="1" t="str">
        <f>IFERROR(__xludf.DUMMYFUNCTION("""COMPUTED_VALUE"""),"SUNMH")</f>
        <v>SUNMH</v>
      </c>
      <c r="F171" s="1">
        <f>IFERROR(__xludf.DUMMYFUNCTION("""COMPUTED_VALUE"""),340.0)</f>
        <v>340</v>
      </c>
      <c r="G171" s="7">
        <f>IFERROR(__xludf.DUMMYFUNCTION("""COMPUTED_VALUE"""),0.2326388888888889)</f>
        <v>0.2326388889</v>
      </c>
      <c r="H171" s="1">
        <f>IFERROR(__xludf.DUMMYFUNCTION("""COMPUTED_VALUE"""),5.0)</f>
        <v>5</v>
      </c>
      <c r="I171" s="7">
        <f>IFERROR(__xludf.DUMMYFUNCTION("""COMPUTED_VALUE"""),0.4166666666666667)</f>
        <v>0.4166666667</v>
      </c>
      <c r="J171" s="1" t="str">
        <f>IFERROR(__xludf.DUMMYFUNCTION("""COMPUTED_VALUE"""),"D")</f>
        <v>D</v>
      </c>
      <c r="K171" s="1">
        <f>IFERROR(__xludf.DUMMYFUNCTION("""COMPUTED_VALUE"""),173.0)</f>
        <v>173</v>
      </c>
      <c r="L171" s="7">
        <f>IFERROR(__xludf.DUMMYFUNCTION("""COMPUTED_VALUE"""),0.1840277777777778)</f>
        <v>0.1840277778</v>
      </c>
      <c r="M171" s="7">
        <f>IFERROR(__xludf.DUMMYFUNCTION("""COMPUTED_VALUE"""),0.16784722222222226)</f>
        <v>0.1678472222</v>
      </c>
      <c r="O171" s="9">
        <f>IFERROR(__xludf.DUMMYFUNCTION("""COMPUTED_VALUE"""),3343.5166666666673)</f>
        <v>3343.516667</v>
      </c>
      <c r="P171" s="1" t="str">
        <f>IFERROR(__xludf.DUMMYFUNCTION("""COMPUTED_VALUE"""),"NMA")</f>
        <v>NMA</v>
      </c>
      <c r="Q171" s="1" t="str">
        <f>IFERROR(__xludf.DUMMYFUNCTION("""COMPUTED_VALUE"""),"NO ECAC")</f>
        <v>NO ECAC</v>
      </c>
    </row>
    <row r="172">
      <c r="A172" s="1" t="str">
        <f>IFERROR(__xludf.DUMMYFUNCTION("""COMPUTED_VALUE"""),"RYR588Q")</f>
        <v>RYR588Q</v>
      </c>
      <c r="B172" s="1" t="str">
        <f>IFERROR(__xludf.DUMMYFUNCTION("""COMPUTED_VALUE"""),"B738")</f>
        <v>B738</v>
      </c>
      <c r="C172" s="1" t="str">
        <f>IFERROR(__xludf.DUMMYFUNCTION("""COMPUTED_VALUE"""),"LIPE")</f>
        <v>LIPE</v>
      </c>
      <c r="D172" s="1" t="str">
        <f>IFERROR(__xludf.DUMMYFUNCTION("""COMPUTED_VALUE"""),"LEBL")</f>
        <v>LEBL</v>
      </c>
      <c r="E172" s="1" t="str">
        <f>IFERROR(__xludf.DUMMYFUNCTION("""COMPUTED_VALUE"""),"EIENP")</f>
        <v>EIENP</v>
      </c>
      <c r="F172" s="1">
        <f>IFERROR(__xludf.DUMMYFUNCTION("""COMPUTED_VALUE"""),350.0)</f>
        <v>350</v>
      </c>
      <c r="G172" s="7">
        <f>IFERROR(__xludf.DUMMYFUNCTION("""COMPUTED_VALUE"""),0.3611111111111111)</f>
        <v>0.3611111111</v>
      </c>
      <c r="H172" s="1">
        <f>IFERROR(__xludf.DUMMYFUNCTION("""COMPUTED_VALUE"""),15.0)</f>
        <v>15</v>
      </c>
      <c r="I172" s="7">
        <f>IFERROR(__xludf.DUMMYFUNCTION("""COMPUTED_VALUE"""),0.4166666666666667)</f>
        <v>0.4166666667</v>
      </c>
      <c r="J172" s="1" t="str">
        <f>IFERROR(__xludf.DUMMYFUNCTION("""COMPUTED_VALUE"""),"D")</f>
        <v>D</v>
      </c>
      <c r="K172" s="1">
        <f>IFERROR(__xludf.DUMMYFUNCTION("""COMPUTED_VALUE"""),184.0)</f>
        <v>184</v>
      </c>
      <c r="L172" s="7">
        <f>IFERROR(__xludf.DUMMYFUNCTION("""COMPUTED_VALUE"""),0.05555555555555558)</f>
        <v>0.05555555556</v>
      </c>
      <c r="M172" s="7">
        <f>IFERROR(__xludf.DUMMYFUNCTION("""COMPUTED_VALUE"""),0.03243055555555558)</f>
        <v>0.03243055556</v>
      </c>
      <c r="O172" s="9">
        <f>IFERROR(__xludf.DUMMYFUNCTION("""COMPUTED_VALUE"""),646.0166666666672)</f>
        <v>646.0166667</v>
      </c>
      <c r="P172" s="1" t="str">
        <f>IFERROR(__xludf.DUMMYFUNCTION("""COMPUTED_VALUE"""),"RYR")</f>
        <v>RYR</v>
      </c>
      <c r="Q172" s="1" t="str">
        <f>IFERROR(__xludf.DUMMYFUNCTION("""COMPUTED_VALUE"""),"ECAC")</f>
        <v>ECAC</v>
      </c>
    </row>
    <row r="173">
      <c r="A173" s="1" t="str">
        <f>IFERROR(__xludf.DUMMYFUNCTION("""COMPUTED_VALUE"""),"EJU96WZ")</f>
        <v>EJU96WZ</v>
      </c>
      <c r="B173" s="1" t="str">
        <f>IFERROR(__xludf.DUMMYFUNCTION("""COMPUTED_VALUE"""),"A319")</f>
        <v>A319</v>
      </c>
      <c r="C173" s="1" t="str">
        <f>IFERROR(__xludf.DUMMYFUNCTION("""COMPUTED_VALUE"""),"EGKK")</f>
        <v>EGKK</v>
      </c>
      <c r="D173" s="1" t="str">
        <f>IFERROR(__xludf.DUMMYFUNCTION("""COMPUTED_VALUE"""),"LEBL")</f>
        <v>LEBL</v>
      </c>
      <c r="E173" s="1" t="str">
        <f>IFERROR(__xludf.DUMMYFUNCTION("""COMPUTED_VALUE"""),"OELQU")</f>
        <v>OELQU</v>
      </c>
      <c r="F173" s="1">
        <f>IFERROR(__xludf.DUMMYFUNCTION("""COMPUTED_VALUE"""),350.0)</f>
        <v>350</v>
      </c>
      <c r="G173" s="7">
        <f>IFERROR(__xludf.DUMMYFUNCTION("""COMPUTED_VALUE"""),0.36041666666666666)</f>
        <v>0.3604166667</v>
      </c>
      <c r="H173" s="1">
        <f>IFERROR(__xludf.DUMMYFUNCTION("""COMPUTED_VALUE"""),13.0)</f>
        <v>13</v>
      </c>
      <c r="I173" s="7">
        <f>IFERROR(__xludf.DUMMYFUNCTION("""COMPUTED_VALUE"""),0.4236111111111111)</f>
        <v>0.4236111111</v>
      </c>
      <c r="J173" s="1" t="str">
        <f>IFERROR(__xludf.DUMMYFUNCTION("""COMPUTED_VALUE"""),"D")</f>
        <v>D</v>
      </c>
      <c r="K173" s="1">
        <f>IFERROR(__xludf.DUMMYFUNCTION("""COMPUTED_VALUE"""),144.0)</f>
        <v>144</v>
      </c>
      <c r="L173" s="7">
        <f>IFERROR(__xludf.DUMMYFUNCTION("""COMPUTED_VALUE"""),0.06319444444444444)</f>
        <v>0.06319444444</v>
      </c>
      <c r="M173" s="7">
        <f>IFERROR(__xludf.DUMMYFUNCTION("""COMPUTED_VALUE"""),0.04145833333333333)</f>
        <v>0.04145833333</v>
      </c>
      <c r="O173" s="9">
        <f>IFERROR(__xludf.DUMMYFUNCTION("""COMPUTED_VALUE"""),825.85)</f>
        <v>825.85</v>
      </c>
      <c r="P173" s="1" t="str">
        <f>IFERROR(__xludf.DUMMYFUNCTION("""COMPUTED_VALUE"""),"EJU")</f>
        <v>EJU</v>
      </c>
      <c r="Q173" s="1" t="str">
        <f>IFERROR(__xludf.DUMMYFUNCTION("""COMPUTED_VALUE"""),"ECAC")</f>
        <v>ECAC</v>
      </c>
    </row>
    <row r="174">
      <c r="A174" s="1" t="str">
        <f>IFERROR(__xludf.DUMMYFUNCTION("""COMPUTED_VALUE"""),"VLG6JG")</f>
        <v>VLG6JG</v>
      </c>
      <c r="B174" s="1" t="str">
        <f>IFERROR(__xludf.DUMMYFUNCTION("""COMPUTED_VALUE"""),"A320")</f>
        <v>A320</v>
      </c>
      <c r="C174" s="1" t="str">
        <f>IFERROR(__xludf.DUMMYFUNCTION("""COMPUTED_VALUE"""),"LEZL")</f>
        <v>LEZL</v>
      </c>
      <c r="D174" s="1" t="str">
        <f>IFERROR(__xludf.DUMMYFUNCTION("""COMPUTED_VALUE"""),"LEBL")</f>
        <v>LEBL</v>
      </c>
      <c r="E174" s="1" t="str">
        <f>IFERROR(__xludf.DUMMYFUNCTION("""COMPUTED_VALUE"""),"ECMYB")</f>
        <v>ECMYB</v>
      </c>
      <c r="F174" s="1">
        <f>IFERROR(__xludf.DUMMYFUNCTION("""COMPUTED_VALUE"""),340.0)</f>
        <v>340</v>
      </c>
      <c r="G174" s="7">
        <f>IFERROR(__xludf.DUMMYFUNCTION("""COMPUTED_VALUE"""),0.38125)</f>
        <v>0.38125</v>
      </c>
      <c r="H174" s="1">
        <f>IFERROR(__xludf.DUMMYFUNCTION("""COMPUTED_VALUE"""),10.0)</f>
        <v>10</v>
      </c>
      <c r="I174" s="7">
        <f>IFERROR(__xludf.DUMMYFUNCTION("""COMPUTED_VALUE"""),0.4270833333333333)</f>
        <v>0.4270833333</v>
      </c>
      <c r="J174" s="1" t="str">
        <f>IFERROR(__xludf.DUMMYFUNCTION("""COMPUTED_VALUE"""),"D")</f>
        <v>D</v>
      </c>
      <c r="K174" s="1">
        <f>IFERROR(__xludf.DUMMYFUNCTION("""COMPUTED_VALUE"""),173.0)</f>
        <v>173</v>
      </c>
      <c r="L174" s="7">
        <f>IFERROR(__xludf.DUMMYFUNCTION("""COMPUTED_VALUE"""),0.04583333333333334)</f>
        <v>0.04583333333</v>
      </c>
      <c r="M174" s="7">
        <f>IFERROR(__xludf.DUMMYFUNCTION("""COMPUTED_VALUE"""),0.026180555555555558)</f>
        <v>0.02618055556</v>
      </c>
      <c r="O174" s="9">
        <f>IFERROR(__xludf.DUMMYFUNCTION("""COMPUTED_VALUE"""),521.5166666666668)</f>
        <v>521.5166667</v>
      </c>
      <c r="P174" s="1" t="str">
        <f>IFERROR(__xludf.DUMMYFUNCTION("""COMPUTED_VALUE"""),"VLG")</f>
        <v>VLG</v>
      </c>
      <c r="Q174" s="1" t="str">
        <f>IFERROR(__xludf.DUMMYFUNCTION("""COMPUTED_VALUE"""),"ECAC")</f>
        <v>ECAC</v>
      </c>
    </row>
    <row r="175">
      <c r="A175" s="1" t="str">
        <f>IFERROR(__xludf.DUMMYFUNCTION("""COMPUTED_VALUE"""),"AAO14")</f>
        <v>AAO14</v>
      </c>
      <c r="B175" s="1" t="str">
        <f>IFERROR(__xludf.DUMMYFUNCTION("""COMPUTED_VALUE"""),"E50P")</f>
        <v>E50P</v>
      </c>
      <c r="C175" s="1" t="str">
        <f>IFERROR(__xludf.DUMMYFUNCTION("""COMPUTED_VALUE"""),"LEGE")</f>
        <v>LEGE</v>
      </c>
      <c r="D175" s="1" t="str">
        <f>IFERROR(__xludf.DUMMYFUNCTION("""COMPUTED_VALUE"""),"LEBL")</f>
        <v>LEBL</v>
      </c>
      <c r="E175" s="1" t="str">
        <f>IFERROR(__xludf.DUMMYFUNCTION("""COMPUTED_VALUE"""),"OKVAN")</f>
        <v>OKVAN</v>
      </c>
      <c r="F175" s="1">
        <f>IFERROR(__xludf.DUMMYFUNCTION("""COMPUTED_VALUE"""),100.0)</f>
        <v>100</v>
      </c>
      <c r="G175" s="7">
        <f>IFERROR(__xludf.DUMMYFUNCTION("""COMPUTED_VALUE"""),0.41597222222222224)</f>
        <v>0.4159722222</v>
      </c>
      <c r="H175" s="1">
        <f>IFERROR(__xludf.DUMMYFUNCTION("""COMPUTED_VALUE"""),9.0)</f>
        <v>9</v>
      </c>
      <c r="I175" s="7">
        <f>IFERROR(__xludf.DUMMYFUNCTION("""COMPUTED_VALUE"""),0.4270833333333333)</f>
        <v>0.4270833333</v>
      </c>
      <c r="J175" s="1" t="str">
        <f>IFERROR(__xludf.DUMMYFUNCTION("""COMPUTED_VALUE"""),"F")</f>
        <v>F</v>
      </c>
      <c r="K175" s="1">
        <f>IFERROR(__xludf.DUMMYFUNCTION("""COMPUTED_VALUE"""),4.0)</f>
        <v>4</v>
      </c>
      <c r="L175" s="7">
        <f>IFERROR(__xludf.DUMMYFUNCTION("""COMPUTED_VALUE"""),0.011111111111111072)</f>
        <v>0.01111111111</v>
      </c>
      <c r="M175" s="7">
        <f>IFERROR(__xludf.DUMMYFUNCTION("""COMPUTED_VALUE"""),0.004861111111111071)</f>
        <v>0.004861111111</v>
      </c>
      <c r="O175" s="9">
        <f>IFERROR(__xludf.DUMMYFUNCTION("""COMPUTED_VALUE"""),20.99999999999983)</f>
        <v>21</v>
      </c>
      <c r="P175" s="1" t="str">
        <f>IFERROR(__xludf.DUMMYFUNCTION("""COMPUTED_VALUE"""),"AAO")</f>
        <v>AAO</v>
      </c>
      <c r="Q175" s="1" t="str">
        <f>IFERROR(__xludf.DUMMYFUNCTION("""COMPUTED_VALUE"""),"ECAC")</f>
        <v>ECAC</v>
      </c>
    </row>
    <row r="176">
      <c r="A176" s="1" t="str">
        <f>IFERROR(__xludf.DUMMYFUNCTION("""COMPUTED_VALUE"""),"LOT437")</f>
        <v>LOT437</v>
      </c>
      <c r="B176" s="1" t="str">
        <f>IFERROR(__xludf.DUMMYFUNCTION("""COMPUTED_VALUE"""),"B738")</f>
        <v>B738</v>
      </c>
      <c r="C176" s="1" t="str">
        <f>IFERROR(__xludf.DUMMYFUNCTION("""COMPUTED_VALUE"""),"EPWA")</f>
        <v>EPWA</v>
      </c>
      <c r="D176" s="1" t="str">
        <f>IFERROR(__xludf.DUMMYFUNCTION("""COMPUTED_VALUE"""),"LEBL")</f>
        <v>LEBL</v>
      </c>
      <c r="E176" s="1" t="str">
        <f>IFERROR(__xludf.DUMMYFUNCTION("""COMPUTED_VALUE"""),"SPLWD")</f>
        <v>SPLWD</v>
      </c>
      <c r="F176" s="1">
        <f>IFERROR(__xludf.DUMMYFUNCTION("""COMPUTED_VALUE"""),380.0)</f>
        <v>380</v>
      </c>
      <c r="G176" s="7">
        <f>IFERROR(__xludf.DUMMYFUNCTION("""COMPUTED_VALUE"""),0.3159722222222222)</f>
        <v>0.3159722222</v>
      </c>
      <c r="H176" s="1">
        <f>IFERROR(__xludf.DUMMYFUNCTION("""COMPUTED_VALUE"""),15.0)</f>
        <v>15</v>
      </c>
      <c r="I176" s="7">
        <f>IFERROR(__xludf.DUMMYFUNCTION("""COMPUTED_VALUE"""),0.4270833333333333)</f>
        <v>0.4270833333</v>
      </c>
      <c r="J176" s="1" t="str">
        <f>IFERROR(__xludf.DUMMYFUNCTION("""COMPUTED_VALUE"""),"D")</f>
        <v>D</v>
      </c>
      <c r="K176" s="1">
        <f>IFERROR(__xludf.DUMMYFUNCTION("""COMPUTED_VALUE"""),184.0)</f>
        <v>184</v>
      </c>
      <c r="L176" s="7">
        <f>IFERROR(__xludf.DUMMYFUNCTION("""COMPUTED_VALUE"""),0.1111111111111111)</f>
        <v>0.1111111111</v>
      </c>
      <c r="M176" s="7">
        <f>IFERROR(__xludf.DUMMYFUNCTION("""COMPUTED_VALUE"""),0.0879861111111111)</f>
        <v>0.08798611111</v>
      </c>
      <c r="O176" s="9">
        <f>IFERROR(__xludf.DUMMYFUNCTION("""COMPUTED_VALUE"""),1752.6833333333332)</f>
        <v>1752.683333</v>
      </c>
      <c r="P176" s="1" t="str">
        <f>IFERROR(__xludf.DUMMYFUNCTION("""COMPUTED_VALUE"""),"LOT")</f>
        <v>LOT</v>
      </c>
      <c r="Q176" s="1" t="str">
        <f>IFERROR(__xludf.DUMMYFUNCTION("""COMPUTED_VALUE"""),"ECAC")</f>
        <v>ECAC</v>
      </c>
    </row>
    <row r="177">
      <c r="A177" s="1" t="str">
        <f>IFERROR(__xludf.DUMMYFUNCTION("""COMPUTED_VALUE"""),"JFA99X")</f>
        <v>JFA99X</v>
      </c>
      <c r="B177" s="1" t="str">
        <f>IFERROR(__xludf.DUMMYFUNCTION("""COMPUTED_VALUE"""),"PC24")</f>
        <v>PC24</v>
      </c>
      <c r="C177" s="1" t="str">
        <f>IFERROR(__xludf.DUMMYFUNCTION("""COMPUTED_VALUE"""),"LSZA")</f>
        <v>LSZA</v>
      </c>
      <c r="D177" s="1" t="str">
        <f>IFERROR(__xludf.DUMMYFUNCTION("""COMPUTED_VALUE"""),"LEBL")</f>
        <v>LEBL</v>
      </c>
      <c r="E177" s="1" t="str">
        <f>IFERROR(__xludf.DUMMYFUNCTION("""COMPUTED_VALUE"""),"LXZAP")</f>
        <v>LXZAP</v>
      </c>
      <c r="F177" s="1">
        <f>IFERROR(__xludf.DUMMYFUNCTION("""COMPUTED_VALUE"""),310.0)</f>
        <v>310</v>
      </c>
      <c r="G177" s="7">
        <f>IFERROR(__xludf.DUMMYFUNCTION("""COMPUTED_VALUE"""),0.3784722222222222)</f>
        <v>0.3784722222</v>
      </c>
      <c r="H177" s="1">
        <f>IFERROR(__xludf.DUMMYFUNCTION("""COMPUTED_VALUE"""),5.0)</f>
        <v>5</v>
      </c>
      <c r="I177" s="7">
        <f>IFERROR(__xludf.DUMMYFUNCTION("""COMPUTED_VALUE"""),0.4270833333333333)</f>
        <v>0.4270833333</v>
      </c>
      <c r="J177" s="1" t="str">
        <f>IFERROR(__xludf.DUMMYFUNCTION("""COMPUTED_VALUE"""),"F")</f>
        <v>F</v>
      </c>
      <c r="K177" s="1">
        <f>IFERROR(__xludf.DUMMYFUNCTION("""COMPUTED_VALUE"""),8.0)</f>
        <v>8</v>
      </c>
      <c r="L177" s="7">
        <f>IFERROR(__xludf.DUMMYFUNCTION("""COMPUTED_VALUE"""),0.048611111111111105)</f>
        <v>0.04861111111</v>
      </c>
      <c r="M177" s="7">
        <f>IFERROR(__xludf.DUMMYFUNCTION("""COMPUTED_VALUE"""),0.032430555555555546)</f>
        <v>0.03243055556</v>
      </c>
      <c r="O177" s="9">
        <f>IFERROR(__xludf.DUMMYFUNCTION("""COMPUTED_VALUE"""),140.09999999999997)</f>
        <v>140.1</v>
      </c>
      <c r="P177" s="1" t="str">
        <f>IFERROR(__xludf.DUMMYFUNCTION("""COMPUTED_VALUE"""),"JFA")</f>
        <v>JFA</v>
      </c>
      <c r="Q177" s="1" t="str">
        <f>IFERROR(__xludf.DUMMYFUNCTION("""COMPUTED_VALUE"""),"NO ECAC")</f>
        <v>NO ECAC</v>
      </c>
    </row>
    <row r="178">
      <c r="A178" s="1" t="str">
        <f>IFERROR(__xludf.DUMMYFUNCTION("""COMPUTED_VALUE"""),"KLM41H")</f>
        <v>KLM41H</v>
      </c>
      <c r="B178" s="1" t="str">
        <f>IFERROR(__xludf.DUMMYFUNCTION("""COMPUTED_VALUE"""),"B738")</f>
        <v>B738</v>
      </c>
      <c r="C178" s="1" t="str">
        <f>IFERROR(__xludf.DUMMYFUNCTION("""COMPUTED_VALUE"""),"EHAM")</f>
        <v>EHAM</v>
      </c>
      <c r="D178" s="1" t="str">
        <f>IFERROR(__xludf.DUMMYFUNCTION("""COMPUTED_VALUE"""),"LEBL")</f>
        <v>LEBL</v>
      </c>
      <c r="E178" s="1" t="str">
        <f>IFERROR(__xludf.DUMMYFUNCTION("""COMPUTED_VALUE"""),"PHBXF")</f>
        <v>PHBXF</v>
      </c>
      <c r="F178" s="1">
        <f>IFERROR(__xludf.DUMMYFUNCTION("""COMPUTED_VALUE"""),390.0)</f>
        <v>390</v>
      </c>
      <c r="G178" s="7">
        <f>IFERROR(__xludf.DUMMYFUNCTION("""COMPUTED_VALUE"""),0.3597222222222222)</f>
        <v>0.3597222222</v>
      </c>
      <c r="H178" s="1">
        <f>IFERROR(__xludf.DUMMYFUNCTION("""COMPUTED_VALUE"""),15.0)</f>
        <v>15</v>
      </c>
      <c r="I178" s="7">
        <f>IFERROR(__xludf.DUMMYFUNCTION("""COMPUTED_VALUE"""),0.4305555555555556)</f>
        <v>0.4305555556</v>
      </c>
      <c r="J178" s="1" t="str">
        <f>IFERROR(__xludf.DUMMYFUNCTION("""COMPUTED_VALUE"""),"D")</f>
        <v>D</v>
      </c>
      <c r="K178" s="1">
        <f>IFERROR(__xludf.DUMMYFUNCTION("""COMPUTED_VALUE"""),184.0)</f>
        <v>184</v>
      </c>
      <c r="L178" s="7">
        <f>IFERROR(__xludf.DUMMYFUNCTION("""COMPUTED_VALUE"""),0.07083333333333336)</f>
        <v>0.07083333333</v>
      </c>
      <c r="M178" s="7">
        <f>IFERROR(__xludf.DUMMYFUNCTION("""COMPUTED_VALUE"""),0.04770833333333336)</f>
        <v>0.04770833333</v>
      </c>
      <c r="O178" s="9">
        <f>IFERROR(__xludf.DUMMYFUNCTION("""COMPUTED_VALUE"""),950.3500000000006)</f>
        <v>950.35</v>
      </c>
      <c r="P178" s="1" t="str">
        <f>IFERROR(__xludf.DUMMYFUNCTION("""COMPUTED_VALUE"""),"KLM")</f>
        <v>KLM</v>
      </c>
      <c r="Q178" s="1" t="str">
        <f>IFERROR(__xludf.DUMMYFUNCTION("""COMPUTED_VALUE"""),"ECAC")</f>
        <v>ECAC</v>
      </c>
    </row>
    <row r="179">
      <c r="A179" s="1" t="str">
        <f>IFERROR(__xludf.DUMMYFUNCTION("""COMPUTED_VALUE"""),"AXE8108")</f>
        <v>AXE8108</v>
      </c>
      <c r="B179" s="1" t="str">
        <f>IFERROR(__xludf.DUMMYFUNCTION("""COMPUTED_VALUE"""),"B733")</f>
        <v>B733</v>
      </c>
      <c r="C179" s="1" t="str">
        <f>IFERROR(__xludf.DUMMYFUNCTION("""COMPUTED_VALUE"""),"LIRQ")</f>
        <v>LIRQ</v>
      </c>
      <c r="D179" s="1" t="str">
        <f>IFERROR(__xludf.DUMMYFUNCTION("""COMPUTED_VALUE"""),"LEBL")</f>
        <v>LEBL</v>
      </c>
      <c r="E179" s="1" t="str">
        <f>IFERROR(__xludf.DUMMYFUNCTION("""COMPUTED_VALUE"""),"LYCHF")</f>
        <v>LYCHF</v>
      </c>
      <c r="F179" s="1">
        <f>IFERROR(__xludf.DUMMYFUNCTION("""COMPUTED_VALUE"""),350.0)</f>
        <v>350</v>
      </c>
      <c r="G179" s="7">
        <f>IFERROR(__xludf.DUMMYFUNCTION("""COMPUTED_VALUE"""),0.3909722222222222)</f>
        <v>0.3909722222</v>
      </c>
      <c r="H179" s="1">
        <f>IFERROR(__xludf.DUMMYFUNCTION("""COMPUTED_VALUE"""),20.0)</f>
        <v>20</v>
      </c>
      <c r="I179" s="7">
        <f>IFERROR(__xludf.DUMMYFUNCTION("""COMPUTED_VALUE"""),0.4305555555555556)</f>
        <v>0.4305555556</v>
      </c>
      <c r="J179" s="1" t="str">
        <f>IFERROR(__xludf.DUMMYFUNCTION("""COMPUTED_VALUE"""),"E")</f>
        <v>E</v>
      </c>
      <c r="K179" s="1">
        <f>IFERROR(__xludf.DUMMYFUNCTION("""COMPUTED_VALUE"""),142.0)</f>
        <v>142</v>
      </c>
      <c r="L179" s="7">
        <f>IFERROR(__xludf.DUMMYFUNCTION("""COMPUTED_VALUE"""),0.03958333333333336)</f>
        <v>0.03958333333</v>
      </c>
      <c r="M179" s="7">
        <f>IFERROR(__xludf.DUMMYFUNCTION("""COMPUTED_VALUE"""),0.012986111111111136)</f>
        <v>0.01298611111</v>
      </c>
      <c r="O179" s="9">
        <f>IFERROR(__xludf.DUMMYFUNCTION("""COMPUTED_VALUE"""),140.25000000000026)</f>
        <v>140.25</v>
      </c>
      <c r="P179" s="1" t="str">
        <f>IFERROR(__xludf.DUMMYFUNCTION("""COMPUTED_VALUE"""),"AXE")</f>
        <v>AXE</v>
      </c>
      <c r="Q179" s="1" t="str">
        <f>IFERROR(__xludf.DUMMYFUNCTION("""COMPUTED_VALUE"""),"ECAC")</f>
        <v>ECAC</v>
      </c>
    </row>
    <row r="180">
      <c r="A180" s="1" t="str">
        <f>IFERROR(__xludf.DUMMYFUNCTION("""COMPUTED_VALUE"""),"DLH51F")</f>
        <v>DLH51F</v>
      </c>
      <c r="B180" s="1" t="str">
        <f>IFERROR(__xludf.DUMMYFUNCTION("""COMPUTED_VALUE"""),"A320")</f>
        <v>A320</v>
      </c>
      <c r="C180" s="1" t="str">
        <f>IFERROR(__xludf.DUMMYFUNCTION("""COMPUTED_VALUE"""),"EDDM")</f>
        <v>EDDM</v>
      </c>
      <c r="D180" s="1" t="str">
        <f>IFERROR(__xludf.DUMMYFUNCTION("""COMPUTED_VALUE"""),"LEBL")</f>
        <v>LEBL</v>
      </c>
      <c r="E180" s="1" t="str">
        <f>IFERROR(__xludf.DUMMYFUNCTION("""COMPUTED_VALUE"""),"DAIUE")</f>
        <v>DAIUE</v>
      </c>
      <c r="F180" s="1">
        <f>IFERROR(__xludf.DUMMYFUNCTION("""COMPUTED_VALUE"""),370.0)</f>
        <v>370</v>
      </c>
      <c r="G180" s="7">
        <f>IFERROR(__xludf.DUMMYFUNCTION("""COMPUTED_VALUE"""),0.375)</f>
        <v>0.375</v>
      </c>
      <c r="H180" s="1">
        <f>IFERROR(__xludf.DUMMYFUNCTION("""COMPUTED_VALUE"""),12.0)</f>
        <v>12</v>
      </c>
      <c r="I180" s="7">
        <f>IFERROR(__xludf.DUMMYFUNCTION("""COMPUTED_VALUE"""),0.4340277777777778)</f>
        <v>0.4340277778</v>
      </c>
      <c r="J180" s="1" t="str">
        <f>IFERROR(__xludf.DUMMYFUNCTION("""COMPUTED_VALUE"""),"D")</f>
        <v>D</v>
      </c>
      <c r="K180" s="1">
        <f>IFERROR(__xludf.DUMMYFUNCTION("""COMPUTED_VALUE"""),173.0)</f>
        <v>173</v>
      </c>
      <c r="L180" s="7">
        <f>IFERROR(__xludf.DUMMYFUNCTION("""COMPUTED_VALUE"""),0.05902777777777779)</f>
        <v>0.05902777778</v>
      </c>
      <c r="M180" s="7">
        <f>IFERROR(__xludf.DUMMYFUNCTION("""COMPUTED_VALUE"""),0.03798611111111112)</f>
        <v>0.03798611111</v>
      </c>
      <c r="O180" s="9">
        <f>IFERROR(__xludf.DUMMYFUNCTION("""COMPUTED_VALUE"""),756.6833333333336)</f>
        <v>756.6833333</v>
      </c>
      <c r="P180" s="1" t="str">
        <f>IFERROR(__xludf.DUMMYFUNCTION("""COMPUTED_VALUE"""),"DLH")</f>
        <v>DLH</v>
      </c>
      <c r="Q180" s="1" t="str">
        <f>IFERROR(__xludf.DUMMYFUNCTION("""COMPUTED_VALUE"""),"ECAC")</f>
        <v>ECAC</v>
      </c>
    </row>
    <row r="181">
      <c r="A181" s="1" t="str">
        <f>IFERROR(__xludf.DUMMYFUNCTION("""COMPUTED_VALUE"""),"AXY632K")</f>
        <v>AXY632K</v>
      </c>
      <c r="B181" s="1" t="str">
        <f>IFERROR(__xludf.DUMMYFUNCTION("""COMPUTED_VALUE"""),"CRJ2")</f>
        <v>CRJ2</v>
      </c>
      <c r="C181" s="1" t="str">
        <f>IFERROR(__xludf.DUMMYFUNCTION("""COMPUTED_VALUE"""),"LFMN")</f>
        <v>LFMN</v>
      </c>
      <c r="D181" s="1" t="str">
        <f>IFERROR(__xludf.DUMMYFUNCTION("""COMPUTED_VALUE"""),"LEBL")</f>
        <v>LEBL</v>
      </c>
      <c r="E181" s="1" t="str">
        <f>IFERROR(__xludf.DUMMYFUNCTION("""COMPUTED_VALUE"""),"9HYOU")</f>
        <v>9HYOU</v>
      </c>
      <c r="F181" s="1">
        <f>IFERROR(__xludf.DUMMYFUNCTION("""COMPUTED_VALUE"""),270.0)</f>
        <v>270</v>
      </c>
      <c r="G181" s="7">
        <f>IFERROR(__xludf.DUMMYFUNCTION("""COMPUTED_VALUE"""),0.3951388888888889)</f>
        <v>0.3951388889</v>
      </c>
      <c r="H181" s="1">
        <f>IFERROR(__xludf.DUMMYFUNCTION("""COMPUTED_VALUE"""),14.0)</f>
        <v>14</v>
      </c>
      <c r="I181" s="7">
        <f>IFERROR(__xludf.DUMMYFUNCTION("""COMPUTED_VALUE"""),0.4340277777777778)</f>
        <v>0.4340277778</v>
      </c>
      <c r="J181" s="1" t="str">
        <f>IFERROR(__xludf.DUMMYFUNCTION("""COMPUTED_VALUE"""),"E")</f>
        <v>E</v>
      </c>
      <c r="K181" s="1">
        <f>IFERROR(__xludf.DUMMYFUNCTION("""COMPUTED_VALUE"""),49.0)</f>
        <v>49</v>
      </c>
      <c r="L181" s="7">
        <f>IFERROR(__xludf.DUMMYFUNCTION("""COMPUTED_VALUE"""),0.03888888888888892)</f>
        <v>0.03888888889</v>
      </c>
      <c r="M181" s="7">
        <f>IFERROR(__xludf.DUMMYFUNCTION("""COMPUTED_VALUE"""),0.01645833333333336)</f>
        <v>0.01645833333</v>
      </c>
      <c r="O181" s="9">
        <f>IFERROR(__xludf.DUMMYFUNCTION("""COMPUTED_VALUE"""),177.75000000000028)</f>
        <v>177.75</v>
      </c>
      <c r="P181" s="1" t="str">
        <f>IFERROR(__xludf.DUMMYFUNCTION("""COMPUTED_VALUE"""),"AXY")</f>
        <v>AXY</v>
      </c>
      <c r="Q181" s="1" t="str">
        <f>IFERROR(__xludf.DUMMYFUNCTION("""COMPUTED_VALUE"""),"ECAC")</f>
        <v>ECAC</v>
      </c>
    </row>
    <row r="182">
      <c r="A182" s="1" t="str">
        <f>IFERROR(__xludf.DUMMYFUNCTION("""COMPUTED_VALUE"""),"PGT1ZF")</f>
        <v>PGT1ZF</v>
      </c>
      <c r="B182" s="1" t="str">
        <f>IFERROR(__xludf.DUMMYFUNCTION("""COMPUTED_VALUE"""),"A21N")</f>
        <v>A21N</v>
      </c>
      <c r="C182" s="1" t="str">
        <f>IFERROR(__xludf.DUMMYFUNCTION("""COMPUTED_VALUE"""),"LTFJ")</f>
        <v>LTFJ</v>
      </c>
      <c r="D182" s="1" t="str">
        <f>IFERROR(__xludf.DUMMYFUNCTION("""COMPUTED_VALUE"""),"LEBL")</f>
        <v>LEBL</v>
      </c>
      <c r="E182" s="1" t="str">
        <f>IFERROR(__xludf.DUMMYFUNCTION("""COMPUTED_VALUE"""),"TCRBL")</f>
        <v>TCRBL</v>
      </c>
      <c r="F182" s="1">
        <f>IFERROR(__xludf.DUMMYFUNCTION("""COMPUTED_VALUE"""),330.0)</f>
        <v>330</v>
      </c>
      <c r="G182" s="7">
        <f>IFERROR(__xludf.DUMMYFUNCTION("""COMPUTED_VALUE"""),0.3055555555555556)</f>
        <v>0.3055555556</v>
      </c>
      <c r="H182" s="1">
        <f>IFERROR(__xludf.DUMMYFUNCTION("""COMPUTED_VALUE"""),15.0)</f>
        <v>15</v>
      </c>
      <c r="I182" s="7">
        <f>IFERROR(__xludf.DUMMYFUNCTION("""COMPUTED_VALUE"""),0.4340277777777778)</f>
        <v>0.4340277778</v>
      </c>
      <c r="J182" s="1" t="str">
        <f>IFERROR(__xludf.DUMMYFUNCTION("""COMPUTED_VALUE"""),"D")</f>
        <v>D</v>
      </c>
      <c r="K182" s="1">
        <f>IFERROR(__xludf.DUMMYFUNCTION("""COMPUTED_VALUE"""),200.0)</f>
        <v>200</v>
      </c>
      <c r="L182" s="7">
        <f>IFERROR(__xludf.DUMMYFUNCTION("""COMPUTED_VALUE"""),0.1284722222222222)</f>
        <v>0.1284722222</v>
      </c>
      <c r="M182" s="7">
        <f>IFERROR(__xludf.DUMMYFUNCTION("""COMPUTED_VALUE"""),0.1053472222222222)</f>
        <v>0.1053472222</v>
      </c>
      <c r="O182" s="9">
        <f>IFERROR(__xludf.DUMMYFUNCTION("""COMPUTED_VALUE"""),2098.5166666666664)</f>
        <v>2098.516667</v>
      </c>
      <c r="P182" s="1" t="str">
        <f>IFERROR(__xludf.DUMMYFUNCTION("""COMPUTED_VALUE"""),"PGT")</f>
        <v>PGT</v>
      </c>
      <c r="Q182" s="1" t="str">
        <f>IFERROR(__xludf.DUMMYFUNCTION("""COMPUTED_VALUE"""),"ECAC")</f>
        <v>ECAC</v>
      </c>
    </row>
    <row r="183">
      <c r="A183" s="1" t="str">
        <f>IFERROR(__xludf.DUMMYFUNCTION("""COMPUTED_VALUE"""),"RYR4QJ")</f>
        <v>RYR4QJ</v>
      </c>
      <c r="B183" s="1" t="str">
        <f>IFERROR(__xludf.DUMMYFUNCTION("""COMPUTED_VALUE"""),"B738")</f>
        <v>B738</v>
      </c>
      <c r="C183" s="1" t="str">
        <f>IFERROR(__xludf.DUMMYFUNCTION("""COMPUTED_VALUE"""),"LIME")</f>
        <v>LIME</v>
      </c>
      <c r="D183" s="1" t="str">
        <f>IFERROR(__xludf.DUMMYFUNCTION("""COMPUTED_VALUE"""),"LEBL")</f>
        <v>LEBL</v>
      </c>
      <c r="E183" s="1" t="str">
        <f>IFERROR(__xludf.DUMMYFUNCTION("""COMPUTED_VALUE"""),"EIEMA")</f>
        <v>EIEMA</v>
      </c>
      <c r="F183" s="1">
        <f>IFERROR(__xludf.DUMMYFUNCTION("""COMPUTED_VALUE"""),310.0)</f>
        <v>310</v>
      </c>
      <c r="G183" s="7">
        <f>IFERROR(__xludf.DUMMYFUNCTION("""COMPUTED_VALUE"""),0.39305555555555555)</f>
        <v>0.3930555556</v>
      </c>
      <c r="H183" s="1">
        <f>IFERROR(__xludf.DUMMYFUNCTION("""COMPUTED_VALUE"""),13.0)</f>
        <v>13</v>
      </c>
      <c r="I183" s="7">
        <f>IFERROR(__xludf.DUMMYFUNCTION("""COMPUTED_VALUE"""),0.4340277777777778)</f>
        <v>0.4340277778</v>
      </c>
      <c r="J183" s="1" t="str">
        <f>IFERROR(__xludf.DUMMYFUNCTION("""COMPUTED_VALUE"""),"D")</f>
        <v>D</v>
      </c>
      <c r="K183" s="1">
        <f>IFERROR(__xludf.DUMMYFUNCTION("""COMPUTED_VALUE"""),184.0)</f>
        <v>184</v>
      </c>
      <c r="L183" s="7">
        <f>IFERROR(__xludf.DUMMYFUNCTION("""COMPUTED_VALUE"""),0.04097222222222224)</f>
        <v>0.04097222222</v>
      </c>
      <c r="M183" s="7">
        <f>IFERROR(__xludf.DUMMYFUNCTION("""COMPUTED_VALUE"""),0.01923611111111113)</f>
        <v>0.01923611111</v>
      </c>
      <c r="O183" s="9">
        <f>IFERROR(__xludf.DUMMYFUNCTION("""COMPUTED_VALUE"""),383.1833333333337)</f>
        <v>383.1833333</v>
      </c>
      <c r="P183" s="1" t="str">
        <f>IFERROR(__xludf.DUMMYFUNCTION("""COMPUTED_VALUE"""),"RYR")</f>
        <v>RYR</v>
      </c>
      <c r="Q183" s="1" t="str">
        <f>IFERROR(__xludf.DUMMYFUNCTION("""COMPUTED_VALUE"""),"ECAC")</f>
        <v>ECAC</v>
      </c>
    </row>
    <row r="184">
      <c r="A184" s="1" t="str">
        <f>IFERROR(__xludf.DUMMYFUNCTION("""COMPUTED_VALUE"""),"EJU86QA")</f>
        <v>EJU86QA</v>
      </c>
      <c r="B184" s="1" t="str">
        <f>IFERROR(__xludf.DUMMYFUNCTION("""COMPUTED_VALUE"""),"A319")</f>
        <v>A319</v>
      </c>
      <c r="C184" s="1" t="str">
        <f>IFERROR(__xludf.DUMMYFUNCTION("""COMPUTED_VALUE"""),"EGGD")</f>
        <v>EGGD</v>
      </c>
      <c r="D184" s="1" t="str">
        <f>IFERROR(__xludf.DUMMYFUNCTION("""COMPUTED_VALUE"""),"LEBL")</f>
        <v>LEBL</v>
      </c>
      <c r="E184" s="1" t="str">
        <f>IFERROR(__xludf.DUMMYFUNCTION("""COMPUTED_VALUE"""),"OELQQ")</f>
        <v>OELQQ</v>
      </c>
      <c r="F184" s="1">
        <f>IFERROR(__xludf.DUMMYFUNCTION("""COMPUTED_VALUE"""),390.0)</f>
        <v>390</v>
      </c>
      <c r="G184" s="7">
        <f>IFERROR(__xludf.DUMMYFUNCTION("""COMPUTED_VALUE"""),0.37777777777777777)</f>
        <v>0.3777777778</v>
      </c>
      <c r="H184" s="1">
        <f>IFERROR(__xludf.DUMMYFUNCTION("""COMPUTED_VALUE"""),9.0)</f>
        <v>9</v>
      </c>
      <c r="I184" s="7">
        <f>IFERROR(__xludf.DUMMYFUNCTION("""COMPUTED_VALUE"""),0.4409722222222222)</f>
        <v>0.4409722222</v>
      </c>
      <c r="J184" s="1" t="str">
        <f>IFERROR(__xludf.DUMMYFUNCTION("""COMPUTED_VALUE"""),"D")</f>
        <v>D</v>
      </c>
      <c r="K184" s="1">
        <f>IFERROR(__xludf.DUMMYFUNCTION("""COMPUTED_VALUE"""),144.0)</f>
        <v>144</v>
      </c>
      <c r="L184" s="7">
        <f>IFERROR(__xludf.DUMMYFUNCTION("""COMPUTED_VALUE"""),0.06319444444444444)</f>
        <v>0.06319444444</v>
      </c>
      <c r="M184" s="7">
        <f>IFERROR(__xludf.DUMMYFUNCTION("""COMPUTED_VALUE"""),0.04423611111111111)</f>
        <v>0.04423611111</v>
      </c>
      <c r="O184" s="9">
        <f>IFERROR(__xludf.DUMMYFUNCTION("""COMPUTED_VALUE"""),881.1833333333333)</f>
        <v>881.1833333</v>
      </c>
      <c r="P184" s="1" t="str">
        <f>IFERROR(__xludf.DUMMYFUNCTION("""COMPUTED_VALUE"""),"EJU")</f>
        <v>EJU</v>
      </c>
      <c r="Q184" s="1" t="str">
        <f>IFERROR(__xludf.DUMMYFUNCTION("""COMPUTED_VALUE"""),"ECAC")</f>
        <v>ECAC</v>
      </c>
    </row>
    <row r="185">
      <c r="A185" s="1" t="str">
        <f>IFERROR(__xludf.DUMMYFUNCTION("""COMPUTED_VALUE"""),"VLG5HA")</f>
        <v>VLG5HA</v>
      </c>
      <c r="B185" s="1" t="str">
        <f>IFERROR(__xludf.DUMMYFUNCTION("""COMPUTED_VALUE"""),"A320")</f>
        <v>A320</v>
      </c>
      <c r="C185" s="1" t="str">
        <f>IFERROR(__xludf.DUMMYFUNCTION("""COMPUTED_VALUE"""),"EHAM")</f>
        <v>EHAM</v>
      </c>
      <c r="D185" s="1" t="str">
        <f>IFERROR(__xludf.DUMMYFUNCTION("""COMPUTED_VALUE"""),"LEBL")</f>
        <v>LEBL</v>
      </c>
      <c r="E185" s="1" t="str">
        <f>IFERROR(__xludf.DUMMYFUNCTION("""COMPUTED_VALUE"""),"ECKDX")</f>
        <v>ECKDX</v>
      </c>
      <c r="F185" s="1">
        <f>IFERROR(__xludf.DUMMYFUNCTION("""COMPUTED_VALUE"""),370.0)</f>
        <v>370</v>
      </c>
      <c r="G185" s="7">
        <f>IFERROR(__xludf.DUMMYFUNCTION("""COMPUTED_VALUE"""),0.3625)</f>
        <v>0.3625</v>
      </c>
      <c r="H185" s="1">
        <f>IFERROR(__xludf.DUMMYFUNCTION("""COMPUTED_VALUE"""),10.0)</f>
        <v>10</v>
      </c>
      <c r="I185" s="7">
        <f>IFERROR(__xludf.DUMMYFUNCTION("""COMPUTED_VALUE"""),0.4409722222222222)</f>
        <v>0.4409722222</v>
      </c>
      <c r="J185" s="1" t="str">
        <f>IFERROR(__xludf.DUMMYFUNCTION("""COMPUTED_VALUE"""),"D")</f>
        <v>D</v>
      </c>
      <c r="K185" s="1">
        <f>IFERROR(__xludf.DUMMYFUNCTION("""COMPUTED_VALUE"""),173.0)</f>
        <v>173</v>
      </c>
      <c r="L185" s="7">
        <f>IFERROR(__xludf.DUMMYFUNCTION("""COMPUTED_VALUE"""),0.07847222222222222)</f>
        <v>0.07847222222</v>
      </c>
      <c r="M185" s="7">
        <f>IFERROR(__xludf.DUMMYFUNCTION("""COMPUTED_VALUE"""),0.05881944444444444)</f>
        <v>0.05881944444</v>
      </c>
      <c r="O185" s="9">
        <f>IFERROR(__xludf.DUMMYFUNCTION("""COMPUTED_VALUE"""),1171.6833333333334)</f>
        <v>1171.683333</v>
      </c>
      <c r="P185" s="1" t="str">
        <f>IFERROR(__xludf.DUMMYFUNCTION("""COMPUTED_VALUE"""),"VLG")</f>
        <v>VLG</v>
      </c>
      <c r="Q185" s="1" t="str">
        <f>IFERROR(__xludf.DUMMYFUNCTION("""COMPUTED_VALUE"""),"ECAC")</f>
        <v>ECAC</v>
      </c>
    </row>
    <row r="186">
      <c r="A186" s="1" t="str">
        <f>IFERROR(__xludf.DUMMYFUNCTION("""COMPUTED_VALUE"""),"IBE2630")</f>
        <v>IBE2630</v>
      </c>
      <c r="B186" s="1" t="str">
        <f>IFERROR(__xludf.DUMMYFUNCTION("""COMPUTED_VALUE"""),"A332")</f>
        <v>A332</v>
      </c>
      <c r="C186" s="1" t="str">
        <f>IFERROR(__xludf.DUMMYFUNCTION("""COMPUTED_VALUE"""),"KMIA")</f>
        <v>KMIA</v>
      </c>
      <c r="D186" s="1" t="str">
        <f>IFERROR(__xludf.DUMMYFUNCTION("""COMPUTED_VALUE"""),"LEBL")</f>
        <v>LEBL</v>
      </c>
      <c r="E186" s="1" t="str">
        <f>IFERROR(__xludf.DUMMYFUNCTION("""COMPUTED_VALUE"""),"ECOHY")</f>
        <v>ECOHY</v>
      </c>
      <c r="F186" s="1">
        <f>IFERROR(__xludf.DUMMYFUNCTION("""COMPUTED_VALUE"""),400.0)</f>
        <v>400</v>
      </c>
      <c r="G186" s="7">
        <f>IFERROR(__xludf.DUMMYFUNCTION("""COMPUTED_VALUE"""),0.0798611111111111)</f>
        <v>0.07986111111</v>
      </c>
      <c r="H186" s="1">
        <f>IFERROR(__xludf.DUMMYFUNCTION("""COMPUTED_VALUE"""),10.0)</f>
        <v>10</v>
      </c>
      <c r="I186" s="7">
        <f>IFERROR(__xludf.DUMMYFUNCTION("""COMPUTED_VALUE"""),0.4479166666666667)</f>
        <v>0.4479166667</v>
      </c>
      <c r="J186" s="1" t="str">
        <f>IFERROR(__xludf.DUMMYFUNCTION("""COMPUTED_VALUE"""),"B")</f>
        <v>B</v>
      </c>
      <c r="K186" s="1">
        <f>IFERROR(__xludf.DUMMYFUNCTION("""COMPUTED_VALUE"""),281.0)</f>
        <v>281</v>
      </c>
      <c r="L186" s="7">
        <f>IFERROR(__xludf.DUMMYFUNCTION("""COMPUTED_VALUE"""),0.3680555555555556)</f>
        <v>0.3680555556</v>
      </c>
      <c r="M186" s="7">
        <f>IFERROR(__xludf.DUMMYFUNCTION("""COMPUTED_VALUE"""),0.34840277777777784)</f>
        <v>0.3484027778</v>
      </c>
      <c r="O186" s="9">
        <f>IFERROR(__xludf.DUMMYFUNCTION("""COMPUTED_VALUE"""),7525.500000000001)</f>
        <v>7525.5</v>
      </c>
      <c r="P186" s="1" t="str">
        <f>IFERROR(__xludf.DUMMYFUNCTION("""COMPUTED_VALUE"""),"IBE")</f>
        <v>IBE</v>
      </c>
      <c r="Q186" s="1" t="str">
        <f>IFERROR(__xludf.DUMMYFUNCTION("""COMPUTED_VALUE"""),"NO ECAC")</f>
        <v>NO ECAC</v>
      </c>
    </row>
    <row r="187">
      <c r="A187" s="1" t="str">
        <f>IFERROR(__xludf.DUMMYFUNCTION("""COMPUTED_VALUE"""),"IBE04YZ")</f>
        <v>IBE04YZ</v>
      </c>
      <c r="B187" s="1" t="str">
        <f>IFERROR(__xludf.DUMMYFUNCTION("""COMPUTED_VALUE"""),"A321")</f>
        <v>A321</v>
      </c>
      <c r="C187" s="1" t="str">
        <f>IFERROR(__xludf.DUMMYFUNCTION("""COMPUTED_VALUE"""),"LEMD")</f>
        <v>LEMD</v>
      </c>
      <c r="D187" s="1" t="str">
        <f>IFERROR(__xludf.DUMMYFUNCTION("""COMPUTED_VALUE"""),"LEBL")</f>
        <v>LEBL</v>
      </c>
      <c r="E187" s="1" t="str">
        <f>IFERROR(__xludf.DUMMYFUNCTION("""COMPUTED_VALUE"""),"ECJDM")</f>
        <v>ECJDM</v>
      </c>
      <c r="F187" s="1">
        <f>IFERROR(__xludf.DUMMYFUNCTION("""COMPUTED_VALUE"""),260.0)</f>
        <v>260</v>
      </c>
      <c r="G187" s="7">
        <f>IFERROR(__xludf.DUMMYFUNCTION("""COMPUTED_VALUE"""),0.41458333333333336)</f>
        <v>0.4145833333</v>
      </c>
      <c r="H187" s="1">
        <f>IFERROR(__xludf.DUMMYFUNCTION("""COMPUTED_VALUE"""),15.0)</f>
        <v>15</v>
      </c>
      <c r="I187" s="7">
        <f>IFERROR(__xludf.DUMMYFUNCTION("""COMPUTED_VALUE"""),0.4479166666666667)</f>
        <v>0.4479166667</v>
      </c>
      <c r="J187" s="1" t="str">
        <f>IFERROR(__xludf.DUMMYFUNCTION("""COMPUTED_VALUE"""),"D")</f>
        <v>D</v>
      </c>
      <c r="K187" s="1">
        <f>IFERROR(__xludf.DUMMYFUNCTION("""COMPUTED_VALUE"""),207.0)</f>
        <v>207</v>
      </c>
      <c r="L187" s="7">
        <f>IFERROR(__xludf.DUMMYFUNCTION("""COMPUTED_VALUE"""),0.033333333333333326)</f>
        <v>0.03333333333</v>
      </c>
      <c r="M187" s="7">
        <f>IFERROR(__xludf.DUMMYFUNCTION("""COMPUTED_VALUE"""),0.010208333333333324)</f>
        <v>0.01020833333</v>
      </c>
      <c r="O187" s="9">
        <f>IFERROR(__xludf.DUMMYFUNCTION("""COMPUTED_VALUE"""),203.34999999999982)</f>
        <v>203.35</v>
      </c>
      <c r="P187" s="1" t="str">
        <f>IFERROR(__xludf.DUMMYFUNCTION("""COMPUTED_VALUE"""),"IBE")</f>
        <v>IBE</v>
      </c>
      <c r="Q187" s="1" t="str">
        <f>IFERROR(__xludf.DUMMYFUNCTION("""COMPUTED_VALUE"""),"ECAC")</f>
        <v>ECAC</v>
      </c>
    </row>
    <row r="188">
      <c r="A188" s="1" t="str">
        <f>IFERROR(__xludf.DUMMYFUNCTION("""COMPUTED_VALUE"""),"VLG141P")</f>
        <v>VLG141P</v>
      </c>
      <c r="B188" s="1" t="str">
        <f>IFERROR(__xludf.DUMMYFUNCTION("""COMPUTED_VALUE"""),"A320")</f>
        <v>A320</v>
      </c>
      <c r="C188" s="1" t="str">
        <f>IFERROR(__xludf.DUMMYFUNCTION("""COMPUTED_VALUE"""),"LEIB")</f>
        <v>LEIB</v>
      </c>
      <c r="D188" s="1" t="str">
        <f>IFERROR(__xludf.DUMMYFUNCTION("""COMPUTED_VALUE"""),"LEBL")</f>
        <v>LEBL</v>
      </c>
      <c r="E188" s="1" t="str">
        <f>IFERROR(__xludf.DUMMYFUNCTION("""COMPUTED_VALUE"""),"ECMBE")</f>
        <v>ECMBE</v>
      </c>
      <c r="F188" s="1">
        <f>IFERROR(__xludf.DUMMYFUNCTION("""COMPUTED_VALUE"""),180.0)</f>
        <v>180</v>
      </c>
      <c r="G188" s="7">
        <f>IFERROR(__xludf.DUMMYFUNCTION("""COMPUTED_VALUE"""),0.42083333333333334)</f>
        <v>0.4208333333</v>
      </c>
      <c r="H188" s="1">
        <f>IFERROR(__xludf.DUMMYFUNCTION("""COMPUTED_VALUE"""),7.0)</f>
        <v>7</v>
      </c>
      <c r="I188" s="7">
        <f>IFERROR(__xludf.DUMMYFUNCTION("""COMPUTED_VALUE"""),0.4513888888888889)</f>
        <v>0.4513888889</v>
      </c>
      <c r="J188" s="1" t="str">
        <f>IFERROR(__xludf.DUMMYFUNCTION("""COMPUTED_VALUE"""),"D")</f>
        <v>D</v>
      </c>
      <c r="K188" s="1">
        <f>IFERROR(__xludf.DUMMYFUNCTION("""COMPUTED_VALUE"""),173.0)</f>
        <v>173</v>
      </c>
      <c r="L188" s="7">
        <f>IFERROR(__xludf.DUMMYFUNCTION("""COMPUTED_VALUE"""),0.030555555555555558)</f>
        <v>0.03055555556</v>
      </c>
      <c r="M188" s="7">
        <f>IFERROR(__xludf.DUMMYFUNCTION("""COMPUTED_VALUE"""),0.012986111111111111)</f>
        <v>0.01298611111</v>
      </c>
      <c r="O188" s="9">
        <f>IFERROR(__xludf.DUMMYFUNCTION("""COMPUTED_VALUE"""),258.68333333333334)</f>
        <v>258.6833333</v>
      </c>
      <c r="P188" s="1" t="str">
        <f>IFERROR(__xludf.DUMMYFUNCTION("""COMPUTED_VALUE"""),"VLG")</f>
        <v>VLG</v>
      </c>
      <c r="Q188" s="1" t="str">
        <f>IFERROR(__xludf.DUMMYFUNCTION("""COMPUTED_VALUE"""),"ECAC")</f>
        <v>ECAC</v>
      </c>
    </row>
    <row r="189">
      <c r="A189" s="1" t="str">
        <f>IFERROR(__xludf.DUMMYFUNCTION("""COMPUTED_VALUE"""),"VLG71PG")</f>
        <v>VLG71PG</v>
      </c>
      <c r="B189" s="1" t="str">
        <f>IFERROR(__xludf.DUMMYFUNCTION("""COMPUTED_VALUE"""),"A320")</f>
        <v>A320</v>
      </c>
      <c r="C189" s="1" t="str">
        <f>IFERROR(__xludf.DUMMYFUNCTION("""COMPUTED_VALUE"""),"EGKK")</f>
        <v>EGKK</v>
      </c>
      <c r="D189" s="1" t="str">
        <f>IFERROR(__xludf.DUMMYFUNCTION("""COMPUTED_VALUE"""),"LEBL")</f>
        <v>LEBL</v>
      </c>
      <c r="E189" s="1" t="str">
        <f>IFERROR(__xludf.DUMMYFUNCTION("""COMPUTED_VALUE"""),"ECMES")</f>
        <v>ECMES</v>
      </c>
      <c r="F189" s="1">
        <f>IFERROR(__xludf.DUMMYFUNCTION("""COMPUTED_VALUE"""),350.0)</f>
        <v>350</v>
      </c>
      <c r="G189" s="7">
        <f>IFERROR(__xludf.DUMMYFUNCTION("""COMPUTED_VALUE"""),0.35347222222222224)</f>
        <v>0.3534722222</v>
      </c>
      <c r="H189" s="1">
        <f>IFERROR(__xludf.DUMMYFUNCTION("""COMPUTED_VALUE"""),19.0)</f>
        <v>19</v>
      </c>
      <c r="I189" s="7">
        <f>IFERROR(__xludf.DUMMYFUNCTION("""COMPUTED_VALUE"""),0.4513888888888889)</f>
        <v>0.4513888889</v>
      </c>
      <c r="J189" s="1" t="str">
        <f>IFERROR(__xludf.DUMMYFUNCTION("""COMPUTED_VALUE"""),"D")</f>
        <v>D</v>
      </c>
      <c r="K189" s="1">
        <f>IFERROR(__xludf.DUMMYFUNCTION("""COMPUTED_VALUE"""),173.0)</f>
        <v>173</v>
      </c>
      <c r="L189" s="7">
        <f>IFERROR(__xludf.DUMMYFUNCTION("""COMPUTED_VALUE"""),0.09791666666666665)</f>
        <v>0.09791666667</v>
      </c>
      <c r="M189" s="7">
        <f>IFERROR(__xludf.DUMMYFUNCTION("""COMPUTED_VALUE"""),0.07201388888888888)</f>
        <v>0.07201388889</v>
      </c>
      <c r="O189" s="9">
        <f>IFERROR(__xludf.DUMMYFUNCTION("""COMPUTED_VALUE"""),1434.5166666666664)</f>
        <v>1434.516667</v>
      </c>
      <c r="P189" s="1" t="str">
        <f>IFERROR(__xludf.DUMMYFUNCTION("""COMPUTED_VALUE"""),"VLG")</f>
        <v>VLG</v>
      </c>
      <c r="Q189" s="1" t="str">
        <f>IFERROR(__xludf.DUMMYFUNCTION("""COMPUTED_VALUE"""),"ECAC")</f>
        <v>ECAC</v>
      </c>
    </row>
    <row r="190">
      <c r="A190" s="1" t="str">
        <f>IFERROR(__xludf.DUMMYFUNCTION("""COMPUTED_VALUE"""),"VLG55UB")</f>
        <v>VLG55UB</v>
      </c>
      <c r="B190" s="1" t="str">
        <f>IFERROR(__xludf.DUMMYFUNCTION("""COMPUTED_VALUE"""),"A21N")</f>
        <v>A21N</v>
      </c>
      <c r="C190" s="1" t="str">
        <f>IFERROR(__xludf.DUMMYFUNCTION("""COMPUTED_VALUE"""),"EDDM")</f>
        <v>EDDM</v>
      </c>
      <c r="D190" s="1" t="str">
        <f>IFERROR(__xludf.DUMMYFUNCTION("""COMPUTED_VALUE"""),"LEBL")</f>
        <v>LEBL</v>
      </c>
      <c r="E190" s="1" t="str">
        <f>IFERROR(__xludf.DUMMYFUNCTION("""COMPUTED_VALUE"""),"ECNYE")</f>
        <v>ECNYE</v>
      </c>
      <c r="F190" s="1">
        <f>IFERROR(__xludf.DUMMYFUNCTION("""COMPUTED_VALUE"""),350.0)</f>
        <v>350</v>
      </c>
      <c r="G190" s="7">
        <f>IFERROR(__xludf.DUMMYFUNCTION("""COMPUTED_VALUE"""),0.3909722222222222)</f>
        <v>0.3909722222</v>
      </c>
      <c r="H190" s="1">
        <f>IFERROR(__xludf.DUMMYFUNCTION("""COMPUTED_VALUE"""),13.0)</f>
        <v>13</v>
      </c>
      <c r="I190" s="7">
        <f>IFERROR(__xludf.DUMMYFUNCTION("""COMPUTED_VALUE"""),0.4513888888888889)</f>
        <v>0.4513888889</v>
      </c>
      <c r="J190" s="1" t="str">
        <f>IFERROR(__xludf.DUMMYFUNCTION("""COMPUTED_VALUE"""),"D")</f>
        <v>D</v>
      </c>
      <c r="K190" s="1">
        <f>IFERROR(__xludf.DUMMYFUNCTION("""COMPUTED_VALUE"""),200.0)</f>
        <v>200</v>
      </c>
      <c r="L190" s="7">
        <f>IFERROR(__xludf.DUMMYFUNCTION("""COMPUTED_VALUE"""),0.060416666666666674)</f>
        <v>0.06041666667</v>
      </c>
      <c r="M190" s="7">
        <f>IFERROR(__xludf.DUMMYFUNCTION("""COMPUTED_VALUE"""),0.038680555555555565)</f>
        <v>0.03868055556</v>
      </c>
      <c r="O190" s="9">
        <f>IFERROR(__xludf.DUMMYFUNCTION("""COMPUTED_VALUE"""),770.5166666666669)</f>
        <v>770.5166667</v>
      </c>
      <c r="P190" s="1" t="str">
        <f>IFERROR(__xludf.DUMMYFUNCTION("""COMPUTED_VALUE"""),"VLG")</f>
        <v>VLG</v>
      </c>
      <c r="Q190" s="1" t="str">
        <f>IFERROR(__xludf.DUMMYFUNCTION("""COMPUTED_VALUE"""),"ECAC")</f>
        <v>ECAC</v>
      </c>
    </row>
    <row r="191">
      <c r="A191" s="1" t="str">
        <f>IFERROR(__xludf.DUMMYFUNCTION("""COMPUTED_VALUE"""),"IBE26MK")</f>
        <v>IBE26MK</v>
      </c>
      <c r="B191" s="1" t="str">
        <f>IFERROR(__xludf.DUMMYFUNCTION("""COMPUTED_VALUE"""),"A339")</f>
        <v>A339</v>
      </c>
      <c r="C191" s="1" t="str">
        <f>IFERROR(__xludf.DUMMYFUNCTION("""COMPUTED_VALUE"""),"KJFK")</f>
        <v>KJFK</v>
      </c>
      <c r="D191" s="1" t="str">
        <f>IFERROR(__xludf.DUMMYFUNCTION("""COMPUTED_VALUE"""),"LEBL")</f>
        <v>LEBL</v>
      </c>
      <c r="E191" s="1" t="str">
        <f>IFERROR(__xludf.DUMMYFUNCTION("""COMPUTED_VALUE"""),"CSTKH")</f>
        <v>CSTKH</v>
      </c>
      <c r="F191" s="1">
        <f>IFERROR(__xludf.DUMMYFUNCTION("""COMPUTED_VALUE"""),400.0)</f>
        <v>400</v>
      </c>
      <c r="G191" s="7">
        <f>IFERROR(__xludf.DUMMYFUNCTION("""COMPUTED_VALUE"""),0.1736111111111111)</f>
        <v>0.1736111111</v>
      </c>
      <c r="H191" s="1">
        <f>IFERROR(__xludf.DUMMYFUNCTION("""COMPUTED_VALUE"""),30.0)</f>
        <v>30</v>
      </c>
      <c r="I191" s="7">
        <f>IFERROR(__xludf.DUMMYFUNCTION("""COMPUTED_VALUE"""),0.4513888888888889)</f>
        <v>0.4513888889</v>
      </c>
      <c r="J191" s="1" t="str">
        <f>IFERROR(__xludf.DUMMYFUNCTION("""COMPUTED_VALUE"""),"B")</f>
        <v>B</v>
      </c>
      <c r="K191" s="1">
        <f>IFERROR(__xludf.DUMMYFUNCTION("""COMPUTED_VALUE"""),281.0)</f>
        <v>281</v>
      </c>
      <c r="L191" s="7">
        <f>IFERROR(__xludf.DUMMYFUNCTION("""COMPUTED_VALUE"""),0.2777777777777778)</f>
        <v>0.2777777778</v>
      </c>
      <c r="M191" s="7">
        <f>IFERROR(__xludf.DUMMYFUNCTION("""COMPUTED_VALUE"""),0.24423611111111113)</f>
        <v>0.2442361111</v>
      </c>
      <c r="O191" s="9">
        <f>IFERROR(__xludf.DUMMYFUNCTION("""COMPUTED_VALUE"""),5275.500000000001)</f>
        <v>5275.5</v>
      </c>
      <c r="P191" s="1" t="str">
        <f>IFERROR(__xludf.DUMMYFUNCTION("""COMPUTED_VALUE"""),"IBE")</f>
        <v>IBE</v>
      </c>
      <c r="Q191" s="1" t="str">
        <f>IFERROR(__xludf.DUMMYFUNCTION("""COMPUTED_VALUE"""),"NO ECAC")</f>
        <v>NO ECAC</v>
      </c>
    </row>
    <row r="192">
      <c r="A192" s="1" t="str">
        <f>IFERROR(__xludf.DUMMYFUNCTION("""COMPUTED_VALUE"""),"RYR29LL")</f>
        <v>RYR29LL</v>
      </c>
      <c r="B192" s="1" t="str">
        <f>IFERROR(__xludf.DUMMYFUNCTION("""COMPUTED_VALUE"""),"B738")</f>
        <v>B738</v>
      </c>
      <c r="C192" s="1" t="str">
        <f>IFERROR(__xludf.DUMMYFUNCTION("""COMPUTED_VALUE"""),"EPGD")</f>
        <v>EPGD</v>
      </c>
      <c r="D192" s="1" t="str">
        <f>IFERROR(__xludf.DUMMYFUNCTION("""COMPUTED_VALUE"""),"LEBL")</f>
        <v>LEBL</v>
      </c>
      <c r="E192" s="1" t="str">
        <f>IFERROR(__xludf.DUMMYFUNCTION("""COMPUTED_VALUE"""),"EIDPI")</f>
        <v>EIDPI</v>
      </c>
      <c r="F192" s="1">
        <f>IFERROR(__xludf.DUMMYFUNCTION("""COMPUTED_VALUE"""),380.0)</f>
        <v>380</v>
      </c>
      <c r="G192" s="7">
        <f>IFERROR(__xludf.DUMMYFUNCTION("""COMPUTED_VALUE"""),0.34930555555555554)</f>
        <v>0.3493055556</v>
      </c>
      <c r="H192" s="1">
        <f>IFERROR(__xludf.DUMMYFUNCTION("""COMPUTED_VALUE"""),14.0)</f>
        <v>14</v>
      </c>
      <c r="I192" s="7">
        <f>IFERROR(__xludf.DUMMYFUNCTION("""COMPUTED_VALUE"""),0.4548611111111111)</f>
        <v>0.4548611111</v>
      </c>
      <c r="J192" s="1" t="str">
        <f>IFERROR(__xludf.DUMMYFUNCTION("""COMPUTED_VALUE"""),"D")</f>
        <v>D</v>
      </c>
      <c r="K192" s="1">
        <f>IFERROR(__xludf.DUMMYFUNCTION("""COMPUTED_VALUE"""),184.0)</f>
        <v>184</v>
      </c>
      <c r="L192" s="7">
        <f>IFERROR(__xludf.DUMMYFUNCTION("""COMPUTED_VALUE"""),0.10555555555555557)</f>
        <v>0.1055555556</v>
      </c>
      <c r="M192" s="7">
        <f>IFERROR(__xludf.DUMMYFUNCTION("""COMPUTED_VALUE"""),0.083125)</f>
        <v>0.083125</v>
      </c>
      <c r="O192" s="9">
        <f>IFERROR(__xludf.DUMMYFUNCTION("""COMPUTED_VALUE"""),1655.8500000000001)</f>
        <v>1655.85</v>
      </c>
      <c r="P192" s="1" t="str">
        <f>IFERROR(__xludf.DUMMYFUNCTION("""COMPUTED_VALUE"""),"RYR")</f>
        <v>RYR</v>
      </c>
      <c r="Q192" s="1" t="str">
        <f>IFERROR(__xludf.DUMMYFUNCTION("""COMPUTED_VALUE"""),"ECAC")</f>
        <v>ECAC</v>
      </c>
    </row>
    <row r="193">
      <c r="A193" s="1" t="str">
        <f>IFERROR(__xludf.DUMMYFUNCTION("""COMPUTED_VALUE"""),"DLH76E")</f>
        <v>DLH76E</v>
      </c>
      <c r="B193" s="1" t="str">
        <f>IFERROR(__xludf.DUMMYFUNCTION("""COMPUTED_VALUE"""),"A20N")</f>
        <v>A20N</v>
      </c>
      <c r="C193" s="1" t="str">
        <f>IFERROR(__xludf.DUMMYFUNCTION("""COMPUTED_VALUE"""),"EDDF")</f>
        <v>EDDF</v>
      </c>
      <c r="D193" s="1" t="str">
        <f>IFERROR(__xludf.DUMMYFUNCTION("""COMPUTED_VALUE"""),"LEBL")</f>
        <v>LEBL</v>
      </c>
      <c r="E193" s="1" t="str">
        <f>IFERROR(__xludf.DUMMYFUNCTION("""COMPUTED_VALUE"""),"DAINJ")</f>
        <v>DAINJ</v>
      </c>
      <c r="F193" s="1">
        <f>IFERROR(__xludf.DUMMYFUNCTION("""COMPUTED_VALUE"""),390.0)</f>
        <v>390</v>
      </c>
      <c r="G193" s="7">
        <f>IFERROR(__xludf.DUMMYFUNCTION("""COMPUTED_VALUE"""),0.3861111111111111)</f>
        <v>0.3861111111</v>
      </c>
      <c r="H193" s="1">
        <f>IFERROR(__xludf.DUMMYFUNCTION("""COMPUTED_VALUE"""),16.0)</f>
        <v>16</v>
      </c>
      <c r="I193" s="7">
        <f>IFERROR(__xludf.DUMMYFUNCTION("""COMPUTED_VALUE"""),0.4548611111111111)</f>
        <v>0.4548611111</v>
      </c>
      <c r="J193" s="1" t="str">
        <f>IFERROR(__xludf.DUMMYFUNCTION("""COMPUTED_VALUE"""),"D")</f>
        <v>D</v>
      </c>
      <c r="K193" s="1">
        <f>IFERROR(__xludf.DUMMYFUNCTION("""COMPUTED_VALUE"""),180.0)</f>
        <v>180</v>
      </c>
      <c r="L193" s="7">
        <f>IFERROR(__xludf.DUMMYFUNCTION("""COMPUTED_VALUE"""),0.06874999999999998)</f>
        <v>0.06875</v>
      </c>
      <c r="M193" s="7">
        <f>IFERROR(__xludf.DUMMYFUNCTION("""COMPUTED_VALUE"""),0.04493055555555553)</f>
        <v>0.04493055556</v>
      </c>
      <c r="O193" s="9">
        <f>IFERROR(__xludf.DUMMYFUNCTION("""COMPUTED_VALUE"""),895.0166666666662)</f>
        <v>895.0166667</v>
      </c>
      <c r="P193" s="1" t="str">
        <f>IFERROR(__xludf.DUMMYFUNCTION("""COMPUTED_VALUE"""),"DLH")</f>
        <v>DLH</v>
      </c>
      <c r="Q193" s="1" t="str">
        <f>IFERROR(__xludf.DUMMYFUNCTION("""COMPUTED_VALUE"""),"ECAC")</f>
        <v>ECAC</v>
      </c>
    </row>
    <row r="194">
      <c r="A194" s="1" t="str">
        <f>IFERROR(__xludf.DUMMYFUNCTION("""COMPUTED_VALUE"""),"TSC260")</f>
        <v>TSC260</v>
      </c>
      <c r="B194" s="1" t="str">
        <f>IFERROR(__xludf.DUMMYFUNCTION("""COMPUTED_VALUE"""),"A21N")</f>
        <v>A21N</v>
      </c>
      <c r="C194" s="1" t="str">
        <f>IFERROR(__xludf.DUMMYFUNCTION("""COMPUTED_VALUE"""),"CYUL")</f>
        <v>CYUL</v>
      </c>
      <c r="D194" s="1" t="str">
        <f>IFERROR(__xludf.DUMMYFUNCTION("""COMPUTED_VALUE"""),"LEBL")</f>
        <v>LEBL</v>
      </c>
      <c r="E194" s="1" t="str">
        <f>IFERROR(__xludf.DUMMYFUNCTION("""COMPUTED_VALUE"""),"CGOKG")</f>
        <v>CGOKG</v>
      </c>
      <c r="F194" s="1">
        <f>IFERROR(__xludf.DUMMYFUNCTION("""COMPUTED_VALUE"""),360.0)</f>
        <v>360</v>
      </c>
      <c r="G194" s="7">
        <f>IFERROR(__xludf.DUMMYFUNCTION("""COMPUTED_VALUE"""),0.16319444444444445)</f>
        <v>0.1631944444</v>
      </c>
      <c r="H194" s="1">
        <f>IFERROR(__xludf.DUMMYFUNCTION("""COMPUTED_VALUE"""),10.0)</f>
        <v>10</v>
      </c>
      <c r="I194" s="7">
        <f>IFERROR(__xludf.DUMMYFUNCTION("""COMPUTED_VALUE"""),0.4583333333333333)</f>
        <v>0.4583333333</v>
      </c>
      <c r="J194" s="1" t="str">
        <f>IFERROR(__xludf.DUMMYFUNCTION("""COMPUTED_VALUE"""),"D")</f>
        <v>D</v>
      </c>
      <c r="K194" s="1">
        <f>IFERROR(__xludf.DUMMYFUNCTION("""COMPUTED_VALUE"""),200.0)</f>
        <v>200</v>
      </c>
      <c r="L194" s="7">
        <f>IFERROR(__xludf.DUMMYFUNCTION("""COMPUTED_VALUE"""),0.29513888888888884)</f>
        <v>0.2951388889</v>
      </c>
      <c r="M194" s="7">
        <f>IFERROR(__xludf.DUMMYFUNCTION("""COMPUTED_VALUE"""),0.2754861111111111)</f>
        <v>0.2754861111</v>
      </c>
      <c r="O194" s="9">
        <f>IFERROR(__xludf.DUMMYFUNCTION("""COMPUTED_VALUE"""),5487.683333333333)</f>
        <v>5487.683333</v>
      </c>
      <c r="P194" s="1" t="str">
        <f>IFERROR(__xludf.DUMMYFUNCTION("""COMPUTED_VALUE"""),"TSC")</f>
        <v>TSC</v>
      </c>
      <c r="Q194" s="1" t="str">
        <f>IFERROR(__xludf.DUMMYFUNCTION("""COMPUTED_VALUE"""),"NO ECAC")</f>
        <v>NO ECAC</v>
      </c>
    </row>
    <row r="195">
      <c r="A195" s="1" t="str">
        <f>IFERROR(__xludf.DUMMYFUNCTION("""COMPUTED_VALUE"""),"VLG2DY")</f>
        <v>VLG2DY</v>
      </c>
      <c r="B195" s="1" t="str">
        <f>IFERROR(__xludf.DUMMYFUNCTION("""COMPUTED_VALUE"""),"A320")</f>
        <v>A320</v>
      </c>
      <c r="C195" s="1" t="str">
        <f>IFERROR(__xludf.DUMMYFUNCTION("""COMPUTED_VALUE"""),"LPPT")</f>
        <v>LPPT</v>
      </c>
      <c r="D195" s="1" t="str">
        <f>IFERROR(__xludf.DUMMYFUNCTION("""COMPUTED_VALUE"""),"LEBL")</f>
        <v>LEBL</v>
      </c>
      <c r="E195" s="1" t="str">
        <f>IFERROR(__xludf.DUMMYFUNCTION("""COMPUTED_VALUE"""),"ECOJH")</f>
        <v>ECOJH</v>
      </c>
      <c r="F195" s="1">
        <f>IFERROR(__xludf.DUMMYFUNCTION("""COMPUTED_VALUE"""),380.0)</f>
        <v>380</v>
      </c>
      <c r="G195" s="7">
        <f>IFERROR(__xludf.DUMMYFUNCTION("""COMPUTED_VALUE"""),0.37569444444444444)</f>
        <v>0.3756944444</v>
      </c>
      <c r="H195" s="1">
        <f>IFERROR(__xludf.DUMMYFUNCTION("""COMPUTED_VALUE"""),15.0)</f>
        <v>15</v>
      </c>
      <c r="I195" s="7">
        <f>IFERROR(__xludf.DUMMYFUNCTION("""COMPUTED_VALUE"""),0.4583333333333333)</f>
        <v>0.4583333333</v>
      </c>
      <c r="J195" s="1" t="str">
        <f>IFERROR(__xludf.DUMMYFUNCTION("""COMPUTED_VALUE"""),"D")</f>
        <v>D</v>
      </c>
      <c r="K195" s="1">
        <f>IFERROR(__xludf.DUMMYFUNCTION("""COMPUTED_VALUE"""),173.0)</f>
        <v>173</v>
      </c>
      <c r="L195" s="7">
        <f>IFERROR(__xludf.DUMMYFUNCTION("""COMPUTED_VALUE"""),0.08263888888888887)</f>
        <v>0.08263888889</v>
      </c>
      <c r="M195" s="7">
        <f>IFERROR(__xludf.DUMMYFUNCTION("""COMPUTED_VALUE"""),0.05951388888888887)</f>
        <v>0.05951388889</v>
      </c>
      <c r="O195" s="9">
        <f>IFERROR(__xludf.DUMMYFUNCTION("""COMPUTED_VALUE"""),1185.5166666666664)</f>
        <v>1185.516667</v>
      </c>
      <c r="P195" s="1" t="str">
        <f>IFERROR(__xludf.DUMMYFUNCTION("""COMPUTED_VALUE"""),"VLG")</f>
        <v>VLG</v>
      </c>
      <c r="Q195" s="1" t="str">
        <f>IFERROR(__xludf.DUMMYFUNCTION("""COMPUTED_VALUE"""),"ECAC")</f>
        <v>ECAC</v>
      </c>
    </row>
    <row r="196">
      <c r="A196" s="1" t="str">
        <f>IFERROR(__xludf.DUMMYFUNCTION("""COMPUTED_VALUE"""),"VLG7BQ")</f>
        <v>VLG7BQ</v>
      </c>
      <c r="B196" s="1" t="str">
        <f>IFERROR(__xludf.DUMMYFUNCTION("""COMPUTED_VALUE"""),"A321")</f>
        <v>A321</v>
      </c>
      <c r="C196" s="1" t="str">
        <f>IFERROR(__xludf.DUMMYFUNCTION("""COMPUTED_VALUE"""),"LGAV")</f>
        <v>LGAV</v>
      </c>
      <c r="D196" s="1" t="str">
        <f>IFERROR(__xludf.DUMMYFUNCTION("""COMPUTED_VALUE"""),"LEBL")</f>
        <v>LEBL</v>
      </c>
      <c r="E196" s="1" t="str">
        <f>IFERROR(__xludf.DUMMYFUNCTION("""COMPUTED_VALUE"""),"ECNLV")</f>
        <v>ECNLV</v>
      </c>
      <c r="F196" s="1">
        <f>IFERROR(__xludf.DUMMYFUNCTION("""COMPUTED_VALUE"""),340.0)</f>
        <v>340</v>
      </c>
      <c r="G196" s="7">
        <f>IFERROR(__xludf.DUMMYFUNCTION("""COMPUTED_VALUE"""),0.34444444444444444)</f>
        <v>0.3444444444</v>
      </c>
      <c r="H196" s="1">
        <f>IFERROR(__xludf.DUMMYFUNCTION("""COMPUTED_VALUE"""),11.0)</f>
        <v>11</v>
      </c>
      <c r="I196" s="7">
        <f>IFERROR(__xludf.DUMMYFUNCTION("""COMPUTED_VALUE"""),0.4583333333333333)</f>
        <v>0.4583333333</v>
      </c>
      <c r="J196" s="1" t="str">
        <f>IFERROR(__xludf.DUMMYFUNCTION("""COMPUTED_VALUE"""),"D")</f>
        <v>D</v>
      </c>
      <c r="K196" s="1">
        <f>IFERROR(__xludf.DUMMYFUNCTION("""COMPUTED_VALUE"""),207.0)</f>
        <v>207</v>
      </c>
      <c r="L196" s="7">
        <f>IFERROR(__xludf.DUMMYFUNCTION("""COMPUTED_VALUE"""),0.11388888888888887)</f>
        <v>0.1138888889</v>
      </c>
      <c r="M196" s="7">
        <f>IFERROR(__xludf.DUMMYFUNCTION("""COMPUTED_VALUE"""),0.09354166666666665)</f>
        <v>0.09354166667</v>
      </c>
      <c r="O196" s="9">
        <f>IFERROR(__xludf.DUMMYFUNCTION("""COMPUTED_VALUE"""),1863.3499999999997)</f>
        <v>1863.35</v>
      </c>
      <c r="P196" s="1" t="str">
        <f>IFERROR(__xludf.DUMMYFUNCTION("""COMPUTED_VALUE"""),"VLG")</f>
        <v>VLG</v>
      </c>
      <c r="Q196" s="1" t="str">
        <f>IFERROR(__xludf.DUMMYFUNCTION("""COMPUTED_VALUE"""),"ECAC")</f>
        <v>ECAC</v>
      </c>
    </row>
    <row r="197">
      <c r="A197" s="1" t="str">
        <f>IFERROR(__xludf.DUMMYFUNCTION("""COMPUTED_VALUE"""),"KAC135")</f>
        <v>KAC135</v>
      </c>
      <c r="B197" s="1" t="str">
        <f>IFERROR(__xludf.DUMMYFUNCTION("""COMPUTED_VALUE"""),"A338")</f>
        <v>A338</v>
      </c>
      <c r="C197" s="1" t="str">
        <f>IFERROR(__xludf.DUMMYFUNCTION("""COMPUTED_VALUE"""),"OKKK")</f>
        <v>OKKK</v>
      </c>
      <c r="D197" s="1" t="str">
        <f>IFERROR(__xludf.DUMMYFUNCTION("""COMPUTED_VALUE"""),"LEBL")</f>
        <v>LEBL</v>
      </c>
      <c r="E197" s="1" t="str">
        <f>IFERROR(__xludf.DUMMYFUNCTION("""COMPUTED_VALUE"""),"9KAPF")</f>
        <v>9KAPF</v>
      </c>
      <c r="F197" s="1">
        <f>IFERROR(__xludf.DUMMYFUNCTION("""COMPUTED_VALUE"""),400.0)</f>
        <v>400</v>
      </c>
      <c r="G197" s="7">
        <f>IFERROR(__xludf.DUMMYFUNCTION("""COMPUTED_VALUE"""),0.21180555555555555)</f>
        <v>0.2118055556</v>
      </c>
      <c r="H197" s="1">
        <f>IFERROR(__xludf.DUMMYFUNCTION("""COMPUTED_VALUE"""),10.0)</f>
        <v>10</v>
      </c>
      <c r="I197" s="7">
        <f>IFERROR(__xludf.DUMMYFUNCTION("""COMPUTED_VALUE"""),0.4583333333333333)</f>
        <v>0.4583333333</v>
      </c>
      <c r="J197" s="1" t="str">
        <f>IFERROR(__xludf.DUMMYFUNCTION("""COMPUTED_VALUE"""),"B")</f>
        <v>B</v>
      </c>
      <c r="K197" s="1">
        <f>IFERROR(__xludf.DUMMYFUNCTION("""COMPUTED_VALUE"""),257.0)</f>
        <v>257</v>
      </c>
      <c r="L197" s="7">
        <f>IFERROR(__xludf.DUMMYFUNCTION("""COMPUTED_VALUE"""),0.24652777777777776)</f>
        <v>0.2465277778</v>
      </c>
      <c r="M197" s="7">
        <f>IFERROR(__xludf.DUMMYFUNCTION("""COMPUTED_VALUE"""),0.226875)</f>
        <v>0.226875</v>
      </c>
      <c r="O197" s="9">
        <f>IFERROR(__xludf.DUMMYFUNCTION("""COMPUTED_VALUE"""),4900.5)</f>
        <v>4900.5</v>
      </c>
      <c r="P197" s="1" t="str">
        <f>IFERROR(__xludf.DUMMYFUNCTION("""COMPUTED_VALUE"""),"KAC")</f>
        <v>KAC</v>
      </c>
      <c r="Q197" s="1" t="str">
        <f>IFERROR(__xludf.DUMMYFUNCTION("""COMPUTED_VALUE"""),"NO ECAC")</f>
        <v>NO ECAC</v>
      </c>
    </row>
    <row r="198">
      <c r="A198" s="1" t="str">
        <f>IFERROR(__xludf.DUMMYFUNCTION("""COMPUTED_VALUE"""),"VLG87JF")</f>
        <v>VLG87JF</v>
      </c>
      <c r="B198" s="1" t="str">
        <f>IFERROR(__xludf.DUMMYFUNCTION("""COMPUTED_VALUE"""),"A321")</f>
        <v>A321</v>
      </c>
      <c r="C198" s="1" t="str">
        <f>IFERROR(__xludf.DUMMYFUNCTION("""COMPUTED_VALUE"""),"EIDW")</f>
        <v>EIDW</v>
      </c>
      <c r="D198" s="1" t="str">
        <f>IFERROR(__xludf.DUMMYFUNCTION("""COMPUTED_VALUE"""),"LEBL")</f>
        <v>LEBL</v>
      </c>
      <c r="E198" s="1" t="str">
        <f>IFERROR(__xludf.DUMMYFUNCTION("""COMPUTED_VALUE"""),"ECMGY")</f>
        <v>ECMGY</v>
      </c>
      <c r="F198" s="1">
        <f>IFERROR(__xludf.DUMMYFUNCTION("""COMPUTED_VALUE"""),350.0)</f>
        <v>350</v>
      </c>
      <c r="G198" s="7">
        <f>IFERROR(__xludf.DUMMYFUNCTION("""COMPUTED_VALUE"""),0.3715277777777778)</f>
        <v>0.3715277778</v>
      </c>
      <c r="H198" s="1">
        <f>IFERROR(__xludf.DUMMYFUNCTION("""COMPUTED_VALUE"""),2.0)</f>
        <v>2</v>
      </c>
      <c r="I198" s="7">
        <f>IFERROR(__xludf.DUMMYFUNCTION("""COMPUTED_VALUE"""),0.4618055555555556)</f>
        <v>0.4618055556</v>
      </c>
      <c r="J198" s="1" t="str">
        <f>IFERROR(__xludf.DUMMYFUNCTION("""COMPUTED_VALUE"""),"D")</f>
        <v>D</v>
      </c>
      <c r="K198" s="1">
        <f>IFERROR(__xludf.DUMMYFUNCTION("""COMPUTED_VALUE"""),207.0)</f>
        <v>207</v>
      </c>
      <c r="L198" s="7">
        <f>IFERROR(__xludf.DUMMYFUNCTION("""COMPUTED_VALUE"""),0.09027777777777779)</f>
        <v>0.09027777778</v>
      </c>
      <c r="M198" s="7">
        <f>IFERROR(__xludf.DUMMYFUNCTION("""COMPUTED_VALUE"""),0.07618055555555557)</f>
        <v>0.07618055556</v>
      </c>
      <c r="O198" s="9">
        <f>IFERROR(__xludf.DUMMYFUNCTION("""COMPUTED_VALUE"""),1517.5166666666669)</f>
        <v>1517.516667</v>
      </c>
      <c r="P198" s="1" t="str">
        <f>IFERROR(__xludf.DUMMYFUNCTION("""COMPUTED_VALUE"""),"VLG")</f>
        <v>VLG</v>
      </c>
      <c r="Q198" s="1" t="str">
        <f>IFERROR(__xludf.DUMMYFUNCTION("""COMPUTED_VALUE"""),"ECAC")</f>
        <v>ECAC</v>
      </c>
    </row>
    <row r="199">
      <c r="A199" s="1" t="str">
        <f>IFERROR(__xludf.DUMMYFUNCTION("""COMPUTED_VALUE"""),"RYR7MW")</f>
        <v>RYR7MW</v>
      </c>
      <c r="B199" s="1" t="str">
        <f>IFERROR(__xludf.DUMMYFUNCTION("""COMPUTED_VALUE"""),"B738")</f>
        <v>B738</v>
      </c>
      <c r="C199" s="1" t="str">
        <f>IFERROR(__xludf.DUMMYFUNCTION("""COMPUTED_VALUE"""),"GMTT")</f>
        <v>GMTT</v>
      </c>
      <c r="D199" s="1" t="str">
        <f>IFERROR(__xludf.DUMMYFUNCTION("""COMPUTED_VALUE"""),"LEBL")</f>
        <v>LEBL</v>
      </c>
      <c r="E199" s="1" t="str">
        <f>IFERROR(__xludf.DUMMYFUNCTION("""COMPUTED_VALUE"""),"EIENG")</f>
        <v>EIENG</v>
      </c>
      <c r="F199" s="1">
        <f>IFERROR(__xludf.DUMMYFUNCTION("""COMPUTED_VALUE"""),380.0)</f>
        <v>380</v>
      </c>
      <c r="G199" s="7">
        <f>IFERROR(__xludf.DUMMYFUNCTION("""COMPUTED_VALUE"""),0.4097222222222222)</f>
        <v>0.4097222222</v>
      </c>
      <c r="H199" s="1">
        <f>IFERROR(__xludf.DUMMYFUNCTION("""COMPUTED_VALUE"""),15.0)</f>
        <v>15</v>
      </c>
      <c r="I199" s="7">
        <f>IFERROR(__xludf.DUMMYFUNCTION("""COMPUTED_VALUE"""),0.4618055555555556)</f>
        <v>0.4618055556</v>
      </c>
      <c r="J199" s="1" t="str">
        <f>IFERROR(__xludf.DUMMYFUNCTION("""COMPUTED_VALUE"""),"D")</f>
        <v>D</v>
      </c>
      <c r="K199" s="1">
        <f>IFERROR(__xludf.DUMMYFUNCTION("""COMPUTED_VALUE"""),184.0)</f>
        <v>184</v>
      </c>
      <c r="L199" s="7">
        <f>IFERROR(__xludf.DUMMYFUNCTION("""COMPUTED_VALUE"""),0.05208333333333337)</f>
        <v>0.05208333333</v>
      </c>
      <c r="M199" s="7">
        <f>IFERROR(__xludf.DUMMYFUNCTION("""COMPUTED_VALUE"""),0.02895833333333337)</f>
        <v>0.02895833333</v>
      </c>
      <c r="O199" s="9">
        <f>IFERROR(__xludf.DUMMYFUNCTION("""COMPUTED_VALUE"""),576.8500000000008)</f>
        <v>576.85</v>
      </c>
      <c r="P199" s="1" t="str">
        <f>IFERROR(__xludf.DUMMYFUNCTION("""COMPUTED_VALUE"""),"RYR")</f>
        <v>RYR</v>
      </c>
      <c r="Q199" s="1" t="str">
        <f>IFERROR(__xludf.DUMMYFUNCTION("""COMPUTED_VALUE"""),"NO ECAC")</f>
        <v>NO ECAC</v>
      </c>
    </row>
    <row r="200">
      <c r="A200" s="1" t="str">
        <f>IFERROR(__xludf.DUMMYFUNCTION("""COMPUTED_VALUE"""),"VLG93NJ")</f>
        <v>VLG93NJ</v>
      </c>
      <c r="B200" s="1" t="str">
        <f>IFERROR(__xludf.DUMMYFUNCTION("""COMPUTED_VALUE"""),"A320")</f>
        <v>A320</v>
      </c>
      <c r="C200" s="1" t="str">
        <f>IFERROR(__xludf.DUMMYFUNCTION("""COMPUTED_VALUE"""),"LKPR")</f>
        <v>LKPR</v>
      </c>
      <c r="D200" s="1" t="str">
        <f>IFERROR(__xludf.DUMMYFUNCTION("""COMPUTED_VALUE"""),"LEBL")</f>
        <v>LEBL</v>
      </c>
      <c r="E200" s="1" t="str">
        <f>IFERROR(__xludf.DUMMYFUNCTION("""COMPUTED_VALUE"""),"ECLVO")</f>
        <v>ECLVO</v>
      </c>
      <c r="F200" s="1">
        <f>IFERROR(__xludf.DUMMYFUNCTION("""COMPUTED_VALUE"""),370.0)</f>
        <v>370</v>
      </c>
      <c r="G200" s="7">
        <f>IFERROR(__xludf.DUMMYFUNCTION("""COMPUTED_VALUE"""),0.3861111111111111)</f>
        <v>0.3861111111</v>
      </c>
      <c r="H200" s="1">
        <f>IFERROR(__xludf.DUMMYFUNCTION("""COMPUTED_VALUE"""),17.0)</f>
        <v>17</v>
      </c>
      <c r="I200" s="7">
        <f>IFERROR(__xludf.DUMMYFUNCTION("""COMPUTED_VALUE"""),0.4652777777777778)</f>
        <v>0.4652777778</v>
      </c>
      <c r="J200" s="1" t="str">
        <f>IFERROR(__xludf.DUMMYFUNCTION("""COMPUTED_VALUE"""),"D")</f>
        <v>D</v>
      </c>
      <c r="K200" s="1">
        <f>IFERROR(__xludf.DUMMYFUNCTION("""COMPUTED_VALUE"""),173.0)</f>
        <v>173</v>
      </c>
      <c r="L200" s="7">
        <f>IFERROR(__xludf.DUMMYFUNCTION("""COMPUTED_VALUE"""),0.07916666666666666)</f>
        <v>0.07916666667</v>
      </c>
      <c r="M200" s="7">
        <f>IFERROR(__xludf.DUMMYFUNCTION("""COMPUTED_VALUE"""),0.05465277777777777)</f>
        <v>0.05465277778</v>
      </c>
      <c r="O200" s="9">
        <f>IFERROR(__xludf.DUMMYFUNCTION("""COMPUTED_VALUE"""),1088.6833333333332)</f>
        <v>1088.683333</v>
      </c>
      <c r="P200" s="1" t="str">
        <f>IFERROR(__xludf.DUMMYFUNCTION("""COMPUTED_VALUE"""),"VLG")</f>
        <v>VLG</v>
      </c>
      <c r="Q200" s="1" t="str">
        <f>IFERROR(__xludf.DUMMYFUNCTION("""COMPUTED_VALUE"""),"ECAC")</f>
        <v>ECAC</v>
      </c>
    </row>
    <row r="201">
      <c r="A201" s="1" t="str">
        <f>IFERROR(__xludf.DUMMYFUNCTION("""COMPUTED_VALUE"""),"VLG6109")</f>
        <v>VLG6109</v>
      </c>
      <c r="B201" s="1" t="str">
        <f>IFERROR(__xludf.DUMMYFUNCTION("""COMPUTED_VALUE"""),"A320")</f>
        <v>A320</v>
      </c>
      <c r="C201" s="1" t="str">
        <f>IFERROR(__xludf.DUMMYFUNCTION("""COMPUTED_VALUE"""),"LIRF")</f>
        <v>LIRF</v>
      </c>
      <c r="D201" s="1" t="str">
        <f>IFERROR(__xludf.DUMMYFUNCTION("""COMPUTED_VALUE"""),"LEBL")</f>
        <v>LEBL</v>
      </c>
      <c r="E201" s="1" t="str">
        <f>IFERROR(__xludf.DUMMYFUNCTION("""COMPUTED_VALUE"""),"ECMFN")</f>
        <v>ECMFN</v>
      </c>
      <c r="F201" s="1">
        <f>IFERROR(__xludf.DUMMYFUNCTION("""COMPUTED_VALUE"""),340.0)</f>
        <v>340</v>
      </c>
      <c r="G201" s="7">
        <f>IFERROR(__xludf.DUMMYFUNCTION("""COMPUTED_VALUE"""),0.4173611111111111)</f>
        <v>0.4173611111</v>
      </c>
      <c r="H201" s="1">
        <f>IFERROR(__xludf.DUMMYFUNCTION("""COMPUTED_VALUE"""),16.0)</f>
        <v>16</v>
      </c>
      <c r="I201" s="7">
        <f>IFERROR(__xludf.DUMMYFUNCTION("""COMPUTED_VALUE"""),0.4652777777777778)</f>
        <v>0.4652777778</v>
      </c>
      <c r="J201" s="1" t="str">
        <f>IFERROR(__xludf.DUMMYFUNCTION("""COMPUTED_VALUE"""),"D")</f>
        <v>D</v>
      </c>
      <c r="K201" s="1">
        <f>IFERROR(__xludf.DUMMYFUNCTION("""COMPUTED_VALUE"""),173.0)</f>
        <v>173</v>
      </c>
      <c r="L201" s="7">
        <f>IFERROR(__xludf.DUMMYFUNCTION("""COMPUTED_VALUE"""),0.04791666666666666)</f>
        <v>0.04791666667</v>
      </c>
      <c r="M201" s="7">
        <f>IFERROR(__xludf.DUMMYFUNCTION("""COMPUTED_VALUE"""),0.024097222222222214)</f>
        <v>0.02409722222</v>
      </c>
      <c r="O201" s="9">
        <f>IFERROR(__xludf.DUMMYFUNCTION("""COMPUTED_VALUE"""),480.01666666666654)</f>
        <v>480.0166667</v>
      </c>
      <c r="P201" s="1" t="str">
        <f>IFERROR(__xludf.DUMMYFUNCTION("""COMPUTED_VALUE"""),"VLG")</f>
        <v>VLG</v>
      </c>
      <c r="Q201" s="1" t="str">
        <f>IFERROR(__xludf.DUMMYFUNCTION("""COMPUTED_VALUE"""),"ECAC")</f>
        <v>ECAC</v>
      </c>
    </row>
    <row r="202">
      <c r="A202" s="1" t="str">
        <f>IFERROR(__xludf.DUMMYFUNCTION("""COMPUTED_VALUE"""),"RZO506")</f>
        <v>RZO506</v>
      </c>
      <c r="B202" s="1" t="str">
        <f>IFERROR(__xludf.DUMMYFUNCTION("""COMPUTED_VALUE"""),"A20N")</f>
        <v>A20N</v>
      </c>
      <c r="C202" s="1" t="str">
        <f>IFERROR(__xludf.DUMMYFUNCTION("""COMPUTED_VALUE"""),"LPPD")</f>
        <v>LPPD</v>
      </c>
      <c r="D202" s="1" t="str">
        <f>IFERROR(__xludf.DUMMYFUNCTION("""COMPUTED_VALUE"""),"LEBL")</f>
        <v>LEBL</v>
      </c>
      <c r="E202" s="1" t="str">
        <f>IFERROR(__xludf.DUMMYFUNCTION("""COMPUTED_VALUE"""),"CSTSK")</f>
        <v>CSTSK</v>
      </c>
      <c r="F202" s="1">
        <f>IFERROR(__xludf.DUMMYFUNCTION("""COMPUTED_VALUE"""),390.0)</f>
        <v>390</v>
      </c>
      <c r="G202" s="7">
        <f>IFERROR(__xludf.DUMMYFUNCTION("""COMPUTED_VALUE"""),0.3326388888888889)</f>
        <v>0.3326388889</v>
      </c>
      <c r="H202" s="1">
        <f>IFERROR(__xludf.DUMMYFUNCTION("""COMPUTED_VALUE"""),9.0)</f>
        <v>9</v>
      </c>
      <c r="I202" s="7">
        <f>IFERROR(__xludf.DUMMYFUNCTION("""COMPUTED_VALUE"""),0.4652777777777778)</f>
        <v>0.4652777778</v>
      </c>
      <c r="J202" s="1" t="str">
        <f>IFERROR(__xludf.DUMMYFUNCTION("""COMPUTED_VALUE"""),"D")</f>
        <v>D</v>
      </c>
      <c r="K202" s="1">
        <f>IFERROR(__xludf.DUMMYFUNCTION("""COMPUTED_VALUE"""),180.0)</f>
        <v>180</v>
      </c>
      <c r="L202" s="7">
        <f>IFERROR(__xludf.DUMMYFUNCTION("""COMPUTED_VALUE"""),0.13263888888888892)</f>
        <v>0.1326388889</v>
      </c>
      <c r="M202" s="7">
        <f>IFERROR(__xludf.DUMMYFUNCTION("""COMPUTED_VALUE"""),0.11368055555555558)</f>
        <v>0.1136805556</v>
      </c>
      <c r="O202" s="9">
        <f>IFERROR(__xludf.DUMMYFUNCTION("""COMPUTED_VALUE"""),2264.5166666666673)</f>
        <v>2264.516667</v>
      </c>
      <c r="P202" s="1" t="str">
        <f>IFERROR(__xludf.DUMMYFUNCTION("""COMPUTED_VALUE"""),"RZO")</f>
        <v>RZO</v>
      </c>
      <c r="Q202" s="1" t="str">
        <f>IFERROR(__xludf.DUMMYFUNCTION("""COMPUTED_VALUE"""),"ECAC")</f>
        <v>ECAC</v>
      </c>
    </row>
    <row r="203">
      <c r="A203" s="1" t="str">
        <f>IFERROR(__xludf.DUMMYFUNCTION("""COMPUTED_VALUE"""),"VLG996B")</f>
        <v>VLG996B</v>
      </c>
      <c r="B203" s="1" t="str">
        <f>IFERROR(__xludf.DUMMYFUNCTION("""COMPUTED_VALUE"""),"A320")</f>
        <v>A320</v>
      </c>
      <c r="C203" s="1" t="str">
        <f>IFERROR(__xludf.DUMMYFUNCTION("""COMPUTED_VALUE"""),"GCLP")</f>
        <v>GCLP</v>
      </c>
      <c r="D203" s="1" t="str">
        <f>IFERROR(__xludf.DUMMYFUNCTION("""COMPUTED_VALUE"""),"LEBL")</f>
        <v>LEBL</v>
      </c>
      <c r="E203" s="1" t="str">
        <f>IFERROR(__xludf.DUMMYFUNCTION("""COMPUTED_VALUE"""),"ECLAB")</f>
        <v>ECLAB</v>
      </c>
      <c r="F203" s="1">
        <f>IFERROR(__xludf.DUMMYFUNCTION("""COMPUTED_VALUE"""),380.0)</f>
        <v>380</v>
      </c>
      <c r="G203" s="7">
        <f>IFERROR(__xludf.DUMMYFUNCTION("""COMPUTED_VALUE"""),0.3486111111111111)</f>
        <v>0.3486111111</v>
      </c>
      <c r="H203" s="1">
        <f>IFERROR(__xludf.DUMMYFUNCTION("""COMPUTED_VALUE"""),14.0)</f>
        <v>14</v>
      </c>
      <c r="I203" s="7">
        <f>IFERROR(__xludf.DUMMYFUNCTION("""COMPUTED_VALUE"""),0.46875)</f>
        <v>0.46875</v>
      </c>
      <c r="J203" s="1" t="str">
        <f>IFERROR(__xludf.DUMMYFUNCTION("""COMPUTED_VALUE"""),"D")</f>
        <v>D</v>
      </c>
      <c r="K203" s="1">
        <f>IFERROR(__xludf.DUMMYFUNCTION("""COMPUTED_VALUE"""),173.0)</f>
        <v>173</v>
      </c>
      <c r="L203" s="7">
        <f>IFERROR(__xludf.DUMMYFUNCTION("""COMPUTED_VALUE"""),0.1201388888888889)</f>
        <v>0.1201388889</v>
      </c>
      <c r="M203" s="7">
        <f>IFERROR(__xludf.DUMMYFUNCTION("""COMPUTED_VALUE"""),0.09770833333333334)</f>
        <v>0.09770833333</v>
      </c>
      <c r="O203" s="9">
        <f>IFERROR(__xludf.DUMMYFUNCTION("""COMPUTED_VALUE"""),1946.3500000000001)</f>
        <v>1946.35</v>
      </c>
      <c r="P203" s="1" t="str">
        <f>IFERROR(__xludf.DUMMYFUNCTION("""COMPUTED_VALUE"""),"VLG")</f>
        <v>VLG</v>
      </c>
      <c r="Q203" s="1" t="str">
        <f>IFERROR(__xludf.DUMMYFUNCTION("""COMPUTED_VALUE"""),"ECAC")</f>
        <v>ECAC</v>
      </c>
    </row>
    <row r="204">
      <c r="A204" s="1" t="str">
        <f>IFERROR(__xludf.DUMMYFUNCTION("""COMPUTED_VALUE"""),"BAW474K")</f>
        <v>BAW474K</v>
      </c>
      <c r="B204" s="1" t="str">
        <f>IFERROR(__xludf.DUMMYFUNCTION("""COMPUTED_VALUE"""),"A20N")</f>
        <v>A20N</v>
      </c>
      <c r="C204" s="1" t="str">
        <f>IFERROR(__xludf.DUMMYFUNCTION("""COMPUTED_VALUE"""),"EGLL")</f>
        <v>EGLL</v>
      </c>
      <c r="D204" s="1" t="str">
        <f>IFERROR(__xludf.DUMMYFUNCTION("""COMPUTED_VALUE"""),"LEBL")</f>
        <v>LEBL</v>
      </c>
      <c r="E204" s="1" t="str">
        <f>IFERROR(__xludf.DUMMYFUNCTION("""COMPUTED_VALUE"""),"GTTNT")</f>
        <v>GTTNT</v>
      </c>
      <c r="F204" s="1">
        <f>IFERROR(__xludf.DUMMYFUNCTION("""COMPUTED_VALUE"""),350.0)</f>
        <v>350</v>
      </c>
      <c r="G204" s="7">
        <f>IFERROR(__xludf.DUMMYFUNCTION("""COMPUTED_VALUE"""),0.40902777777777777)</f>
        <v>0.4090277778</v>
      </c>
      <c r="H204" s="1">
        <f>IFERROR(__xludf.DUMMYFUNCTION("""COMPUTED_VALUE"""),23.0)</f>
        <v>23</v>
      </c>
      <c r="I204" s="7">
        <f>IFERROR(__xludf.DUMMYFUNCTION("""COMPUTED_VALUE"""),0.46875)</f>
        <v>0.46875</v>
      </c>
      <c r="J204" s="1" t="str">
        <f>IFERROR(__xludf.DUMMYFUNCTION("""COMPUTED_VALUE"""),"D")</f>
        <v>D</v>
      </c>
      <c r="K204" s="1">
        <f>IFERROR(__xludf.DUMMYFUNCTION("""COMPUTED_VALUE"""),180.0)</f>
        <v>180</v>
      </c>
      <c r="L204" s="7">
        <f>IFERROR(__xludf.DUMMYFUNCTION("""COMPUTED_VALUE"""),0.05972222222222223)</f>
        <v>0.05972222222</v>
      </c>
      <c r="M204" s="7">
        <f>IFERROR(__xludf.DUMMYFUNCTION("""COMPUTED_VALUE"""),0.031041666666666676)</f>
        <v>0.03104166667</v>
      </c>
      <c r="O204" s="9">
        <f>IFERROR(__xludf.DUMMYFUNCTION("""COMPUTED_VALUE"""),618.3500000000001)</f>
        <v>618.35</v>
      </c>
      <c r="P204" s="1" t="str">
        <f>IFERROR(__xludf.DUMMYFUNCTION("""COMPUTED_VALUE"""),"BAW")</f>
        <v>BAW</v>
      </c>
      <c r="Q204" s="1" t="str">
        <f>IFERROR(__xludf.DUMMYFUNCTION("""COMPUTED_VALUE"""),"ECAC")</f>
        <v>ECAC</v>
      </c>
    </row>
    <row r="205">
      <c r="A205" s="1" t="str">
        <f>IFERROR(__xludf.DUMMYFUNCTION("""COMPUTED_VALUE"""),"THY8XM")</f>
        <v>THY8XM</v>
      </c>
      <c r="B205" s="1" t="str">
        <f>IFERROR(__xludf.DUMMYFUNCTION("""COMPUTED_VALUE"""),"A321")</f>
        <v>A321</v>
      </c>
      <c r="C205" s="1" t="str">
        <f>IFERROR(__xludf.DUMMYFUNCTION("""COMPUTED_VALUE"""),"LTFM")</f>
        <v>LTFM</v>
      </c>
      <c r="D205" s="1" t="str">
        <f>IFERROR(__xludf.DUMMYFUNCTION("""COMPUTED_VALUE"""),"LEBL")</f>
        <v>LEBL</v>
      </c>
      <c r="E205" s="1" t="str">
        <f>IFERROR(__xludf.DUMMYFUNCTION("""COMPUTED_VALUE"""),"TCJSC")</f>
        <v>TCJSC</v>
      </c>
      <c r="F205" s="1">
        <f>IFERROR(__xludf.DUMMYFUNCTION("""COMPUTED_VALUE"""),360.0)</f>
        <v>360</v>
      </c>
      <c r="G205" s="7">
        <f>IFERROR(__xludf.DUMMYFUNCTION("""COMPUTED_VALUE"""),0.35138888888888886)</f>
        <v>0.3513888889</v>
      </c>
      <c r="H205" s="1">
        <f>IFERROR(__xludf.DUMMYFUNCTION("""COMPUTED_VALUE"""),20.0)</f>
        <v>20</v>
      </c>
      <c r="I205" s="7">
        <f>IFERROR(__xludf.DUMMYFUNCTION("""COMPUTED_VALUE"""),0.4722222222222222)</f>
        <v>0.4722222222</v>
      </c>
      <c r="J205" s="1" t="str">
        <f>IFERROR(__xludf.DUMMYFUNCTION("""COMPUTED_VALUE"""),"D")</f>
        <v>D</v>
      </c>
      <c r="K205" s="1">
        <f>IFERROR(__xludf.DUMMYFUNCTION("""COMPUTED_VALUE"""),207.0)</f>
        <v>207</v>
      </c>
      <c r="L205" s="7">
        <f>IFERROR(__xludf.DUMMYFUNCTION("""COMPUTED_VALUE"""),0.12083333333333335)</f>
        <v>0.1208333333</v>
      </c>
      <c r="M205" s="7">
        <f>IFERROR(__xludf.DUMMYFUNCTION("""COMPUTED_VALUE"""),0.09423611111111113)</f>
        <v>0.09423611111</v>
      </c>
      <c r="O205" s="9">
        <f>IFERROR(__xludf.DUMMYFUNCTION("""COMPUTED_VALUE"""),1877.1833333333338)</f>
        <v>1877.183333</v>
      </c>
      <c r="P205" s="1" t="str">
        <f>IFERROR(__xludf.DUMMYFUNCTION("""COMPUTED_VALUE"""),"THY")</f>
        <v>THY</v>
      </c>
      <c r="Q205" s="1" t="str">
        <f>IFERROR(__xludf.DUMMYFUNCTION("""COMPUTED_VALUE"""),"ECAC")</f>
        <v>ECAC</v>
      </c>
    </row>
    <row r="206">
      <c r="A206" s="1" t="str">
        <f>IFERROR(__xludf.DUMMYFUNCTION("""COMPUTED_VALUE"""),"VLG7UA")</f>
        <v>VLG7UA</v>
      </c>
      <c r="B206" s="1" t="str">
        <f>IFERROR(__xludf.DUMMYFUNCTION("""COMPUTED_VALUE"""),"A320")</f>
        <v>A320</v>
      </c>
      <c r="C206" s="1" t="str">
        <f>IFERROR(__xludf.DUMMYFUNCTION("""COMPUTED_VALUE"""),"EGLL")</f>
        <v>EGLL</v>
      </c>
      <c r="D206" s="1" t="str">
        <f>IFERROR(__xludf.DUMMYFUNCTION("""COMPUTED_VALUE"""),"LEBL")</f>
        <v>LEBL</v>
      </c>
      <c r="E206" s="1" t="str">
        <f>IFERROR(__xludf.DUMMYFUNCTION("""COMPUTED_VALUE"""),"ECODM")</f>
        <v>ECODM</v>
      </c>
      <c r="F206" s="1">
        <f>IFERROR(__xludf.DUMMYFUNCTION("""COMPUTED_VALUE"""),350.0)</f>
        <v>350</v>
      </c>
      <c r="G206" s="7">
        <f>IFERROR(__xludf.DUMMYFUNCTION("""COMPUTED_VALUE"""),0.38263888888888886)</f>
        <v>0.3826388889</v>
      </c>
      <c r="H206" s="1">
        <f>IFERROR(__xludf.DUMMYFUNCTION("""COMPUTED_VALUE"""),27.0)</f>
        <v>27</v>
      </c>
      <c r="I206" s="7">
        <f>IFERROR(__xludf.DUMMYFUNCTION("""COMPUTED_VALUE"""),0.4722222222222222)</f>
        <v>0.4722222222</v>
      </c>
      <c r="J206" s="1" t="str">
        <f>IFERROR(__xludf.DUMMYFUNCTION("""COMPUTED_VALUE"""),"D")</f>
        <v>D</v>
      </c>
      <c r="K206" s="1">
        <f>IFERROR(__xludf.DUMMYFUNCTION("""COMPUTED_VALUE"""),173.0)</f>
        <v>173</v>
      </c>
      <c r="L206" s="7">
        <f>IFERROR(__xludf.DUMMYFUNCTION("""COMPUTED_VALUE"""),0.08958333333333335)</f>
        <v>0.08958333333</v>
      </c>
      <c r="M206" s="7">
        <f>IFERROR(__xludf.DUMMYFUNCTION("""COMPUTED_VALUE"""),0.05812500000000001)</f>
        <v>0.058125</v>
      </c>
      <c r="O206" s="9">
        <f>IFERROR(__xludf.DUMMYFUNCTION("""COMPUTED_VALUE"""),1157.8500000000001)</f>
        <v>1157.85</v>
      </c>
      <c r="P206" s="1" t="str">
        <f>IFERROR(__xludf.DUMMYFUNCTION("""COMPUTED_VALUE"""),"VLG")</f>
        <v>VLG</v>
      </c>
      <c r="Q206" s="1" t="str">
        <f>IFERROR(__xludf.DUMMYFUNCTION("""COMPUTED_VALUE"""),"ECAC")</f>
        <v>ECAC</v>
      </c>
    </row>
    <row r="207">
      <c r="A207" s="1" t="str">
        <f>IFERROR(__xludf.DUMMYFUNCTION("""COMPUTED_VALUE"""),"VLG985G")</f>
        <v>VLG985G</v>
      </c>
      <c r="B207" s="1" t="str">
        <f>IFERROR(__xludf.DUMMYFUNCTION("""COMPUTED_VALUE"""),"A321")</f>
        <v>A321</v>
      </c>
      <c r="C207" s="1" t="str">
        <f>IFERROR(__xludf.DUMMYFUNCTION("""COMPUTED_VALUE"""),"EDDH")</f>
        <v>EDDH</v>
      </c>
      <c r="D207" s="1" t="str">
        <f>IFERROR(__xludf.DUMMYFUNCTION("""COMPUTED_VALUE"""),"LEBL")</f>
        <v>LEBL</v>
      </c>
      <c r="E207" s="1" t="str">
        <f>IFERROR(__xludf.DUMMYFUNCTION("""COMPUTED_VALUE"""),"ECMLM")</f>
        <v>ECMLM</v>
      </c>
      <c r="F207" s="1">
        <f>IFERROR(__xludf.DUMMYFUNCTION("""COMPUTED_VALUE"""),350.0)</f>
        <v>350</v>
      </c>
      <c r="G207" s="7">
        <f>IFERROR(__xludf.DUMMYFUNCTION("""COMPUTED_VALUE"""),0.3958333333333333)</f>
        <v>0.3958333333</v>
      </c>
      <c r="H207" s="1">
        <f>IFERROR(__xludf.DUMMYFUNCTION("""COMPUTED_VALUE"""),10.0)</f>
        <v>10</v>
      </c>
      <c r="I207" s="7">
        <f>IFERROR(__xludf.DUMMYFUNCTION("""COMPUTED_VALUE"""),0.4756944444444444)</f>
        <v>0.4756944444</v>
      </c>
      <c r="J207" s="1" t="str">
        <f>IFERROR(__xludf.DUMMYFUNCTION("""COMPUTED_VALUE"""),"D")</f>
        <v>D</v>
      </c>
      <c r="K207" s="1">
        <f>IFERROR(__xludf.DUMMYFUNCTION("""COMPUTED_VALUE"""),207.0)</f>
        <v>207</v>
      </c>
      <c r="L207" s="7">
        <f>IFERROR(__xludf.DUMMYFUNCTION("""COMPUTED_VALUE"""),0.0798611111111111)</f>
        <v>0.07986111111</v>
      </c>
      <c r="M207" s="7">
        <f>IFERROR(__xludf.DUMMYFUNCTION("""COMPUTED_VALUE"""),0.06020833333333332)</f>
        <v>0.06020833333</v>
      </c>
      <c r="O207" s="9">
        <f>IFERROR(__xludf.DUMMYFUNCTION("""COMPUTED_VALUE"""),1199.35)</f>
        <v>1199.35</v>
      </c>
      <c r="P207" s="1" t="str">
        <f>IFERROR(__xludf.DUMMYFUNCTION("""COMPUTED_VALUE"""),"VLG")</f>
        <v>VLG</v>
      </c>
      <c r="Q207" s="1" t="str">
        <f>IFERROR(__xludf.DUMMYFUNCTION("""COMPUTED_VALUE"""),"ECAC")</f>
        <v>ECAC</v>
      </c>
    </row>
    <row r="208">
      <c r="A208" s="1" t="str">
        <f>IFERROR(__xludf.DUMMYFUNCTION("""COMPUTED_VALUE"""),"BTI9TZ")</f>
        <v>BTI9TZ</v>
      </c>
      <c r="B208" s="1" t="str">
        <f>IFERROR(__xludf.DUMMYFUNCTION("""COMPUTED_VALUE"""),"BCS3")</f>
        <v>BCS3</v>
      </c>
      <c r="C208" s="1" t="str">
        <f>IFERROR(__xludf.DUMMYFUNCTION("""COMPUTED_VALUE"""),"EVRA")</f>
        <v>EVRA</v>
      </c>
      <c r="D208" s="1" t="str">
        <f>IFERROR(__xludf.DUMMYFUNCTION("""COMPUTED_VALUE"""),"LEBL")</f>
        <v>LEBL</v>
      </c>
      <c r="E208" s="1" t="str">
        <f>IFERROR(__xludf.DUMMYFUNCTION("""COMPUTED_VALUE"""),"YLABX")</f>
        <v>YLABX</v>
      </c>
      <c r="F208" s="1">
        <f>IFERROR(__xludf.DUMMYFUNCTION("""COMPUTED_VALUE"""),380.0)</f>
        <v>380</v>
      </c>
      <c r="G208" s="7">
        <f>IFERROR(__xludf.DUMMYFUNCTION("""COMPUTED_VALUE"""),0.34652777777777777)</f>
        <v>0.3465277778</v>
      </c>
      <c r="H208" s="1">
        <f>IFERROR(__xludf.DUMMYFUNCTION("""COMPUTED_VALUE"""),10.0)</f>
        <v>10</v>
      </c>
      <c r="I208" s="7">
        <f>IFERROR(__xludf.DUMMYFUNCTION("""COMPUTED_VALUE"""),0.4791666666666667)</f>
        <v>0.4791666667</v>
      </c>
      <c r="J208" s="1" t="str">
        <f>IFERROR(__xludf.DUMMYFUNCTION("""COMPUTED_VALUE"""),"D")</f>
        <v>D</v>
      </c>
      <c r="K208" s="1">
        <f>IFERROR(__xludf.DUMMYFUNCTION("""COMPUTED_VALUE"""),148.0)</f>
        <v>148</v>
      </c>
      <c r="L208" s="7">
        <f>IFERROR(__xludf.DUMMYFUNCTION("""COMPUTED_VALUE"""),0.13263888888888892)</f>
        <v>0.1326388889</v>
      </c>
      <c r="M208" s="7">
        <f>IFERROR(__xludf.DUMMYFUNCTION("""COMPUTED_VALUE"""),0.11298611111111113)</f>
        <v>0.1129861111</v>
      </c>
      <c r="O208" s="9">
        <f>IFERROR(__xludf.DUMMYFUNCTION("""COMPUTED_VALUE"""),2250.683333333334)</f>
        <v>2250.683333</v>
      </c>
      <c r="P208" s="1" t="str">
        <f>IFERROR(__xludf.DUMMYFUNCTION("""COMPUTED_VALUE"""),"BTI")</f>
        <v>BTI</v>
      </c>
      <c r="Q208" s="1" t="str">
        <f>IFERROR(__xludf.DUMMYFUNCTION("""COMPUTED_VALUE"""),"ECAC")</f>
        <v>ECAC</v>
      </c>
    </row>
    <row r="209">
      <c r="A209" s="1" t="str">
        <f>IFERROR(__xludf.DUMMYFUNCTION("""COMPUTED_VALUE"""),"SXS6E")</f>
        <v>SXS6E</v>
      </c>
      <c r="B209" s="1" t="str">
        <f>IFERROR(__xludf.DUMMYFUNCTION("""COMPUTED_VALUE"""),"B38M")</f>
        <v>B38M</v>
      </c>
      <c r="C209" s="1" t="str">
        <f>IFERROR(__xludf.DUMMYFUNCTION("""COMPUTED_VALUE"""),"LTBJ")</f>
        <v>LTBJ</v>
      </c>
      <c r="D209" s="1" t="str">
        <f>IFERROR(__xludf.DUMMYFUNCTION("""COMPUTED_VALUE"""),"LEBL")</f>
        <v>LEBL</v>
      </c>
      <c r="E209" s="1" t="str">
        <f>IFERROR(__xludf.DUMMYFUNCTION("""COMPUTED_VALUE"""),"TCSMN")</f>
        <v>TCSMN</v>
      </c>
      <c r="F209" s="1">
        <f>IFERROR(__xludf.DUMMYFUNCTION("""COMPUTED_VALUE"""),380.0)</f>
        <v>380</v>
      </c>
      <c r="G209" s="7">
        <f>IFERROR(__xludf.DUMMYFUNCTION("""COMPUTED_VALUE"""),0.36319444444444443)</f>
        <v>0.3631944444</v>
      </c>
      <c r="H209" s="1">
        <f>IFERROR(__xludf.DUMMYFUNCTION("""COMPUTED_VALUE"""),10.0)</f>
        <v>10</v>
      </c>
      <c r="I209" s="7">
        <f>IFERROR(__xludf.DUMMYFUNCTION("""COMPUTED_VALUE"""),0.4791666666666667)</f>
        <v>0.4791666667</v>
      </c>
      <c r="J209" s="1" t="str">
        <f>IFERROR(__xludf.DUMMYFUNCTION("""COMPUTED_VALUE"""),"D")</f>
        <v>D</v>
      </c>
      <c r="K209" s="1">
        <f>IFERROR(__xludf.DUMMYFUNCTION("""COMPUTED_VALUE"""),186.0)</f>
        <v>186</v>
      </c>
      <c r="L209" s="7">
        <f>IFERROR(__xludf.DUMMYFUNCTION("""COMPUTED_VALUE"""),0.11597222222222225)</f>
        <v>0.1159722222</v>
      </c>
      <c r="M209" s="7">
        <f>IFERROR(__xludf.DUMMYFUNCTION("""COMPUTED_VALUE"""),0.09631944444444447)</f>
        <v>0.09631944444</v>
      </c>
      <c r="O209" s="9">
        <f>IFERROR(__xludf.DUMMYFUNCTION("""COMPUTED_VALUE"""),1918.6833333333338)</f>
        <v>1918.683333</v>
      </c>
      <c r="P209" s="1" t="str">
        <f>IFERROR(__xludf.DUMMYFUNCTION("""COMPUTED_VALUE"""),"SXS")</f>
        <v>SXS</v>
      </c>
      <c r="Q209" s="1" t="str">
        <f>IFERROR(__xludf.DUMMYFUNCTION("""COMPUTED_VALUE"""),"ECAC")</f>
        <v>ECAC</v>
      </c>
    </row>
    <row r="210">
      <c r="A210" s="1" t="str">
        <f>IFERROR(__xludf.DUMMYFUNCTION("""COMPUTED_VALUE"""),"VLG98ZH")</f>
        <v>VLG98ZH</v>
      </c>
      <c r="B210" s="1" t="str">
        <f>IFERROR(__xludf.DUMMYFUNCTION("""COMPUTED_VALUE"""),"A320")</f>
        <v>A320</v>
      </c>
      <c r="C210" s="1" t="str">
        <f>IFERROR(__xludf.DUMMYFUNCTION("""COMPUTED_VALUE"""),"LFPO")</f>
        <v>LFPO</v>
      </c>
      <c r="D210" s="1" t="str">
        <f>IFERROR(__xludf.DUMMYFUNCTION("""COMPUTED_VALUE"""),"LEBL")</f>
        <v>LEBL</v>
      </c>
      <c r="E210" s="1" t="str">
        <f>IFERROR(__xludf.DUMMYFUNCTION("""COMPUTED_VALUE"""),"ECMAO")</f>
        <v>ECMAO</v>
      </c>
      <c r="F210" s="1">
        <f>IFERROR(__xludf.DUMMYFUNCTION("""COMPUTED_VALUE"""),390.0)</f>
        <v>390</v>
      </c>
      <c r="G210" s="7">
        <f>IFERROR(__xludf.DUMMYFUNCTION("""COMPUTED_VALUE"""),0.42569444444444443)</f>
        <v>0.4256944444</v>
      </c>
      <c r="H210" s="1">
        <f>IFERROR(__xludf.DUMMYFUNCTION("""COMPUTED_VALUE"""),11.0)</f>
        <v>11</v>
      </c>
      <c r="I210" s="7">
        <f>IFERROR(__xludf.DUMMYFUNCTION("""COMPUTED_VALUE"""),0.4791666666666667)</f>
        <v>0.4791666667</v>
      </c>
      <c r="J210" s="1" t="str">
        <f>IFERROR(__xludf.DUMMYFUNCTION("""COMPUTED_VALUE"""),"D")</f>
        <v>D</v>
      </c>
      <c r="K210" s="1">
        <f>IFERROR(__xludf.DUMMYFUNCTION("""COMPUTED_VALUE"""),173.0)</f>
        <v>173</v>
      </c>
      <c r="L210" s="7">
        <f>IFERROR(__xludf.DUMMYFUNCTION("""COMPUTED_VALUE"""),0.053472222222222254)</f>
        <v>0.05347222222</v>
      </c>
      <c r="M210" s="7">
        <f>IFERROR(__xludf.DUMMYFUNCTION("""COMPUTED_VALUE"""),0.03312500000000003)</f>
        <v>0.033125</v>
      </c>
      <c r="O210" s="9">
        <f>IFERROR(__xludf.DUMMYFUNCTION("""COMPUTED_VALUE"""),659.8500000000006)</f>
        <v>659.85</v>
      </c>
      <c r="P210" s="1" t="str">
        <f>IFERROR(__xludf.DUMMYFUNCTION("""COMPUTED_VALUE"""),"VLG")</f>
        <v>VLG</v>
      </c>
      <c r="Q210" s="1" t="str">
        <f>IFERROR(__xludf.DUMMYFUNCTION("""COMPUTED_VALUE"""),"ECAC")</f>
        <v>ECAC</v>
      </c>
    </row>
    <row r="211">
      <c r="A211" s="1" t="str">
        <f>IFERROR(__xludf.DUMMYFUNCTION("""COMPUTED_VALUE"""),"TRA73A")</f>
        <v>TRA73A</v>
      </c>
      <c r="B211" s="1" t="str">
        <f>IFERROR(__xludf.DUMMYFUNCTION("""COMPUTED_VALUE"""),"B738")</f>
        <v>B738</v>
      </c>
      <c r="C211" s="1" t="str">
        <f>IFERROR(__xludf.DUMMYFUNCTION("""COMPUTED_VALUE"""),"EHRD")</f>
        <v>EHRD</v>
      </c>
      <c r="D211" s="1" t="str">
        <f>IFERROR(__xludf.DUMMYFUNCTION("""COMPUTED_VALUE"""),"LEBL")</f>
        <v>LEBL</v>
      </c>
      <c r="E211" s="1" t="str">
        <f>IFERROR(__xludf.DUMMYFUNCTION("""COMPUTED_VALUE"""),"PHHXB")</f>
        <v>PHHXB</v>
      </c>
      <c r="F211" s="1">
        <f>IFERROR(__xludf.DUMMYFUNCTION("""COMPUTED_VALUE"""),390.0)</f>
        <v>390</v>
      </c>
      <c r="G211" s="7">
        <f>IFERROR(__xludf.DUMMYFUNCTION("""COMPUTED_VALUE"""),0.4097222222222222)</f>
        <v>0.4097222222</v>
      </c>
      <c r="H211" s="1">
        <f>IFERROR(__xludf.DUMMYFUNCTION("""COMPUTED_VALUE"""),10.0)</f>
        <v>10</v>
      </c>
      <c r="I211" s="7">
        <f>IFERROR(__xludf.DUMMYFUNCTION("""COMPUTED_VALUE"""),0.4826388888888889)</f>
        <v>0.4826388889</v>
      </c>
      <c r="J211" s="1" t="str">
        <f>IFERROR(__xludf.DUMMYFUNCTION("""COMPUTED_VALUE"""),"D")</f>
        <v>D</v>
      </c>
      <c r="K211" s="1">
        <f>IFERROR(__xludf.DUMMYFUNCTION("""COMPUTED_VALUE"""),184.0)</f>
        <v>184</v>
      </c>
      <c r="L211" s="7">
        <f>IFERROR(__xludf.DUMMYFUNCTION("""COMPUTED_VALUE"""),0.07291666666666669)</f>
        <v>0.07291666667</v>
      </c>
      <c r="M211" s="7">
        <f>IFERROR(__xludf.DUMMYFUNCTION("""COMPUTED_VALUE"""),0.0532638888888889)</f>
        <v>0.05326388889</v>
      </c>
      <c r="O211" s="9">
        <f>IFERROR(__xludf.DUMMYFUNCTION("""COMPUTED_VALUE"""),1061.016666666667)</f>
        <v>1061.016667</v>
      </c>
      <c r="P211" s="1" t="str">
        <f>IFERROR(__xludf.DUMMYFUNCTION("""COMPUTED_VALUE"""),"TRA")</f>
        <v>TRA</v>
      </c>
      <c r="Q211" s="1" t="str">
        <f>IFERROR(__xludf.DUMMYFUNCTION("""COMPUTED_VALUE"""),"ECAC")</f>
        <v>ECAC</v>
      </c>
    </row>
    <row r="212">
      <c r="A212" s="1" t="str">
        <f>IFERROR(__xludf.DUMMYFUNCTION("""COMPUTED_VALUE"""),"UAE256")</f>
        <v>UAE256</v>
      </c>
      <c r="B212" s="1" t="str">
        <f>IFERROR(__xludf.DUMMYFUNCTION("""COMPUTED_VALUE"""),"B77L")</f>
        <v>B77L</v>
      </c>
      <c r="C212" s="1" t="str">
        <f>IFERROR(__xludf.DUMMYFUNCTION("""COMPUTED_VALUE"""),"MMMX")</f>
        <v>MMMX</v>
      </c>
      <c r="D212" s="1" t="str">
        <f>IFERROR(__xludf.DUMMYFUNCTION("""COMPUTED_VALUE"""),"LEBL")</f>
        <v>LEBL</v>
      </c>
      <c r="E212" s="1" t="str">
        <f>IFERROR(__xludf.DUMMYFUNCTION("""COMPUTED_VALUE"""),"A6EWG")</f>
        <v>A6EWG</v>
      </c>
      <c r="F212" s="1">
        <f>IFERROR(__xludf.DUMMYFUNCTION("""COMPUTED_VALUE"""),390.0)</f>
        <v>390</v>
      </c>
      <c r="G212" s="7">
        <f>IFERROR(__xludf.DUMMYFUNCTION("""COMPUTED_VALUE"""),0.03819444444444445)</f>
        <v>0.03819444444</v>
      </c>
      <c r="H212" s="1">
        <f>IFERROR(__xludf.DUMMYFUNCTION("""COMPUTED_VALUE"""),10.0)</f>
        <v>10</v>
      </c>
      <c r="I212" s="7">
        <f>IFERROR(__xludf.DUMMYFUNCTION("""COMPUTED_VALUE"""),0.4826388888888889)</f>
        <v>0.4826388889</v>
      </c>
      <c r="J212" s="1" t="str">
        <f>IFERROR(__xludf.DUMMYFUNCTION("""COMPUTED_VALUE"""),"B")</f>
        <v>B</v>
      </c>
      <c r="K212" s="1">
        <f>IFERROR(__xludf.DUMMYFUNCTION("""COMPUTED_VALUE"""),302.0)</f>
        <v>302</v>
      </c>
      <c r="L212" s="7">
        <f>IFERROR(__xludf.DUMMYFUNCTION("""COMPUTED_VALUE"""),0.4444444444444444)</f>
        <v>0.4444444444</v>
      </c>
      <c r="M212" s="7">
        <f>IFERROR(__xludf.DUMMYFUNCTION("""COMPUTED_VALUE"""),0.4247916666666667)</f>
        <v>0.4247916667</v>
      </c>
      <c r="O212" s="9">
        <f>IFERROR(__xludf.DUMMYFUNCTION("""COMPUTED_VALUE"""),9175.5)</f>
        <v>9175.5</v>
      </c>
      <c r="P212" s="1" t="str">
        <f>IFERROR(__xludf.DUMMYFUNCTION("""COMPUTED_VALUE"""),"UAE")</f>
        <v>UAE</v>
      </c>
      <c r="Q212" s="1" t="str">
        <f>IFERROR(__xludf.DUMMYFUNCTION("""COMPUTED_VALUE"""),"NO ECAC")</f>
        <v>NO ECAC</v>
      </c>
    </row>
    <row r="213">
      <c r="A213" s="1" t="str">
        <f>IFERROR(__xludf.DUMMYFUNCTION("""COMPUTED_VALUE"""),"ANE70RM")</f>
        <v>ANE70RM</v>
      </c>
      <c r="B213" s="1" t="str">
        <f>IFERROR(__xludf.DUMMYFUNCTION("""COMPUTED_VALUE"""),"CRJX")</f>
        <v>CRJX</v>
      </c>
      <c r="C213" s="1" t="str">
        <f>IFERROR(__xludf.DUMMYFUNCTION("""COMPUTED_VALUE"""),"LEBZ")</f>
        <v>LEBZ</v>
      </c>
      <c r="D213" s="1" t="str">
        <f>IFERROR(__xludf.DUMMYFUNCTION("""COMPUTED_VALUE"""),"LEBL")</f>
        <v>LEBL</v>
      </c>
      <c r="E213" s="1" t="str">
        <f>IFERROR(__xludf.DUMMYFUNCTION("""COMPUTED_VALUE"""),"ECMLN")</f>
        <v>ECMLN</v>
      </c>
      <c r="F213" s="1">
        <f>IFERROR(__xludf.DUMMYFUNCTION("""COMPUTED_VALUE"""),340.0)</f>
        <v>340</v>
      </c>
      <c r="G213" s="7">
        <f>IFERROR(__xludf.DUMMYFUNCTION("""COMPUTED_VALUE"""),0.4409722222222222)</f>
        <v>0.4409722222</v>
      </c>
      <c r="H213" s="1">
        <f>IFERROR(__xludf.DUMMYFUNCTION("""COMPUTED_VALUE"""),5.0)</f>
        <v>5</v>
      </c>
      <c r="I213" s="7">
        <f>IFERROR(__xludf.DUMMYFUNCTION("""COMPUTED_VALUE"""),0.4861111111111111)</f>
        <v>0.4861111111</v>
      </c>
      <c r="J213" s="1" t="str">
        <f>IFERROR(__xludf.DUMMYFUNCTION("""COMPUTED_VALUE"""),"E")</f>
        <v>E</v>
      </c>
      <c r="K213" s="1">
        <f>IFERROR(__xludf.DUMMYFUNCTION("""COMPUTED_VALUE"""),100.0)</f>
        <v>100</v>
      </c>
      <c r="L213" s="7">
        <f>IFERROR(__xludf.DUMMYFUNCTION("""COMPUTED_VALUE"""),0.045138888888888895)</f>
        <v>0.04513888889</v>
      </c>
      <c r="M213" s="7">
        <f>IFERROR(__xludf.DUMMYFUNCTION("""COMPUTED_VALUE"""),0.028958333333333336)</f>
        <v>0.02895833333</v>
      </c>
      <c r="O213" s="9">
        <f>IFERROR(__xludf.DUMMYFUNCTION("""COMPUTED_VALUE"""),312.75)</f>
        <v>312.75</v>
      </c>
      <c r="P213" s="1" t="str">
        <f>IFERROR(__xludf.DUMMYFUNCTION("""COMPUTED_VALUE"""),"ANE")</f>
        <v>ANE</v>
      </c>
      <c r="Q213" s="1" t="str">
        <f>IFERROR(__xludf.DUMMYFUNCTION("""COMPUTED_VALUE"""),"NO ECAC")</f>
        <v>NO ECAC</v>
      </c>
    </row>
    <row r="214">
      <c r="A214" s="1" t="str">
        <f>IFERROR(__xludf.DUMMYFUNCTION("""COMPUTED_VALUE"""),"NJE451B")</f>
        <v>NJE451B</v>
      </c>
      <c r="B214" s="1" t="str">
        <f>IFERROR(__xludf.DUMMYFUNCTION("""COMPUTED_VALUE"""),"E55P")</f>
        <v>E55P</v>
      </c>
      <c r="C214" s="1" t="str">
        <f>IFERROR(__xludf.DUMMYFUNCTION("""COMPUTED_VALUE"""),"LEMG")</f>
        <v>LEMG</v>
      </c>
      <c r="D214" s="1" t="str">
        <f>IFERROR(__xludf.DUMMYFUNCTION("""COMPUTED_VALUE"""),"LEBL")</f>
        <v>LEBL</v>
      </c>
      <c r="E214" s="1" t="str">
        <f>IFERROR(__xludf.DUMMYFUNCTION("""COMPUTED_VALUE"""),"CSPJC")</f>
        <v>CSPJC</v>
      </c>
      <c r="F214" s="1">
        <f>IFERROR(__xludf.DUMMYFUNCTION("""COMPUTED_VALUE"""),340.0)</f>
        <v>340</v>
      </c>
      <c r="G214" s="7">
        <f>IFERROR(__xludf.DUMMYFUNCTION("""COMPUTED_VALUE"""),0.4375)</f>
        <v>0.4375</v>
      </c>
      <c r="H214" s="1">
        <f>IFERROR(__xludf.DUMMYFUNCTION("""COMPUTED_VALUE"""),10.0)</f>
        <v>10</v>
      </c>
      <c r="I214" s="7">
        <f>IFERROR(__xludf.DUMMYFUNCTION("""COMPUTED_VALUE"""),0.4895833333333333)</f>
        <v>0.4895833333</v>
      </c>
      <c r="J214" s="1" t="str">
        <f>IFERROR(__xludf.DUMMYFUNCTION("""COMPUTED_VALUE"""),"F")</f>
        <v>F</v>
      </c>
      <c r="K214" s="1">
        <f>IFERROR(__xludf.DUMMYFUNCTION("""COMPUTED_VALUE"""),8.0)</f>
        <v>8</v>
      </c>
      <c r="L214" s="7">
        <f>IFERROR(__xludf.DUMMYFUNCTION("""COMPUTED_VALUE"""),0.052083333333333315)</f>
        <v>0.05208333333</v>
      </c>
      <c r="M214" s="7">
        <f>IFERROR(__xludf.DUMMYFUNCTION("""COMPUTED_VALUE"""),0.03243055555555553)</f>
        <v>0.03243055556</v>
      </c>
      <c r="O214" s="9">
        <f>IFERROR(__xludf.DUMMYFUNCTION("""COMPUTED_VALUE"""),140.0999999999999)</f>
        <v>140.1</v>
      </c>
      <c r="P214" s="1" t="str">
        <f>IFERROR(__xludf.DUMMYFUNCTION("""COMPUTED_VALUE"""),"NJE")</f>
        <v>NJE</v>
      </c>
      <c r="Q214" s="1" t="str">
        <f>IFERROR(__xludf.DUMMYFUNCTION("""COMPUTED_VALUE"""),"ECAC")</f>
        <v>ECAC</v>
      </c>
    </row>
    <row r="215">
      <c r="A215" s="1" t="str">
        <f>IFERROR(__xludf.DUMMYFUNCTION("""COMPUTED_VALUE"""),"UAL769")</f>
        <v>UAL769</v>
      </c>
      <c r="B215" s="1" t="str">
        <f>IFERROR(__xludf.DUMMYFUNCTION("""COMPUTED_VALUE"""),"B788")</f>
        <v>B788</v>
      </c>
      <c r="C215" s="1" t="str">
        <f>IFERROR(__xludf.DUMMYFUNCTION("""COMPUTED_VALUE"""),"KORD")</f>
        <v>KORD</v>
      </c>
      <c r="D215" s="1" t="str">
        <f>IFERROR(__xludf.DUMMYFUNCTION("""COMPUTED_VALUE"""),"LEBL")</f>
        <v>LEBL</v>
      </c>
      <c r="E215" s="1" t="str">
        <f>IFERROR(__xludf.DUMMYFUNCTION("""COMPUTED_VALUE"""),"N20904")</f>
        <v>N20904</v>
      </c>
      <c r="F215" s="1">
        <f>IFERROR(__xludf.DUMMYFUNCTION("""COMPUTED_VALUE"""),410.0)</f>
        <v>410</v>
      </c>
      <c r="G215" s="7">
        <f>IFERROR(__xludf.DUMMYFUNCTION("""COMPUTED_VALUE"""),0.12430555555555556)</f>
        <v>0.1243055556</v>
      </c>
      <c r="H215" s="1">
        <f>IFERROR(__xludf.DUMMYFUNCTION("""COMPUTED_VALUE"""),24.0)</f>
        <v>24</v>
      </c>
      <c r="I215" s="7">
        <f>IFERROR(__xludf.DUMMYFUNCTION("""COMPUTED_VALUE"""),0.4895833333333333)</f>
        <v>0.4895833333</v>
      </c>
      <c r="J215" s="1" t="str">
        <f>IFERROR(__xludf.DUMMYFUNCTION("""COMPUTED_VALUE"""),"B")</f>
        <v>B</v>
      </c>
      <c r="K215" s="1">
        <f>IFERROR(__xludf.DUMMYFUNCTION("""COMPUTED_VALUE"""),266.0)</f>
        <v>266</v>
      </c>
      <c r="L215" s="7">
        <f>IFERROR(__xludf.DUMMYFUNCTION("""COMPUTED_VALUE"""),0.36527777777777776)</f>
        <v>0.3652777778</v>
      </c>
      <c r="M215" s="7">
        <f>IFERROR(__xludf.DUMMYFUNCTION("""COMPUTED_VALUE"""),0.3359027777777778)</f>
        <v>0.3359027778</v>
      </c>
      <c r="O215" s="9">
        <f>IFERROR(__xludf.DUMMYFUNCTION("""COMPUTED_VALUE"""),7255.500000000001)</f>
        <v>7255.5</v>
      </c>
      <c r="P215" s="1" t="str">
        <f>IFERROR(__xludf.DUMMYFUNCTION("""COMPUTED_VALUE"""),"UAL")</f>
        <v>UAL</v>
      </c>
      <c r="Q215" s="1" t="str">
        <f>IFERROR(__xludf.DUMMYFUNCTION("""COMPUTED_VALUE"""),"NO ECAC")</f>
        <v>NO ECAC</v>
      </c>
    </row>
    <row r="216">
      <c r="A216" s="1" t="str">
        <f>IFERROR(__xludf.DUMMYFUNCTION("""COMPUTED_VALUE"""),"UAE185")</f>
        <v>UAE185</v>
      </c>
      <c r="B216" s="1" t="str">
        <f>IFERROR(__xludf.DUMMYFUNCTION("""COMPUTED_VALUE"""),"A388")</f>
        <v>A388</v>
      </c>
      <c r="C216" s="1" t="str">
        <f>IFERROR(__xludf.DUMMYFUNCTION("""COMPUTED_VALUE"""),"OMDB")</f>
        <v>OMDB</v>
      </c>
      <c r="D216" s="1" t="str">
        <f>IFERROR(__xludf.DUMMYFUNCTION("""COMPUTED_VALUE"""),"LEBL")</f>
        <v>LEBL</v>
      </c>
      <c r="E216" s="1" t="str">
        <f>IFERROR(__xludf.DUMMYFUNCTION("""COMPUTED_VALUE"""),"A6EOT")</f>
        <v>A6EOT</v>
      </c>
      <c r="F216" s="1">
        <f>IFERROR(__xludf.DUMMYFUNCTION("""COMPUTED_VALUE"""),400.0)</f>
        <v>400</v>
      </c>
      <c r="G216" s="7">
        <f>IFERROR(__xludf.DUMMYFUNCTION("""COMPUTED_VALUE"""),0.1840277777777778)</f>
        <v>0.1840277778</v>
      </c>
      <c r="H216" s="1">
        <f>IFERROR(__xludf.DUMMYFUNCTION("""COMPUTED_VALUE"""),10.0)</f>
        <v>10</v>
      </c>
      <c r="I216" s="7">
        <f>IFERROR(__xludf.DUMMYFUNCTION("""COMPUTED_VALUE"""),0.4895833333333333)</f>
        <v>0.4895833333</v>
      </c>
      <c r="J216" s="1" t="str">
        <f>IFERROR(__xludf.DUMMYFUNCTION("""COMPUTED_VALUE"""),"A")</f>
        <v>A</v>
      </c>
      <c r="K216" s="1">
        <f>IFERROR(__xludf.DUMMYFUNCTION("""COMPUTED_VALUE"""),492.0)</f>
        <v>492</v>
      </c>
      <c r="L216" s="7">
        <f>IFERROR(__xludf.DUMMYFUNCTION("""COMPUTED_VALUE"""),0.3055555555555555)</f>
        <v>0.3055555556</v>
      </c>
      <c r="M216" s="7">
        <f>IFERROR(__xludf.DUMMYFUNCTION("""COMPUTED_VALUE"""),0.2859027777777778)</f>
        <v>0.2859027778</v>
      </c>
      <c r="O216" s="9">
        <f>IFERROR(__xludf.DUMMYFUNCTION("""COMPUTED_VALUE"""),6244.116666666667)</f>
        <v>6244.116667</v>
      </c>
      <c r="P216" s="1" t="str">
        <f>IFERROR(__xludf.DUMMYFUNCTION("""COMPUTED_VALUE"""),"UAE")</f>
        <v>UAE</v>
      </c>
      <c r="Q216" s="1" t="str">
        <f>IFERROR(__xludf.DUMMYFUNCTION("""COMPUTED_VALUE"""),"NO ECAC")</f>
        <v>NO ECAC</v>
      </c>
    </row>
    <row r="217">
      <c r="A217" s="1" t="str">
        <f>IFERROR(__xludf.DUMMYFUNCTION("""COMPUTED_VALUE"""),"VLG4SQ")</f>
        <v>VLG4SQ</v>
      </c>
      <c r="B217" s="1" t="str">
        <f>IFERROR(__xludf.DUMMYFUNCTION("""COMPUTED_VALUE"""),"A320")</f>
        <v>A320</v>
      </c>
      <c r="C217" s="1" t="str">
        <f>IFERROR(__xludf.DUMMYFUNCTION("""COMPUTED_VALUE"""),"EGKK")</f>
        <v>EGKK</v>
      </c>
      <c r="D217" s="1" t="str">
        <f>IFERROR(__xludf.DUMMYFUNCTION("""COMPUTED_VALUE"""),"LEBL")</f>
        <v>LEBL</v>
      </c>
      <c r="E217" s="1" t="str">
        <f>IFERROR(__xludf.DUMMYFUNCTION("""COMPUTED_VALUE"""),"ECMXP")</f>
        <v>ECMXP</v>
      </c>
      <c r="F217" s="1">
        <f>IFERROR(__xludf.DUMMYFUNCTION("""COMPUTED_VALUE"""),370.0)</f>
        <v>370</v>
      </c>
      <c r="G217" s="7">
        <f>IFERROR(__xludf.DUMMYFUNCTION("""COMPUTED_VALUE"""),0.4284722222222222)</f>
        <v>0.4284722222</v>
      </c>
      <c r="H217" s="1">
        <f>IFERROR(__xludf.DUMMYFUNCTION("""COMPUTED_VALUE"""),18.0)</f>
        <v>18</v>
      </c>
      <c r="I217" s="7">
        <f>IFERROR(__xludf.DUMMYFUNCTION("""COMPUTED_VALUE"""),0.4930555555555556)</f>
        <v>0.4930555556</v>
      </c>
      <c r="J217" s="1" t="str">
        <f>IFERROR(__xludf.DUMMYFUNCTION("""COMPUTED_VALUE"""),"D")</f>
        <v>D</v>
      </c>
      <c r="K217" s="1">
        <f>IFERROR(__xludf.DUMMYFUNCTION("""COMPUTED_VALUE"""),173.0)</f>
        <v>173</v>
      </c>
      <c r="L217" s="7">
        <f>IFERROR(__xludf.DUMMYFUNCTION("""COMPUTED_VALUE"""),0.06458333333333338)</f>
        <v>0.06458333333</v>
      </c>
      <c r="M217" s="7">
        <f>IFERROR(__xludf.DUMMYFUNCTION("""COMPUTED_VALUE"""),0.03937500000000005)</f>
        <v>0.039375</v>
      </c>
      <c r="O217" s="9">
        <f>IFERROR(__xludf.DUMMYFUNCTION("""COMPUTED_VALUE"""),784.3500000000009)</f>
        <v>784.35</v>
      </c>
      <c r="P217" s="1" t="str">
        <f>IFERROR(__xludf.DUMMYFUNCTION("""COMPUTED_VALUE"""),"VLG")</f>
        <v>VLG</v>
      </c>
      <c r="Q217" s="1" t="str">
        <f>IFERROR(__xludf.DUMMYFUNCTION("""COMPUTED_VALUE"""),"ECAC")</f>
        <v>ECAC</v>
      </c>
    </row>
    <row r="218">
      <c r="A218" s="1" t="str">
        <f>IFERROR(__xludf.DUMMYFUNCTION("""COMPUTED_VALUE"""),"VLG2915")</f>
        <v>VLG2915</v>
      </c>
      <c r="B218" s="1" t="str">
        <f>IFERROR(__xludf.DUMMYFUNCTION("""COMPUTED_VALUE"""),"A20N")</f>
        <v>A20N</v>
      </c>
      <c r="C218" s="1" t="str">
        <f>IFERROR(__xludf.DUMMYFUNCTION("""COMPUTED_VALUE"""),"LFBD")</f>
        <v>LFBD</v>
      </c>
      <c r="D218" s="1" t="str">
        <f>IFERROR(__xludf.DUMMYFUNCTION("""COMPUTED_VALUE"""),"LEBL")</f>
        <v>LEBL</v>
      </c>
      <c r="E218" s="1" t="str">
        <f>IFERROR(__xludf.DUMMYFUNCTION("""COMPUTED_VALUE"""),"ECNFK")</f>
        <v>ECNFK</v>
      </c>
      <c r="F218" s="1">
        <f>IFERROR(__xludf.DUMMYFUNCTION("""COMPUTED_VALUE"""),330.0)</f>
        <v>330</v>
      </c>
      <c r="G218" s="7">
        <f>IFERROR(__xludf.DUMMYFUNCTION("""COMPUTED_VALUE"""),0.4673611111111111)</f>
        <v>0.4673611111</v>
      </c>
      <c r="H218" s="1">
        <f>IFERROR(__xludf.DUMMYFUNCTION("""COMPUTED_VALUE"""),11.0)</f>
        <v>11</v>
      </c>
      <c r="I218" s="7">
        <f>IFERROR(__xludf.DUMMYFUNCTION("""COMPUTED_VALUE"""),0.4930555555555556)</f>
        <v>0.4930555556</v>
      </c>
      <c r="J218" s="1" t="str">
        <f>IFERROR(__xludf.DUMMYFUNCTION("""COMPUTED_VALUE"""),"D")</f>
        <v>D</v>
      </c>
      <c r="K218" s="1">
        <f>IFERROR(__xludf.DUMMYFUNCTION("""COMPUTED_VALUE"""),180.0)</f>
        <v>180</v>
      </c>
      <c r="L218" s="7">
        <f>IFERROR(__xludf.DUMMYFUNCTION("""COMPUTED_VALUE"""),0.025694444444444464)</f>
        <v>0.02569444444</v>
      </c>
      <c r="M218" s="7">
        <f>IFERROR(__xludf.DUMMYFUNCTION("""COMPUTED_VALUE"""),0.005347222222222242)</f>
        <v>0.005347222222</v>
      </c>
      <c r="O218" s="9">
        <f>IFERROR(__xludf.DUMMYFUNCTION("""COMPUTED_VALUE"""),106.51666666666705)</f>
        <v>106.5166667</v>
      </c>
      <c r="P218" s="1" t="str">
        <f>IFERROR(__xludf.DUMMYFUNCTION("""COMPUTED_VALUE"""),"VLG")</f>
        <v>VLG</v>
      </c>
      <c r="Q218" s="1" t="str">
        <f>IFERROR(__xludf.DUMMYFUNCTION("""COMPUTED_VALUE"""),"ECAC")</f>
        <v>ECAC</v>
      </c>
    </row>
    <row r="219">
      <c r="A219" s="1" t="str">
        <f>IFERROR(__xludf.DUMMYFUNCTION("""COMPUTED_VALUE"""),"RYR9DX")</f>
        <v>RYR9DX</v>
      </c>
      <c r="B219" s="1" t="str">
        <f>IFERROR(__xludf.DUMMYFUNCTION("""COMPUTED_VALUE"""),"B738")</f>
        <v>B738</v>
      </c>
      <c r="C219" s="1" t="str">
        <f>IFERROR(__xludf.DUMMYFUNCTION("""COMPUTED_VALUE"""),"GCXO")</f>
        <v>GCXO</v>
      </c>
      <c r="D219" s="1" t="str">
        <f>IFERROR(__xludf.DUMMYFUNCTION("""COMPUTED_VALUE"""),"LEBL")</f>
        <v>LEBL</v>
      </c>
      <c r="E219" s="1" t="str">
        <f>IFERROR(__xludf.DUMMYFUNCTION("""COMPUTED_VALUE"""),"EIENF")</f>
        <v>EIENF</v>
      </c>
      <c r="F219" s="1">
        <f>IFERROR(__xludf.DUMMYFUNCTION("""COMPUTED_VALUE"""),380.0)</f>
        <v>380</v>
      </c>
      <c r="G219" s="7">
        <f>IFERROR(__xludf.DUMMYFUNCTION("""COMPUTED_VALUE"""),0.37083333333333335)</f>
        <v>0.3708333333</v>
      </c>
      <c r="H219" s="1">
        <f>IFERROR(__xludf.DUMMYFUNCTION("""COMPUTED_VALUE"""),4.0)</f>
        <v>4</v>
      </c>
      <c r="I219" s="7">
        <f>IFERROR(__xludf.DUMMYFUNCTION("""COMPUTED_VALUE"""),0.4965277777777778)</f>
        <v>0.4965277778</v>
      </c>
      <c r="J219" s="1" t="str">
        <f>IFERROR(__xludf.DUMMYFUNCTION("""COMPUTED_VALUE"""),"D")</f>
        <v>D</v>
      </c>
      <c r="K219" s="1">
        <f>IFERROR(__xludf.DUMMYFUNCTION("""COMPUTED_VALUE"""),184.0)</f>
        <v>184</v>
      </c>
      <c r="L219" s="7">
        <f>IFERROR(__xludf.DUMMYFUNCTION("""COMPUTED_VALUE"""),0.12569444444444444)</f>
        <v>0.1256944444</v>
      </c>
      <c r="M219" s="7">
        <f>IFERROR(__xludf.DUMMYFUNCTION("""COMPUTED_VALUE"""),0.11020833333333332)</f>
        <v>0.1102083333</v>
      </c>
      <c r="O219" s="9">
        <f>IFERROR(__xludf.DUMMYFUNCTION("""COMPUTED_VALUE"""),2195.3499999999995)</f>
        <v>2195.35</v>
      </c>
      <c r="P219" s="1" t="str">
        <f>IFERROR(__xludf.DUMMYFUNCTION("""COMPUTED_VALUE"""),"RYR")</f>
        <v>RYR</v>
      </c>
      <c r="Q219" s="1" t="str">
        <f>IFERROR(__xludf.DUMMYFUNCTION("""COMPUTED_VALUE"""),"ECAC")</f>
        <v>ECAC</v>
      </c>
    </row>
    <row r="220">
      <c r="A220" s="1" t="str">
        <f>IFERROR(__xludf.DUMMYFUNCTION("""COMPUTED_VALUE"""),"UAL672")</f>
        <v>UAL672</v>
      </c>
      <c r="B220" s="1" t="str">
        <f>IFERROR(__xludf.DUMMYFUNCTION("""COMPUTED_VALUE"""),"B772")</f>
        <v>B772</v>
      </c>
      <c r="C220" s="1" t="str">
        <f>IFERROR(__xludf.DUMMYFUNCTION("""COMPUTED_VALUE"""),"KSFO")</f>
        <v>KSFO</v>
      </c>
      <c r="D220" s="1" t="str">
        <f>IFERROR(__xludf.DUMMYFUNCTION("""COMPUTED_VALUE"""),"LEBL")</f>
        <v>LEBL</v>
      </c>
      <c r="E220" s="1" t="str">
        <f>IFERROR(__xludf.DUMMYFUNCTION("""COMPUTED_VALUE"""),"N218UA")</f>
        <v>N218UA</v>
      </c>
      <c r="F220" s="1">
        <f>IFERROR(__xludf.DUMMYFUNCTION("""COMPUTED_VALUE"""),390.0)</f>
        <v>390</v>
      </c>
      <c r="G220" s="7">
        <f>IFERROR(__xludf.DUMMYFUNCTION("""COMPUTED_VALUE"""),0.04513888888888889)</f>
        <v>0.04513888889</v>
      </c>
      <c r="H220" s="1">
        <f>IFERROR(__xludf.DUMMYFUNCTION("""COMPUTED_VALUE"""),25.0)</f>
        <v>25</v>
      </c>
      <c r="I220" s="7">
        <f>IFERROR(__xludf.DUMMYFUNCTION("""COMPUTED_VALUE"""),0.4965277777777778)</f>
        <v>0.4965277778</v>
      </c>
      <c r="J220" s="1" t="str">
        <f>IFERROR(__xludf.DUMMYFUNCTION("""COMPUTED_VALUE"""),"B")</f>
        <v>B</v>
      </c>
      <c r="K220" s="1">
        <f>IFERROR(__xludf.DUMMYFUNCTION("""COMPUTED_VALUE"""),296.0)</f>
        <v>296</v>
      </c>
      <c r="L220" s="7">
        <f>IFERROR(__xludf.DUMMYFUNCTION("""COMPUTED_VALUE"""),0.4513888888888889)</f>
        <v>0.4513888889</v>
      </c>
      <c r="M220" s="7">
        <f>IFERROR(__xludf.DUMMYFUNCTION("""COMPUTED_VALUE"""),0.42131944444444447)</f>
        <v>0.4213194444</v>
      </c>
      <c r="O220" s="9">
        <f>IFERROR(__xludf.DUMMYFUNCTION("""COMPUTED_VALUE"""),9100.500000000002)</f>
        <v>9100.5</v>
      </c>
      <c r="P220" s="1" t="str">
        <f>IFERROR(__xludf.DUMMYFUNCTION("""COMPUTED_VALUE"""),"UAL")</f>
        <v>UAL</v>
      </c>
      <c r="Q220" s="1" t="str">
        <f>IFERROR(__xludf.DUMMYFUNCTION("""COMPUTED_VALUE"""),"NO ECAC")</f>
        <v>NO ECAC</v>
      </c>
    </row>
    <row r="221">
      <c r="A221" s="1" t="str">
        <f>IFERROR(__xludf.DUMMYFUNCTION("""COMPUTED_VALUE"""),"VLG7339")</f>
        <v>VLG7339</v>
      </c>
      <c r="B221" s="1" t="str">
        <f>IFERROR(__xludf.DUMMYFUNCTION("""COMPUTED_VALUE"""),"A320")</f>
        <v>A320</v>
      </c>
      <c r="C221" s="1" t="str">
        <f>IFERROR(__xludf.DUMMYFUNCTION("""COMPUTED_VALUE"""),"GMMI")</f>
        <v>GMMI</v>
      </c>
      <c r="D221" s="1" t="str">
        <f>IFERROR(__xludf.DUMMYFUNCTION("""COMPUTED_VALUE"""),"LEBL")</f>
        <v>LEBL</v>
      </c>
      <c r="E221" s="1" t="str">
        <f>IFERROR(__xludf.DUMMYFUNCTION("""COMPUTED_VALUE"""),"ECKDG")</f>
        <v>ECKDG</v>
      </c>
      <c r="F221" s="1">
        <f>IFERROR(__xludf.DUMMYFUNCTION("""COMPUTED_VALUE"""),380.0)</f>
        <v>380</v>
      </c>
      <c r="G221" s="7">
        <f>IFERROR(__xludf.DUMMYFUNCTION("""COMPUTED_VALUE"""),0.4166666666666667)</f>
        <v>0.4166666667</v>
      </c>
      <c r="H221" s="1">
        <f>IFERROR(__xludf.DUMMYFUNCTION("""COMPUTED_VALUE"""),15.0)</f>
        <v>15</v>
      </c>
      <c r="I221" s="7">
        <f>IFERROR(__xludf.DUMMYFUNCTION("""COMPUTED_VALUE"""),0.4965277777777778)</f>
        <v>0.4965277778</v>
      </c>
      <c r="J221" s="1" t="str">
        <f>IFERROR(__xludf.DUMMYFUNCTION("""COMPUTED_VALUE"""),"D")</f>
        <v>D</v>
      </c>
      <c r="K221" s="1">
        <f>IFERROR(__xludf.DUMMYFUNCTION("""COMPUTED_VALUE"""),173.0)</f>
        <v>173</v>
      </c>
      <c r="L221" s="7">
        <f>IFERROR(__xludf.DUMMYFUNCTION("""COMPUTED_VALUE"""),0.0798611111111111)</f>
        <v>0.07986111111</v>
      </c>
      <c r="M221" s="7">
        <f>IFERROR(__xludf.DUMMYFUNCTION("""COMPUTED_VALUE"""),0.056736111111111105)</f>
        <v>0.05673611111</v>
      </c>
      <c r="O221" s="9">
        <f>IFERROR(__xludf.DUMMYFUNCTION("""COMPUTED_VALUE"""),1130.1833333333332)</f>
        <v>1130.183333</v>
      </c>
      <c r="P221" s="1" t="str">
        <f>IFERROR(__xludf.DUMMYFUNCTION("""COMPUTED_VALUE"""),"VLG")</f>
        <v>VLG</v>
      </c>
      <c r="Q221" s="1" t="str">
        <f>IFERROR(__xludf.DUMMYFUNCTION("""COMPUTED_VALUE"""),"NO ECAC")</f>
        <v>NO ECAC</v>
      </c>
    </row>
    <row r="222">
      <c r="A222" s="1" t="str">
        <f>IFERROR(__xludf.DUMMYFUNCTION("""COMPUTED_VALUE"""),"RYR64VP")</f>
        <v>RYR64VP</v>
      </c>
      <c r="B222" s="1" t="str">
        <f>IFERROR(__xludf.DUMMYFUNCTION("""COMPUTED_VALUE"""),"B738")</f>
        <v>B738</v>
      </c>
      <c r="C222" s="1" t="str">
        <f>IFERROR(__xludf.DUMMYFUNCTION("""COMPUTED_VALUE"""),"LPPR")</f>
        <v>LPPR</v>
      </c>
      <c r="D222" s="1" t="str">
        <f>IFERROR(__xludf.DUMMYFUNCTION("""COMPUTED_VALUE"""),"LEBL")</f>
        <v>LEBL</v>
      </c>
      <c r="E222" s="1" t="str">
        <f>IFERROR(__xludf.DUMMYFUNCTION("""COMPUTED_VALUE"""),"EIEVT")</f>
        <v>EIEVT</v>
      </c>
      <c r="F222" s="1">
        <f>IFERROR(__xludf.DUMMYFUNCTION("""COMPUTED_VALUE"""),320.0)</f>
        <v>320</v>
      </c>
      <c r="G222" s="7">
        <f>IFERROR(__xludf.DUMMYFUNCTION("""COMPUTED_VALUE"""),0.4340277777777778)</f>
        <v>0.4340277778</v>
      </c>
      <c r="H222" s="1">
        <f>IFERROR(__xludf.DUMMYFUNCTION("""COMPUTED_VALUE"""),15.0)</f>
        <v>15</v>
      </c>
      <c r="I222" s="7">
        <f>IFERROR(__xludf.DUMMYFUNCTION("""COMPUTED_VALUE"""),0.5)</f>
        <v>0.5</v>
      </c>
      <c r="J222" s="1" t="str">
        <f>IFERROR(__xludf.DUMMYFUNCTION("""COMPUTED_VALUE"""),"D")</f>
        <v>D</v>
      </c>
      <c r="K222" s="1">
        <f>IFERROR(__xludf.DUMMYFUNCTION("""COMPUTED_VALUE"""),184.0)</f>
        <v>184</v>
      </c>
      <c r="L222" s="7">
        <f>IFERROR(__xludf.DUMMYFUNCTION("""COMPUTED_VALUE"""),0.06597222222222221)</f>
        <v>0.06597222222</v>
      </c>
      <c r="M222" s="7">
        <f>IFERROR(__xludf.DUMMYFUNCTION("""COMPUTED_VALUE"""),0.04284722222222221)</f>
        <v>0.04284722222</v>
      </c>
      <c r="O222" s="9">
        <f>IFERROR(__xludf.DUMMYFUNCTION("""COMPUTED_VALUE"""),853.5166666666664)</f>
        <v>853.5166667</v>
      </c>
      <c r="P222" s="1" t="str">
        <f>IFERROR(__xludf.DUMMYFUNCTION("""COMPUTED_VALUE"""),"RYR")</f>
        <v>RYR</v>
      </c>
      <c r="Q222" s="1" t="str">
        <f>IFERROR(__xludf.DUMMYFUNCTION("""COMPUTED_VALUE"""),"ECAC")</f>
        <v>ECAC</v>
      </c>
    </row>
    <row r="223">
      <c r="A223" s="1" t="str">
        <f>IFERROR(__xludf.DUMMYFUNCTION("""COMPUTED_VALUE"""),"MAC375P")</f>
        <v>MAC375P</v>
      </c>
      <c r="B223" s="1" t="str">
        <f>IFERROR(__xludf.DUMMYFUNCTION("""COMPUTED_VALUE"""),"A320")</f>
        <v>A320</v>
      </c>
      <c r="C223" s="1" t="str">
        <f>IFERROR(__xludf.DUMMYFUNCTION("""COMPUTED_VALUE"""),"GMMW")</f>
        <v>GMMW</v>
      </c>
      <c r="D223" s="1" t="str">
        <f>IFERROR(__xludf.DUMMYFUNCTION("""COMPUTED_VALUE"""),"LEBL")</f>
        <v>LEBL</v>
      </c>
      <c r="E223" s="1" t="str">
        <f>IFERROR(__xludf.DUMMYFUNCTION("""COMPUTED_VALUE"""),"CNNML")</f>
        <v>CNNML</v>
      </c>
      <c r="F223" s="1">
        <f>IFERROR(__xludf.DUMMYFUNCTION("""COMPUTED_VALUE"""),380.0)</f>
        <v>380</v>
      </c>
      <c r="G223" s="7">
        <f>IFERROR(__xludf.DUMMYFUNCTION("""COMPUTED_VALUE"""),0.44305555555555554)</f>
        <v>0.4430555556</v>
      </c>
      <c r="H223" s="1">
        <f>IFERROR(__xludf.DUMMYFUNCTION("""COMPUTED_VALUE"""),10.0)</f>
        <v>10</v>
      </c>
      <c r="I223" s="7">
        <f>IFERROR(__xludf.DUMMYFUNCTION("""COMPUTED_VALUE"""),0.5)</f>
        <v>0.5</v>
      </c>
      <c r="J223" s="1" t="str">
        <f>IFERROR(__xludf.DUMMYFUNCTION("""COMPUTED_VALUE"""),"D")</f>
        <v>D</v>
      </c>
      <c r="K223" s="1">
        <f>IFERROR(__xludf.DUMMYFUNCTION("""COMPUTED_VALUE"""),173.0)</f>
        <v>173</v>
      </c>
      <c r="L223" s="7">
        <f>IFERROR(__xludf.DUMMYFUNCTION("""COMPUTED_VALUE"""),0.056944444444444464)</f>
        <v>0.05694444444</v>
      </c>
      <c r="M223" s="7">
        <f>IFERROR(__xludf.DUMMYFUNCTION("""COMPUTED_VALUE"""),0.03729166666666668)</f>
        <v>0.03729166667</v>
      </c>
      <c r="O223" s="9">
        <f>IFERROR(__xludf.DUMMYFUNCTION("""COMPUTED_VALUE"""),742.8500000000003)</f>
        <v>742.85</v>
      </c>
      <c r="P223" s="1" t="str">
        <f>IFERROR(__xludf.DUMMYFUNCTION("""COMPUTED_VALUE"""),"MAC")</f>
        <v>MAC</v>
      </c>
      <c r="Q223" s="1" t="str">
        <f>IFERROR(__xludf.DUMMYFUNCTION("""COMPUTED_VALUE"""),"NO ECAC")</f>
        <v>NO ECAC</v>
      </c>
    </row>
    <row r="224">
      <c r="A224" s="1" t="str">
        <f>IFERROR(__xludf.DUMMYFUNCTION("""COMPUTED_VALUE"""),"BEL9QH")</f>
        <v>BEL9QH</v>
      </c>
      <c r="B224" s="1" t="str">
        <f>IFERROR(__xludf.DUMMYFUNCTION("""COMPUTED_VALUE"""),"A320")</f>
        <v>A320</v>
      </c>
      <c r="C224" s="1" t="str">
        <f>IFERROR(__xludf.DUMMYFUNCTION("""COMPUTED_VALUE"""),"EBBR")</f>
        <v>EBBR</v>
      </c>
      <c r="D224" s="1" t="str">
        <f>IFERROR(__xludf.DUMMYFUNCTION("""COMPUTED_VALUE"""),"LEBL")</f>
        <v>LEBL</v>
      </c>
      <c r="E224" s="1" t="str">
        <f>IFERROR(__xludf.DUMMYFUNCTION("""COMPUTED_VALUE"""),"OOSNK")</f>
        <v>OOSNK</v>
      </c>
      <c r="F224" s="1">
        <f>IFERROR(__xludf.DUMMYFUNCTION("""COMPUTED_VALUE"""),370.0)</f>
        <v>370</v>
      </c>
      <c r="G224" s="7">
        <f>IFERROR(__xludf.DUMMYFUNCTION("""COMPUTED_VALUE"""),0.43819444444444444)</f>
        <v>0.4381944444</v>
      </c>
      <c r="H224" s="1">
        <f>IFERROR(__xludf.DUMMYFUNCTION("""COMPUTED_VALUE"""),10.0)</f>
        <v>10</v>
      </c>
      <c r="I224" s="7">
        <f>IFERROR(__xludf.DUMMYFUNCTION("""COMPUTED_VALUE"""),0.5)</f>
        <v>0.5</v>
      </c>
      <c r="J224" s="1" t="str">
        <f>IFERROR(__xludf.DUMMYFUNCTION("""COMPUTED_VALUE"""),"D")</f>
        <v>D</v>
      </c>
      <c r="K224" s="1">
        <f>IFERROR(__xludf.DUMMYFUNCTION("""COMPUTED_VALUE"""),173.0)</f>
        <v>173</v>
      </c>
      <c r="L224" s="7">
        <f>IFERROR(__xludf.DUMMYFUNCTION("""COMPUTED_VALUE"""),0.06180555555555556)</f>
        <v>0.06180555556</v>
      </c>
      <c r="M224" s="7">
        <f>IFERROR(__xludf.DUMMYFUNCTION("""COMPUTED_VALUE"""),0.042152777777777775)</f>
        <v>0.04215277778</v>
      </c>
      <c r="O224" s="9">
        <f>IFERROR(__xludf.DUMMYFUNCTION("""COMPUTED_VALUE"""),839.6833333333334)</f>
        <v>839.6833333</v>
      </c>
      <c r="P224" s="1" t="str">
        <f>IFERROR(__xludf.DUMMYFUNCTION("""COMPUTED_VALUE"""),"BEL")</f>
        <v>BEL</v>
      </c>
      <c r="Q224" s="1" t="str">
        <f>IFERROR(__xludf.DUMMYFUNCTION("""COMPUTED_VALUE"""),"ECAC")</f>
        <v>ECAC</v>
      </c>
    </row>
    <row r="225">
      <c r="A225" s="1" t="str">
        <f>IFERROR(__xludf.DUMMYFUNCTION("""COMPUTED_VALUE"""),"VLG9EK")</f>
        <v>VLG9EK</v>
      </c>
      <c r="B225" s="1" t="str">
        <f>IFERROR(__xludf.DUMMYFUNCTION("""COMPUTED_VALUE"""),"A321")</f>
        <v>A321</v>
      </c>
      <c r="C225" s="1" t="str">
        <f>IFERROR(__xludf.DUMMYFUNCTION("""COMPUTED_VALUE"""),"GCRR")</f>
        <v>GCRR</v>
      </c>
      <c r="D225" s="1" t="str">
        <f>IFERROR(__xludf.DUMMYFUNCTION("""COMPUTED_VALUE"""),"LEBL")</f>
        <v>LEBL</v>
      </c>
      <c r="E225" s="1" t="str">
        <f>IFERROR(__xludf.DUMMYFUNCTION("""COMPUTED_VALUE"""),"ECMMH")</f>
        <v>ECMMH</v>
      </c>
      <c r="F225" s="1">
        <f>IFERROR(__xludf.DUMMYFUNCTION("""COMPUTED_VALUE"""),360.0)</f>
        <v>360</v>
      </c>
      <c r="G225" s="7">
        <f>IFERROR(__xludf.DUMMYFUNCTION("""COMPUTED_VALUE"""),0.4013888888888889)</f>
        <v>0.4013888889</v>
      </c>
      <c r="H225" s="1">
        <f>IFERROR(__xludf.DUMMYFUNCTION("""COMPUTED_VALUE"""),10.0)</f>
        <v>10</v>
      </c>
      <c r="I225" s="7">
        <f>IFERROR(__xludf.DUMMYFUNCTION("""COMPUTED_VALUE"""),0.5)</f>
        <v>0.5</v>
      </c>
      <c r="J225" s="1" t="str">
        <f>IFERROR(__xludf.DUMMYFUNCTION("""COMPUTED_VALUE"""),"D")</f>
        <v>D</v>
      </c>
      <c r="K225" s="1">
        <f>IFERROR(__xludf.DUMMYFUNCTION("""COMPUTED_VALUE"""),207.0)</f>
        <v>207</v>
      </c>
      <c r="L225" s="7">
        <f>IFERROR(__xludf.DUMMYFUNCTION("""COMPUTED_VALUE"""),0.0986111111111111)</f>
        <v>0.09861111111</v>
      </c>
      <c r="M225" s="7">
        <f>IFERROR(__xludf.DUMMYFUNCTION("""COMPUTED_VALUE"""),0.07895833333333331)</f>
        <v>0.07895833333</v>
      </c>
      <c r="O225" s="9">
        <f>IFERROR(__xludf.DUMMYFUNCTION("""COMPUTED_VALUE"""),1572.8499999999997)</f>
        <v>1572.85</v>
      </c>
      <c r="P225" s="1" t="str">
        <f>IFERROR(__xludf.DUMMYFUNCTION("""COMPUTED_VALUE"""),"VLG")</f>
        <v>VLG</v>
      </c>
      <c r="Q225" s="1" t="str">
        <f>IFERROR(__xludf.DUMMYFUNCTION("""COMPUTED_VALUE"""),"ECAC")</f>
        <v>ECAC</v>
      </c>
    </row>
    <row r="226">
      <c r="A226" s="1" t="str">
        <f>IFERROR(__xludf.DUMMYFUNCTION("""COMPUTED_VALUE"""),"VLG84YN")</f>
        <v>VLG84YN</v>
      </c>
      <c r="B226" s="1" t="str">
        <f>IFERROR(__xludf.DUMMYFUNCTION("""COMPUTED_VALUE"""),"A321")</f>
        <v>A321</v>
      </c>
      <c r="C226" s="1" t="str">
        <f>IFERROR(__xludf.DUMMYFUNCTION("""COMPUTED_VALUE"""),"LFPO")</f>
        <v>LFPO</v>
      </c>
      <c r="D226" s="1" t="str">
        <f>IFERROR(__xludf.DUMMYFUNCTION("""COMPUTED_VALUE"""),"LEBL")</f>
        <v>LEBL</v>
      </c>
      <c r="E226" s="1" t="str">
        <f>IFERROR(__xludf.DUMMYFUNCTION("""COMPUTED_VALUE"""),"ECMQB")</f>
        <v>ECMQB</v>
      </c>
      <c r="F226" s="1">
        <f>IFERROR(__xludf.DUMMYFUNCTION("""COMPUTED_VALUE"""),330.0)</f>
        <v>330</v>
      </c>
      <c r="G226" s="7">
        <f>IFERROR(__xludf.DUMMYFUNCTION("""COMPUTED_VALUE"""),0.44722222222222224)</f>
        <v>0.4472222222</v>
      </c>
      <c r="H226" s="1">
        <f>IFERROR(__xludf.DUMMYFUNCTION("""COMPUTED_VALUE"""),8.0)</f>
        <v>8</v>
      </c>
      <c r="I226" s="7">
        <f>IFERROR(__xludf.DUMMYFUNCTION("""COMPUTED_VALUE"""),0.5034722222222222)</f>
        <v>0.5034722222</v>
      </c>
      <c r="J226" s="1" t="str">
        <f>IFERROR(__xludf.DUMMYFUNCTION("""COMPUTED_VALUE"""),"D")</f>
        <v>D</v>
      </c>
      <c r="K226" s="1">
        <f>IFERROR(__xludf.DUMMYFUNCTION("""COMPUTED_VALUE"""),207.0)</f>
        <v>207</v>
      </c>
      <c r="L226" s="7">
        <f>IFERROR(__xludf.DUMMYFUNCTION("""COMPUTED_VALUE"""),0.05624999999999997)</f>
        <v>0.05625</v>
      </c>
      <c r="M226" s="7">
        <f>IFERROR(__xludf.DUMMYFUNCTION("""COMPUTED_VALUE"""),0.037986111111111075)</f>
        <v>0.03798611111</v>
      </c>
      <c r="O226" s="9">
        <f>IFERROR(__xludf.DUMMYFUNCTION("""COMPUTED_VALUE"""),756.6833333333326)</f>
        <v>756.6833333</v>
      </c>
      <c r="P226" s="1" t="str">
        <f>IFERROR(__xludf.DUMMYFUNCTION("""COMPUTED_VALUE"""),"VLG")</f>
        <v>VLG</v>
      </c>
      <c r="Q226" s="1" t="str">
        <f>IFERROR(__xludf.DUMMYFUNCTION("""COMPUTED_VALUE"""),"ECAC")</f>
        <v>ECAC</v>
      </c>
    </row>
    <row r="227">
      <c r="A227" s="1" t="str">
        <f>IFERROR(__xludf.DUMMYFUNCTION("""COMPUTED_VALUE"""),"RYR33UV")</f>
        <v>RYR33UV</v>
      </c>
      <c r="B227" s="1" t="str">
        <f>IFERROR(__xludf.DUMMYFUNCTION("""COMPUTED_VALUE"""),"B738")</f>
        <v>B738</v>
      </c>
      <c r="C227" s="1" t="str">
        <f>IFERROR(__xludf.DUMMYFUNCTION("""COMPUTED_VALUE"""),"LPPR")</f>
        <v>LPPR</v>
      </c>
      <c r="D227" s="1" t="str">
        <f>IFERROR(__xludf.DUMMYFUNCTION("""COMPUTED_VALUE"""),"LEBL")</f>
        <v>LEBL</v>
      </c>
      <c r="E227" s="1" t="str">
        <f>IFERROR(__xludf.DUMMYFUNCTION("""COMPUTED_VALUE"""),"EIDCW")</f>
        <v>EIDCW</v>
      </c>
      <c r="F227" s="1">
        <f>IFERROR(__xludf.DUMMYFUNCTION("""COMPUTED_VALUE"""),320.0)</f>
        <v>320</v>
      </c>
      <c r="G227" s="7">
        <f>IFERROR(__xludf.DUMMYFUNCTION("""COMPUTED_VALUE"""),0.4375)</f>
        <v>0.4375</v>
      </c>
      <c r="H227" s="1">
        <f>IFERROR(__xludf.DUMMYFUNCTION("""COMPUTED_VALUE"""),15.0)</f>
        <v>15</v>
      </c>
      <c r="I227" s="7">
        <f>IFERROR(__xludf.DUMMYFUNCTION("""COMPUTED_VALUE"""),0.5034722222222222)</f>
        <v>0.5034722222</v>
      </c>
      <c r="J227" s="1" t="str">
        <f>IFERROR(__xludf.DUMMYFUNCTION("""COMPUTED_VALUE"""),"D")</f>
        <v>D</v>
      </c>
      <c r="K227" s="1">
        <f>IFERROR(__xludf.DUMMYFUNCTION("""COMPUTED_VALUE"""),184.0)</f>
        <v>184</v>
      </c>
      <c r="L227" s="7">
        <f>IFERROR(__xludf.DUMMYFUNCTION("""COMPUTED_VALUE"""),0.06597222222222221)</f>
        <v>0.06597222222</v>
      </c>
      <c r="M227" s="7">
        <f>IFERROR(__xludf.DUMMYFUNCTION("""COMPUTED_VALUE"""),0.04284722222222221)</f>
        <v>0.04284722222</v>
      </c>
      <c r="O227" s="9">
        <f>IFERROR(__xludf.DUMMYFUNCTION("""COMPUTED_VALUE"""),853.5166666666664)</f>
        <v>853.5166667</v>
      </c>
      <c r="P227" s="1" t="str">
        <f>IFERROR(__xludf.DUMMYFUNCTION("""COMPUTED_VALUE"""),"RYR")</f>
        <v>RYR</v>
      </c>
      <c r="Q227" s="1" t="str">
        <f>IFERROR(__xludf.DUMMYFUNCTION("""COMPUTED_VALUE"""),"ECAC")</f>
        <v>ECAC</v>
      </c>
    </row>
    <row r="228">
      <c r="A228" s="1" t="str">
        <f>IFERROR(__xludf.DUMMYFUNCTION("""COMPUTED_VALUE"""),"EJU91VG")</f>
        <v>EJU91VG</v>
      </c>
      <c r="B228" s="1" t="str">
        <f>IFERROR(__xludf.DUMMYFUNCTION("""COMPUTED_VALUE"""),"A319")</f>
        <v>A319</v>
      </c>
      <c r="C228" s="1" t="str">
        <f>IFERROR(__xludf.DUMMYFUNCTION("""COMPUTED_VALUE"""),"LSGG")</f>
        <v>LSGG</v>
      </c>
      <c r="D228" s="1" t="str">
        <f>IFERROR(__xludf.DUMMYFUNCTION("""COMPUTED_VALUE"""),"LEBL")</f>
        <v>LEBL</v>
      </c>
      <c r="E228" s="1" t="str">
        <f>IFERROR(__xludf.DUMMYFUNCTION("""COMPUTED_VALUE"""),"OELVG")</f>
        <v>OELVG</v>
      </c>
      <c r="F228" s="1">
        <f>IFERROR(__xludf.DUMMYFUNCTION("""COMPUTED_VALUE"""),290.0)</f>
        <v>290</v>
      </c>
      <c r="G228" s="7">
        <f>IFERROR(__xludf.DUMMYFUNCTION("""COMPUTED_VALUE"""),0.4618055555555556)</f>
        <v>0.4618055556</v>
      </c>
      <c r="H228" s="1">
        <f>IFERROR(__xludf.DUMMYFUNCTION("""COMPUTED_VALUE"""),10.0)</f>
        <v>10</v>
      </c>
      <c r="I228" s="7">
        <f>IFERROR(__xludf.DUMMYFUNCTION("""COMPUTED_VALUE"""),0.5034722222222222)</f>
        <v>0.5034722222</v>
      </c>
      <c r="J228" s="1" t="str">
        <f>IFERROR(__xludf.DUMMYFUNCTION("""COMPUTED_VALUE"""),"D")</f>
        <v>D</v>
      </c>
      <c r="K228" s="1">
        <f>IFERROR(__xludf.DUMMYFUNCTION("""COMPUTED_VALUE"""),144.0)</f>
        <v>144</v>
      </c>
      <c r="L228" s="7">
        <f>IFERROR(__xludf.DUMMYFUNCTION("""COMPUTED_VALUE"""),0.04166666666666663)</f>
        <v>0.04166666667</v>
      </c>
      <c r="M228" s="7">
        <f>IFERROR(__xludf.DUMMYFUNCTION("""COMPUTED_VALUE"""),0.02201388888888885)</f>
        <v>0.02201388889</v>
      </c>
      <c r="O228" s="9">
        <f>IFERROR(__xludf.DUMMYFUNCTION("""COMPUTED_VALUE"""),438.5166666666659)</f>
        <v>438.5166667</v>
      </c>
      <c r="P228" s="1" t="str">
        <f>IFERROR(__xludf.DUMMYFUNCTION("""COMPUTED_VALUE"""),"EJU")</f>
        <v>EJU</v>
      </c>
      <c r="Q228" s="1" t="str">
        <f>IFERROR(__xludf.DUMMYFUNCTION("""COMPUTED_VALUE"""),"ECAC")</f>
        <v>ECAC</v>
      </c>
    </row>
    <row r="229">
      <c r="A229" s="1" t="str">
        <f>IFERROR(__xludf.DUMMYFUNCTION("""COMPUTED_VALUE"""),"IBE04BV")</f>
        <v>IBE04BV</v>
      </c>
      <c r="B229" s="1" t="str">
        <f>IFERROR(__xludf.DUMMYFUNCTION("""COMPUTED_VALUE"""),"A321")</f>
        <v>A321</v>
      </c>
      <c r="C229" s="1" t="str">
        <f>IFERROR(__xludf.DUMMYFUNCTION("""COMPUTED_VALUE"""),"LEMD")</f>
        <v>LEMD</v>
      </c>
      <c r="D229" s="1" t="str">
        <f>IFERROR(__xludf.DUMMYFUNCTION("""COMPUTED_VALUE"""),"LEBL")</f>
        <v>LEBL</v>
      </c>
      <c r="E229" s="1" t="str">
        <f>IFERROR(__xludf.DUMMYFUNCTION("""COMPUTED_VALUE"""),"ECJDR")</f>
        <v>ECJDR</v>
      </c>
      <c r="F229" s="1">
        <f>IFERROR(__xludf.DUMMYFUNCTION("""COMPUTED_VALUE"""),280.0)</f>
        <v>280</v>
      </c>
      <c r="G229" s="7">
        <f>IFERROR(__xludf.DUMMYFUNCTION("""COMPUTED_VALUE"""),0.46597222222222223)</f>
        <v>0.4659722222</v>
      </c>
      <c r="H229" s="1">
        <f>IFERROR(__xludf.DUMMYFUNCTION("""COMPUTED_VALUE"""),16.0)</f>
        <v>16</v>
      </c>
      <c r="I229" s="7">
        <f>IFERROR(__xludf.DUMMYFUNCTION("""COMPUTED_VALUE"""),0.5069444444444444)</f>
        <v>0.5069444444</v>
      </c>
      <c r="J229" s="1" t="str">
        <f>IFERROR(__xludf.DUMMYFUNCTION("""COMPUTED_VALUE"""),"D")</f>
        <v>D</v>
      </c>
      <c r="K229" s="1">
        <f>IFERROR(__xludf.DUMMYFUNCTION("""COMPUTED_VALUE"""),207.0)</f>
        <v>207</v>
      </c>
      <c r="L229" s="7">
        <f>IFERROR(__xludf.DUMMYFUNCTION("""COMPUTED_VALUE"""),0.04097222222222219)</f>
        <v>0.04097222222</v>
      </c>
      <c r="M229" s="7">
        <f>IFERROR(__xludf.DUMMYFUNCTION("""COMPUTED_VALUE"""),0.01715277777777774)</f>
        <v>0.01715277778</v>
      </c>
      <c r="O229" s="9">
        <f>IFERROR(__xludf.DUMMYFUNCTION("""COMPUTED_VALUE"""),341.68333333333254)</f>
        <v>341.6833333</v>
      </c>
      <c r="P229" s="1" t="str">
        <f>IFERROR(__xludf.DUMMYFUNCTION("""COMPUTED_VALUE"""),"IBE")</f>
        <v>IBE</v>
      </c>
      <c r="Q229" s="1" t="str">
        <f>IFERROR(__xludf.DUMMYFUNCTION("""COMPUTED_VALUE"""),"ECAC")</f>
        <v>ECAC</v>
      </c>
    </row>
    <row r="230">
      <c r="A230" s="1" t="str">
        <f>IFERROR(__xludf.DUMMYFUNCTION("""COMPUTED_VALUE"""),"RYR36EW")</f>
        <v>RYR36EW</v>
      </c>
      <c r="B230" s="1" t="str">
        <f>IFERROR(__xludf.DUMMYFUNCTION("""COMPUTED_VALUE"""),"B738")</f>
        <v>B738</v>
      </c>
      <c r="C230" s="1" t="str">
        <f>IFERROR(__xludf.DUMMYFUNCTION("""COMPUTED_VALUE"""),"LEPA")</f>
        <v>LEPA</v>
      </c>
      <c r="D230" s="1" t="str">
        <f>IFERROR(__xludf.DUMMYFUNCTION("""COMPUTED_VALUE"""),"LEBL")</f>
        <v>LEBL</v>
      </c>
      <c r="E230" s="1" t="str">
        <f>IFERROR(__xludf.DUMMYFUNCTION("""COMPUTED_VALUE"""),"9HQFK")</f>
        <v>9HQFK</v>
      </c>
      <c r="F230" s="1">
        <f>IFERROR(__xludf.DUMMYFUNCTION("""COMPUTED_VALUE"""),180.0)</f>
        <v>180</v>
      </c>
      <c r="G230" s="7">
        <f>IFERROR(__xludf.DUMMYFUNCTION("""COMPUTED_VALUE"""),0.4840277777777778)</f>
        <v>0.4840277778</v>
      </c>
      <c r="H230" s="1">
        <f>IFERROR(__xludf.DUMMYFUNCTION("""COMPUTED_VALUE"""),17.0)</f>
        <v>17</v>
      </c>
      <c r="I230" s="7">
        <f>IFERROR(__xludf.DUMMYFUNCTION("""COMPUTED_VALUE"""),0.5069444444444444)</f>
        <v>0.5069444444</v>
      </c>
      <c r="J230" s="1" t="str">
        <f>IFERROR(__xludf.DUMMYFUNCTION("""COMPUTED_VALUE"""),"D")</f>
        <v>D</v>
      </c>
      <c r="K230" s="1">
        <f>IFERROR(__xludf.DUMMYFUNCTION("""COMPUTED_VALUE"""),184.0)</f>
        <v>184</v>
      </c>
      <c r="L230" s="7">
        <f>IFERROR(__xludf.DUMMYFUNCTION("""COMPUTED_VALUE"""),0.02291666666666664)</f>
        <v>0.02291666667</v>
      </c>
      <c r="M230" s="7">
        <f>IFERROR(__xludf.DUMMYFUNCTION("""COMPUTED_VALUE"""),0.011111111111111086)</f>
        <v>0.01111111111</v>
      </c>
      <c r="O230" s="9">
        <f>IFERROR(__xludf.DUMMYFUNCTION("""COMPUTED_VALUE"""),221.33333333333283)</f>
        <v>221.3333333</v>
      </c>
      <c r="P230" s="1" t="str">
        <f>IFERROR(__xludf.DUMMYFUNCTION("""COMPUTED_VALUE"""),"RYR")</f>
        <v>RYR</v>
      </c>
      <c r="Q230" s="1" t="str">
        <f>IFERROR(__xludf.DUMMYFUNCTION("""COMPUTED_VALUE"""),"ECAC")</f>
        <v>ECAC</v>
      </c>
    </row>
    <row r="231">
      <c r="A231" s="1" t="str">
        <f>IFERROR(__xludf.DUMMYFUNCTION("""COMPUTED_VALUE"""),"RYR37AR")</f>
        <v>RYR37AR</v>
      </c>
      <c r="B231" s="1" t="str">
        <f>IFERROR(__xludf.DUMMYFUNCTION("""COMPUTED_VALUE"""),"B738")</f>
        <v>B738</v>
      </c>
      <c r="C231" s="1" t="str">
        <f>IFERROR(__xludf.DUMMYFUNCTION("""COMPUTED_VALUE"""),"LEAL")</f>
        <v>LEAL</v>
      </c>
      <c r="D231" s="1" t="str">
        <f>IFERROR(__xludf.DUMMYFUNCTION("""COMPUTED_VALUE"""),"LEBL")</f>
        <v>LEBL</v>
      </c>
      <c r="E231" s="1" t="str">
        <f>IFERROR(__xludf.DUMMYFUNCTION("""COMPUTED_VALUE"""),"EIDLD")</f>
        <v>EIDLD</v>
      </c>
      <c r="F231" s="1">
        <f>IFERROR(__xludf.DUMMYFUNCTION("""COMPUTED_VALUE"""),260.0)</f>
        <v>260</v>
      </c>
      <c r="G231" s="7">
        <f>IFERROR(__xludf.DUMMYFUNCTION("""COMPUTED_VALUE"""),0.4673611111111111)</f>
        <v>0.4673611111</v>
      </c>
      <c r="H231" s="1">
        <f>IFERROR(__xludf.DUMMYFUNCTION("""COMPUTED_VALUE"""),13.0)</f>
        <v>13</v>
      </c>
      <c r="I231" s="7">
        <f>IFERROR(__xludf.DUMMYFUNCTION("""COMPUTED_VALUE"""),0.5069444444444444)</f>
        <v>0.5069444444</v>
      </c>
      <c r="J231" s="1" t="str">
        <f>IFERROR(__xludf.DUMMYFUNCTION("""COMPUTED_VALUE"""),"D")</f>
        <v>D</v>
      </c>
      <c r="K231" s="1">
        <f>IFERROR(__xludf.DUMMYFUNCTION("""COMPUTED_VALUE"""),184.0)</f>
        <v>184</v>
      </c>
      <c r="L231" s="7">
        <f>IFERROR(__xludf.DUMMYFUNCTION("""COMPUTED_VALUE"""),0.039583333333333304)</f>
        <v>0.03958333333</v>
      </c>
      <c r="M231" s="7">
        <f>IFERROR(__xludf.DUMMYFUNCTION("""COMPUTED_VALUE"""),0.01784722222222219)</f>
        <v>0.01784722222</v>
      </c>
      <c r="O231" s="9">
        <f>IFERROR(__xludf.DUMMYFUNCTION("""COMPUTED_VALUE"""),355.516666666666)</f>
        <v>355.5166667</v>
      </c>
      <c r="P231" s="1" t="str">
        <f>IFERROR(__xludf.DUMMYFUNCTION("""COMPUTED_VALUE"""),"RYR")</f>
        <v>RYR</v>
      </c>
      <c r="Q231" s="1" t="str">
        <f>IFERROR(__xludf.DUMMYFUNCTION("""COMPUTED_VALUE"""),"ECAC")</f>
        <v>ECAC</v>
      </c>
    </row>
    <row r="232">
      <c r="A232" s="1" t="str">
        <f>IFERROR(__xludf.DUMMYFUNCTION("""COMPUTED_VALUE"""),"VLG9UZ")</f>
        <v>VLG9UZ</v>
      </c>
      <c r="B232" s="1" t="str">
        <f>IFERROR(__xludf.DUMMYFUNCTION("""COMPUTED_VALUE"""),"A21N")</f>
        <v>A21N</v>
      </c>
      <c r="C232" s="1" t="str">
        <f>IFERROR(__xludf.DUMMYFUNCTION("""COMPUTED_VALUE"""),"GCLP")</f>
        <v>GCLP</v>
      </c>
      <c r="D232" s="1" t="str">
        <f>IFERROR(__xludf.DUMMYFUNCTION("""COMPUTED_VALUE"""),"LEBL")</f>
        <v>LEBL</v>
      </c>
      <c r="E232" s="1" t="str">
        <f>IFERROR(__xludf.DUMMYFUNCTION("""COMPUTED_VALUE"""),"ECNYF")</f>
        <v>ECNYF</v>
      </c>
      <c r="F232" s="1">
        <f>IFERROR(__xludf.DUMMYFUNCTION("""COMPUTED_VALUE"""),340.0)</f>
        <v>340</v>
      </c>
      <c r="G232" s="7">
        <f>IFERROR(__xludf.DUMMYFUNCTION("""COMPUTED_VALUE"""),0.38680555555555557)</f>
        <v>0.3868055556</v>
      </c>
      <c r="H232" s="1">
        <f>IFERROR(__xludf.DUMMYFUNCTION("""COMPUTED_VALUE"""),14.0)</f>
        <v>14</v>
      </c>
      <c r="I232" s="7">
        <f>IFERROR(__xludf.DUMMYFUNCTION("""COMPUTED_VALUE"""),0.5104166666666666)</f>
        <v>0.5104166667</v>
      </c>
      <c r="J232" s="1" t="str">
        <f>IFERROR(__xludf.DUMMYFUNCTION("""COMPUTED_VALUE"""),"D")</f>
        <v>D</v>
      </c>
      <c r="K232" s="1">
        <f>IFERROR(__xludf.DUMMYFUNCTION("""COMPUTED_VALUE"""),200.0)</f>
        <v>200</v>
      </c>
      <c r="L232" s="7">
        <f>IFERROR(__xludf.DUMMYFUNCTION("""COMPUTED_VALUE"""),0.12361111111111106)</f>
        <v>0.1236111111</v>
      </c>
      <c r="M232" s="7">
        <f>IFERROR(__xludf.DUMMYFUNCTION("""COMPUTED_VALUE"""),0.1011805555555555)</f>
        <v>0.1011805556</v>
      </c>
      <c r="O232" s="9">
        <f>IFERROR(__xludf.DUMMYFUNCTION("""COMPUTED_VALUE"""),2015.5166666666655)</f>
        <v>2015.516667</v>
      </c>
      <c r="P232" s="1" t="str">
        <f>IFERROR(__xludf.DUMMYFUNCTION("""COMPUTED_VALUE"""),"VLG")</f>
        <v>VLG</v>
      </c>
      <c r="Q232" s="1" t="str">
        <f>IFERROR(__xludf.DUMMYFUNCTION("""COMPUTED_VALUE"""),"ECAC")</f>
        <v>ECAC</v>
      </c>
    </row>
    <row r="233">
      <c r="A233" s="1" t="str">
        <f>IFERROR(__xludf.DUMMYFUNCTION("""COMPUTED_VALUE"""),"WMT8097")</f>
        <v>WMT8097</v>
      </c>
      <c r="B233" s="1" t="str">
        <f>IFERROR(__xludf.DUMMYFUNCTION("""COMPUTED_VALUE"""),"A320")</f>
        <v>A320</v>
      </c>
      <c r="C233" s="1" t="str">
        <f>IFERROR(__xludf.DUMMYFUNCTION("""COMPUTED_VALUE"""),"LRCL")</f>
        <v>LRCL</v>
      </c>
      <c r="D233" s="1" t="str">
        <f>IFERROR(__xludf.DUMMYFUNCTION("""COMPUTED_VALUE"""),"LEBL")</f>
        <v>LEBL</v>
      </c>
      <c r="E233" s="1" t="str">
        <f>IFERROR(__xludf.DUMMYFUNCTION("""COMPUTED_VALUE"""),"9HWDA")</f>
        <v>9HWDA</v>
      </c>
      <c r="F233" s="1">
        <f>IFERROR(__xludf.DUMMYFUNCTION("""COMPUTED_VALUE"""),370.0)</f>
        <v>370</v>
      </c>
      <c r="G233" s="7">
        <f>IFERROR(__xludf.DUMMYFUNCTION("""COMPUTED_VALUE"""),0.4027777777777778)</f>
        <v>0.4027777778</v>
      </c>
      <c r="H233" s="1">
        <f>IFERROR(__xludf.DUMMYFUNCTION("""COMPUTED_VALUE"""),10.0)</f>
        <v>10</v>
      </c>
      <c r="I233" s="7">
        <f>IFERROR(__xludf.DUMMYFUNCTION("""COMPUTED_VALUE"""),0.5104166666666666)</f>
        <v>0.5104166667</v>
      </c>
      <c r="J233" s="1" t="str">
        <f>IFERROR(__xludf.DUMMYFUNCTION("""COMPUTED_VALUE"""),"D")</f>
        <v>D</v>
      </c>
      <c r="K233" s="1">
        <f>IFERROR(__xludf.DUMMYFUNCTION("""COMPUTED_VALUE"""),173.0)</f>
        <v>173</v>
      </c>
      <c r="L233" s="7">
        <f>IFERROR(__xludf.DUMMYFUNCTION("""COMPUTED_VALUE"""),0.10763888888888884)</f>
        <v>0.1076388889</v>
      </c>
      <c r="M233" s="7">
        <f>IFERROR(__xludf.DUMMYFUNCTION("""COMPUTED_VALUE"""),0.08798611111111106)</f>
        <v>0.08798611111</v>
      </c>
      <c r="O233" s="9">
        <f>IFERROR(__xludf.DUMMYFUNCTION("""COMPUTED_VALUE"""),1752.6833333333323)</f>
        <v>1752.683333</v>
      </c>
      <c r="P233" s="1" t="str">
        <f>IFERROR(__xludf.DUMMYFUNCTION("""COMPUTED_VALUE"""),"WMT")</f>
        <v>WMT</v>
      </c>
      <c r="Q233" s="1" t="str">
        <f>IFERROR(__xludf.DUMMYFUNCTION("""COMPUTED_VALUE"""),"ECAC")</f>
        <v>ECAC</v>
      </c>
    </row>
    <row r="234">
      <c r="A234" s="1" t="str">
        <f>IFERROR(__xludf.DUMMYFUNCTION("""COMPUTED_VALUE"""),"VLG584F")</f>
        <v>VLG584F</v>
      </c>
      <c r="B234" s="1" t="str">
        <f>IFERROR(__xludf.DUMMYFUNCTION("""COMPUTED_VALUE"""),"A320")</f>
        <v>A320</v>
      </c>
      <c r="C234" s="1" t="str">
        <f>IFERROR(__xludf.DUMMYFUNCTION("""COMPUTED_VALUE"""),"LEMG")</f>
        <v>LEMG</v>
      </c>
      <c r="D234" s="1" t="str">
        <f>IFERROR(__xludf.DUMMYFUNCTION("""COMPUTED_VALUE"""),"LEBL")</f>
        <v>LEBL</v>
      </c>
      <c r="E234" s="1" t="str">
        <f>IFERROR(__xludf.DUMMYFUNCTION("""COMPUTED_VALUE"""),"ECNUO")</f>
        <v>ECNUO</v>
      </c>
      <c r="F234" s="1">
        <f>IFERROR(__xludf.DUMMYFUNCTION("""COMPUTED_VALUE"""),320.0)</f>
        <v>320</v>
      </c>
      <c r="G234" s="7">
        <f>IFERROR(__xludf.DUMMYFUNCTION("""COMPUTED_VALUE"""),0.4638888888888889)</f>
        <v>0.4638888889</v>
      </c>
      <c r="H234" s="1">
        <f>IFERROR(__xludf.DUMMYFUNCTION("""COMPUTED_VALUE"""),11.0)</f>
        <v>11</v>
      </c>
      <c r="I234" s="7">
        <f>IFERROR(__xludf.DUMMYFUNCTION("""COMPUTED_VALUE"""),0.5138888888888888)</f>
        <v>0.5138888889</v>
      </c>
      <c r="J234" s="1" t="str">
        <f>IFERROR(__xludf.DUMMYFUNCTION("""COMPUTED_VALUE"""),"D")</f>
        <v>D</v>
      </c>
      <c r="K234" s="1">
        <f>IFERROR(__xludf.DUMMYFUNCTION("""COMPUTED_VALUE"""),173.0)</f>
        <v>173</v>
      </c>
      <c r="L234" s="7">
        <f>IFERROR(__xludf.DUMMYFUNCTION("""COMPUTED_VALUE"""),0.04999999999999993)</f>
        <v>0.05</v>
      </c>
      <c r="M234" s="7">
        <f>IFERROR(__xludf.DUMMYFUNCTION("""COMPUTED_VALUE"""),0.02965277777777771)</f>
        <v>0.02965277778</v>
      </c>
      <c r="O234" s="9">
        <f>IFERROR(__xludf.DUMMYFUNCTION("""COMPUTED_VALUE"""),590.6833333333319)</f>
        <v>590.6833333</v>
      </c>
      <c r="P234" s="1" t="str">
        <f>IFERROR(__xludf.DUMMYFUNCTION("""COMPUTED_VALUE"""),"VLG")</f>
        <v>VLG</v>
      </c>
      <c r="Q234" s="1" t="str">
        <f>IFERROR(__xludf.DUMMYFUNCTION("""COMPUTED_VALUE"""),"ECAC")</f>
        <v>ECAC</v>
      </c>
    </row>
    <row r="235">
      <c r="A235" s="1" t="str">
        <f>IFERROR(__xludf.DUMMYFUNCTION("""COMPUTED_VALUE"""),"QTR25Q")</f>
        <v>QTR25Q</v>
      </c>
      <c r="B235" s="1" t="str">
        <f>IFERROR(__xludf.DUMMYFUNCTION("""COMPUTED_VALUE"""),"B789")</f>
        <v>B789</v>
      </c>
      <c r="C235" s="1" t="str">
        <f>IFERROR(__xludf.DUMMYFUNCTION("""COMPUTED_VALUE"""),"OTHH")</f>
        <v>OTHH</v>
      </c>
      <c r="D235" s="1" t="str">
        <f>IFERROR(__xludf.DUMMYFUNCTION("""COMPUTED_VALUE"""),"LEBL")</f>
        <v>LEBL</v>
      </c>
      <c r="E235" s="1" t="str">
        <f>IFERROR(__xludf.DUMMYFUNCTION("""COMPUTED_VALUE"""),"A7BHW")</f>
        <v>A7BHW</v>
      </c>
      <c r="F235" s="1">
        <f>IFERROR(__xludf.DUMMYFUNCTION("""COMPUTED_VALUE"""),380.0)</f>
        <v>380</v>
      </c>
      <c r="G235" s="7">
        <f>IFERROR(__xludf.DUMMYFUNCTION("""COMPUTED_VALUE"""),0.2534722222222222)</f>
        <v>0.2534722222</v>
      </c>
      <c r="H235" s="1">
        <f>IFERROR(__xludf.DUMMYFUNCTION("""COMPUTED_VALUE"""),10.0)</f>
        <v>10</v>
      </c>
      <c r="I235" s="7">
        <f>IFERROR(__xludf.DUMMYFUNCTION("""COMPUTED_VALUE"""),0.5173611111111112)</f>
        <v>0.5173611111</v>
      </c>
      <c r="J235" s="1" t="str">
        <f>IFERROR(__xludf.DUMMYFUNCTION("""COMPUTED_VALUE"""),"B")</f>
        <v>B</v>
      </c>
      <c r="K235" s="1">
        <f>IFERROR(__xludf.DUMMYFUNCTION("""COMPUTED_VALUE"""),284.0)</f>
        <v>284</v>
      </c>
      <c r="L235" s="7">
        <f>IFERROR(__xludf.DUMMYFUNCTION("""COMPUTED_VALUE"""),0.26388888888888895)</f>
        <v>0.2638888889</v>
      </c>
      <c r="M235" s="7">
        <f>IFERROR(__xludf.DUMMYFUNCTION("""COMPUTED_VALUE"""),0.24423611111111118)</f>
        <v>0.2442361111</v>
      </c>
      <c r="O235" s="9">
        <f>IFERROR(__xludf.DUMMYFUNCTION("""COMPUTED_VALUE"""),5275.500000000001)</f>
        <v>5275.5</v>
      </c>
      <c r="P235" s="1" t="str">
        <f>IFERROR(__xludf.DUMMYFUNCTION("""COMPUTED_VALUE"""),"QTR")</f>
        <v>QTR</v>
      </c>
      <c r="Q235" s="1" t="str">
        <f>IFERROR(__xludf.DUMMYFUNCTION("""COMPUTED_VALUE"""),"NO ECAC")</f>
        <v>NO ECAC</v>
      </c>
    </row>
    <row r="236">
      <c r="A236" s="1" t="str">
        <f>IFERROR(__xludf.DUMMYFUNCTION("""COMPUTED_VALUE"""),"VLG93TY")</f>
        <v>VLG93TY</v>
      </c>
      <c r="B236" s="1" t="str">
        <f>IFERROR(__xludf.DUMMYFUNCTION("""COMPUTED_VALUE"""),"A321")</f>
        <v>A321</v>
      </c>
      <c r="C236" s="1" t="str">
        <f>IFERROR(__xludf.DUMMYFUNCTION("""COMPUTED_VALUE"""),"LIRF")</f>
        <v>LIRF</v>
      </c>
      <c r="D236" s="1" t="str">
        <f>IFERROR(__xludf.DUMMYFUNCTION("""COMPUTED_VALUE"""),"LEBL")</f>
        <v>LEBL</v>
      </c>
      <c r="E236" s="1" t="str">
        <f>IFERROR(__xludf.DUMMYFUNCTION("""COMPUTED_VALUE"""),"ECMLD")</f>
        <v>ECMLD</v>
      </c>
      <c r="F236" s="1">
        <f>IFERROR(__xludf.DUMMYFUNCTION("""COMPUTED_VALUE"""),341.0)</f>
        <v>341</v>
      </c>
      <c r="G236" s="7">
        <f>IFERROR(__xludf.DUMMYFUNCTION("""COMPUTED_VALUE"""),0.46041666666666664)</f>
        <v>0.4604166667</v>
      </c>
      <c r="H236" s="1">
        <f>IFERROR(__xludf.DUMMYFUNCTION("""COMPUTED_VALUE"""),15.0)</f>
        <v>15</v>
      </c>
      <c r="I236" s="7">
        <f>IFERROR(__xludf.DUMMYFUNCTION("""COMPUTED_VALUE"""),0.5173611111111112)</f>
        <v>0.5173611111</v>
      </c>
      <c r="J236" s="1" t="str">
        <f>IFERROR(__xludf.DUMMYFUNCTION("""COMPUTED_VALUE"""),"D")</f>
        <v>D</v>
      </c>
      <c r="K236" s="1">
        <f>IFERROR(__xludf.DUMMYFUNCTION("""COMPUTED_VALUE"""),207.0)</f>
        <v>207</v>
      </c>
      <c r="L236" s="7">
        <f>IFERROR(__xludf.DUMMYFUNCTION("""COMPUTED_VALUE"""),0.05694444444444452)</f>
        <v>0.05694444444</v>
      </c>
      <c r="M236" s="7">
        <f>IFERROR(__xludf.DUMMYFUNCTION("""COMPUTED_VALUE"""),0.03381944444444452)</f>
        <v>0.03381944444</v>
      </c>
      <c r="O236" s="9">
        <f>IFERROR(__xludf.DUMMYFUNCTION("""COMPUTED_VALUE"""),673.6833333333349)</f>
        <v>673.6833333</v>
      </c>
      <c r="P236" s="1" t="str">
        <f>IFERROR(__xludf.DUMMYFUNCTION("""COMPUTED_VALUE"""),"VLG")</f>
        <v>VLG</v>
      </c>
      <c r="Q236" s="1" t="str">
        <f>IFERROR(__xludf.DUMMYFUNCTION("""COMPUTED_VALUE"""),"ECAC")</f>
        <v>ECAC</v>
      </c>
    </row>
    <row r="237">
      <c r="A237" s="1" t="str">
        <f>IFERROR(__xludf.DUMMYFUNCTION("""COMPUTED_VALUE"""),"RAM964Y")</f>
        <v>RAM964Y</v>
      </c>
      <c r="B237" s="1" t="str">
        <f>IFERROR(__xludf.DUMMYFUNCTION("""COMPUTED_VALUE"""),"B738")</f>
        <v>B738</v>
      </c>
      <c r="C237" s="1" t="str">
        <f>IFERROR(__xludf.DUMMYFUNCTION("""COMPUTED_VALUE"""),"GMMN")</f>
        <v>GMMN</v>
      </c>
      <c r="D237" s="1" t="str">
        <f>IFERROR(__xludf.DUMMYFUNCTION("""COMPUTED_VALUE"""),"LEBL")</f>
        <v>LEBL</v>
      </c>
      <c r="E237" s="1" t="str">
        <f>IFERROR(__xludf.DUMMYFUNCTION("""COMPUTED_VALUE"""),"CNRGW")</f>
        <v>CNRGW</v>
      </c>
      <c r="F237" s="1">
        <f>IFERROR(__xludf.DUMMYFUNCTION("""COMPUTED_VALUE"""),380.0)</f>
        <v>380</v>
      </c>
      <c r="G237" s="7">
        <f>IFERROR(__xludf.DUMMYFUNCTION("""COMPUTED_VALUE"""),0.4375)</f>
        <v>0.4375</v>
      </c>
      <c r="H237" s="1">
        <f>IFERROR(__xludf.DUMMYFUNCTION("""COMPUTED_VALUE"""),16.0)</f>
        <v>16</v>
      </c>
      <c r="I237" s="7">
        <f>IFERROR(__xludf.DUMMYFUNCTION("""COMPUTED_VALUE"""),0.5173611111111112)</f>
        <v>0.5173611111</v>
      </c>
      <c r="J237" s="1" t="str">
        <f>IFERROR(__xludf.DUMMYFUNCTION("""COMPUTED_VALUE"""),"D")</f>
        <v>D</v>
      </c>
      <c r="K237" s="1">
        <f>IFERROR(__xludf.DUMMYFUNCTION("""COMPUTED_VALUE"""),184.0)</f>
        <v>184</v>
      </c>
      <c r="L237" s="7">
        <f>IFERROR(__xludf.DUMMYFUNCTION("""COMPUTED_VALUE"""),0.07986111111111116)</f>
        <v>0.07986111111</v>
      </c>
      <c r="M237" s="7">
        <f>IFERROR(__xludf.DUMMYFUNCTION("""COMPUTED_VALUE"""),0.05604166666666671)</f>
        <v>0.05604166667</v>
      </c>
      <c r="O237" s="9">
        <f>IFERROR(__xludf.DUMMYFUNCTION("""COMPUTED_VALUE"""),1116.3500000000008)</f>
        <v>1116.35</v>
      </c>
      <c r="P237" s="1" t="str">
        <f>IFERROR(__xludf.DUMMYFUNCTION("""COMPUTED_VALUE"""),"RAM")</f>
        <v>RAM</v>
      </c>
      <c r="Q237" s="1" t="str">
        <f>IFERROR(__xludf.DUMMYFUNCTION("""COMPUTED_VALUE"""),"NO ECAC")</f>
        <v>NO ECAC</v>
      </c>
    </row>
    <row r="238">
      <c r="A238" s="1" t="str">
        <f>IFERROR(__xludf.DUMMYFUNCTION("""COMPUTED_VALUE"""),"RYR895N")</f>
        <v>RYR895N</v>
      </c>
      <c r="B238" s="1" t="str">
        <f>IFERROR(__xludf.DUMMYFUNCTION("""COMPUTED_VALUE"""),"B738")</f>
        <v>B738</v>
      </c>
      <c r="C238" s="1" t="str">
        <f>IFERROR(__xludf.DUMMYFUNCTION("""COMPUTED_VALUE"""),"GMMX")</f>
        <v>GMMX</v>
      </c>
      <c r="D238" s="1" t="str">
        <f>IFERROR(__xludf.DUMMYFUNCTION("""COMPUTED_VALUE"""),"LEBL")</f>
        <v>LEBL</v>
      </c>
      <c r="E238" s="1" t="str">
        <f>IFERROR(__xludf.DUMMYFUNCTION("""COMPUTED_VALUE"""),"EIDCN")</f>
        <v>EIDCN</v>
      </c>
      <c r="F238" s="1">
        <f>IFERROR(__xludf.DUMMYFUNCTION("""COMPUTED_VALUE"""),380.0)</f>
        <v>380</v>
      </c>
      <c r="G238" s="7">
        <f>IFERROR(__xludf.DUMMYFUNCTION("""COMPUTED_VALUE"""),0.44375)</f>
        <v>0.44375</v>
      </c>
      <c r="H238" s="1">
        <f>IFERROR(__xludf.DUMMYFUNCTION("""COMPUTED_VALUE"""),15.0)</f>
        <v>15</v>
      </c>
      <c r="I238" s="7">
        <f>IFERROR(__xludf.DUMMYFUNCTION("""COMPUTED_VALUE"""),0.5173611111111112)</f>
        <v>0.5173611111</v>
      </c>
      <c r="J238" s="1" t="str">
        <f>IFERROR(__xludf.DUMMYFUNCTION("""COMPUTED_VALUE"""),"D")</f>
        <v>D</v>
      </c>
      <c r="K238" s="1">
        <f>IFERROR(__xludf.DUMMYFUNCTION("""COMPUTED_VALUE"""),184.0)</f>
        <v>184</v>
      </c>
      <c r="L238" s="7">
        <f>IFERROR(__xludf.DUMMYFUNCTION("""COMPUTED_VALUE"""),0.07361111111111118)</f>
        <v>0.07361111111</v>
      </c>
      <c r="M238" s="7">
        <f>IFERROR(__xludf.DUMMYFUNCTION("""COMPUTED_VALUE"""),0.05048611111111118)</f>
        <v>0.05048611111</v>
      </c>
      <c r="O238" s="9">
        <f>IFERROR(__xludf.DUMMYFUNCTION("""COMPUTED_VALUE"""),1005.6833333333348)</f>
        <v>1005.683333</v>
      </c>
      <c r="P238" s="1" t="str">
        <f>IFERROR(__xludf.DUMMYFUNCTION("""COMPUTED_VALUE"""),"RYR")</f>
        <v>RYR</v>
      </c>
      <c r="Q238" s="1" t="str">
        <f>IFERROR(__xludf.DUMMYFUNCTION("""COMPUTED_VALUE"""),"NO ECAC")</f>
        <v>NO ECAC</v>
      </c>
    </row>
    <row r="239">
      <c r="A239" s="1" t="str">
        <f>IFERROR(__xludf.DUMMYFUNCTION("""COMPUTED_VALUE"""),"VLG10LL")</f>
        <v>VLG10LL</v>
      </c>
      <c r="B239" s="1" t="str">
        <f>IFERROR(__xludf.DUMMYFUNCTION("""COMPUTED_VALUE"""),"A20N")</f>
        <v>A20N</v>
      </c>
      <c r="C239" s="1" t="str">
        <f>IFERROR(__xludf.DUMMYFUNCTION("""COMPUTED_VALUE"""),"LEPA")</f>
        <v>LEPA</v>
      </c>
      <c r="D239" s="1" t="str">
        <f>IFERROR(__xludf.DUMMYFUNCTION("""COMPUTED_VALUE"""),"LEBL")</f>
        <v>LEBL</v>
      </c>
      <c r="E239" s="1" t="str">
        <f>IFERROR(__xludf.DUMMYFUNCTION("""COMPUTED_VALUE"""),"ECNBA")</f>
        <v>ECNBA</v>
      </c>
      <c r="F239" s="1">
        <f>IFERROR(__xludf.DUMMYFUNCTION("""COMPUTED_VALUE"""),180.0)</f>
        <v>180</v>
      </c>
      <c r="G239" s="7">
        <f>IFERROR(__xludf.DUMMYFUNCTION("""COMPUTED_VALUE"""),0.5)</f>
        <v>0.5</v>
      </c>
      <c r="H239" s="1">
        <f>IFERROR(__xludf.DUMMYFUNCTION("""COMPUTED_VALUE"""),20.0)</f>
        <v>20</v>
      </c>
      <c r="I239" s="7">
        <f>IFERROR(__xludf.DUMMYFUNCTION("""COMPUTED_VALUE"""),0.5208333333333334)</f>
        <v>0.5208333333</v>
      </c>
      <c r="J239" s="1" t="str">
        <f>IFERROR(__xludf.DUMMYFUNCTION("""COMPUTED_VALUE"""),"D")</f>
        <v>D</v>
      </c>
      <c r="K239" s="1">
        <f>IFERROR(__xludf.DUMMYFUNCTION("""COMPUTED_VALUE"""),180.0)</f>
        <v>180</v>
      </c>
      <c r="L239" s="7">
        <f>IFERROR(__xludf.DUMMYFUNCTION("""COMPUTED_VALUE"""),0.02083333333333337)</f>
        <v>0.02083333333</v>
      </c>
      <c r="M239" s="7">
        <f>IFERROR(__xludf.DUMMYFUNCTION("""COMPUTED_VALUE"""),0.006944444444444482)</f>
        <v>0.006944444444</v>
      </c>
      <c r="O239" s="9">
        <f>IFERROR(__xludf.DUMMYFUNCTION("""COMPUTED_VALUE"""),138.33333333333408)</f>
        <v>138.3333333</v>
      </c>
      <c r="P239" s="1" t="str">
        <f>IFERROR(__xludf.DUMMYFUNCTION("""COMPUTED_VALUE"""),"VLG")</f>
        <v>VLG</v>
      </c>
      <c r="Q239" s="1" t="str">
        <f>IFERROR(__xludf.DUMMYFUNCTION("""COMPUTED_VALUE"""),"ECAC")</f>
        <v>ECAC</v>
      </c>
    </row>
    <row r="240">
      <c r="A240" s="1" t="str">
        <f>IFERROR(__xludf.DUMMYFUNCTION("""COMPUTED_VALUE"""),"VLG9VN")</f>
        <v>VLG9VN</v>
      </c>
      <c r="B240" s="1" t="str">
        <f>IFERROR(__xludf.DUMMYFUNCTION("""COMPUTED_VALUE"""),"A321")</f>
        <v>A321</v>
      </c>
      <c r="C240" s="1" t="str">
        <f>IFERROR(__xludf.DUMMYFUNCTION("""COMPUTED_VALUE"""),"GCXO")</f>
        <v>GCXO</v>
      </c>
      <c r="D240" s="1" t="str">
        <f>IFERROR(__xludf.DUMMYFUNCTION("""COMPUTED_VALUE"""),"LEBL")</f>
        <v>LEBL</v>
      </c>
      <c r="E240" s="1" t="str">
        <f>IFERROR(__xludf.DUMMYFUNCTION("""COMPUTED_VALUE"""),"ECMOO")</f>
        <v>ECMOO</v>
      </c>
      <c r="F240" s="1">
        <f>IFERROR(__xludf.DUMMYFUNCTION("""COMPUTED_VALUE"""),360.0)</f>
        <v>360</v>
      </c>
      <c r="G240" s="7">
        <f>IFERROR(__xludf.DUMMYFUNCTION("""COMPUTED_VALUE"""),0.4013888888888889)</f>
        <v>0.4013888889</v>
      </c>
      <c r="H240" s="1">
        <f>IFERROR(__xludf.DUMMYFUNCTION("""COMPUTED_VALUE"""),8.0)</f>
        <v>8</v>
      </c>
      <c r="I240" s="7">
        <f>IFERROR(__xludf.DUMMYFUNCTION("""COMPUTED_VALUE"""),0.5208333333333334)</f>
        <v>0.5208333333</v>
      </c>
      <c r="J240" s="1" t="str">
        <f>IFERROR(__xludf.DUMMYFUNCTION("""COMPUTED_VALUE"""),"D")</f>
        <v>D</v>
      </c>
      <c r="K240" s="1">
        <f>IFERROR(__xludf.DUMMYFUNCTION("""COMPUTED_VALUE"""),207.0)</f>
        <v>207</v>
      </c>
      <c r="L240" s="7">
        <f>IFERROR(__xludf.DUMMYFUNCTION("""COMPUTED_VALUE"""),0.11944444444444446)</f>
        <v>0.1194444444</v>
      </c>
      <c r="M240" s="7">
        <f>IFERROR(__xludf.DUMMYFUNCTION("""COMPUTED_VALUE"""),0.10118055555555558)</f>
        <v>0.1011805556</v>
      </c>
      <c r="O240" s="9">
        <f>IFERROR(__xludf.DUMMYFUNCTION("""COMPUTED_VALUE"""),2015.5166666666669)</f>
        <v>2015.516667</v>
      </c>
      <c r="P240" s="1" t="str">
        <f>IFERROR(__xludf.DUMMYFUNCTION("""COMPUTED_VALUE"""),"VLG")</f>
        <v>VLG</v>
      </c>
      <c r="Q240" s="1" t="str">
        <f>IFERROR(__xludf.DUMMYFUNCTION("""COMPUTED_VALUE"""),"ECAC")</f>
        <v>ECAC</v>
      </c>
    </row>
    <row r="241">
      <c r="A241" s="1" t="str">
        <f>IFERROR(__xludf.DUMMYFUNCTION("""COMPUTED_VALUE"""),"PVA839P")</f>
        <v>PVA839P</v>
      </c>
      <c r="B241" s="1" t="str">
        <f>IFERROR(__xludf.DUMMYFUNCTION("""COMPUTED_VALUE"""),"GLEX")</f>
        <v>GLEX</v>
      </c>
      <c r="C241" s="1" t="str">
        <f>IFERROR(__xludf.DUMMYFUNCTION("""COMPUTED_VALUE"""),"LFMN")</f>
        <v>LFMN</v>
      </c>
      <c r="D241" s="1" t="str">
        <f>IFERROR(__xludf.DUMMYFUNCTION("""COMPUTED_VALUE"""),"LEBL")</f>
        <v>LEBL</v>
      </c>
      <c r="E241" s="1" t="str">
        <f>IFERROR(__xludf.DUMMYFUNCTION("""COMPUTED_VALUE"""),"N551SW")</f>
        <v>N551SW</v>
      </c>
      <c r="F241" s="1">
        <f>IFERROR(__xludf.DUMMYFUNCTION("""COMPUTED_VALUE"""),290.0)</f>
        <v>290</v>
      </c>
      <c r="G241" s="7">
        <f>IFERROR(__xludf.DUMMYFUNCTION("""COMPUTED_VALUE"""),0.48055555555555557)</f>
        <v>0.4805555556</v>
      </c>
      <c r="H241" s="1">
        <f>IFERROR(__xludf.DUMMYFUNCTION("""COMPUTED_VALUE"""),12.0)</f>
        <v>12</v>
      </c>
      <c r="I241" s="7">
        <f>IFERROR(__xludf.DUMMYFUNCTION("""COMPUTED_VALUE"""),0.5208333333333334)</f>
        <v>0.5208333333</v>
      </c>
      <c r="J241" s="1" t="str">
        <f>IFERROR(__xludf.DUMMYFUNCTION("""COMPUTED_VALUE"""),"E")</f>
        <v>E</v>
      </c>
      <c r="K241" s="1">
        <f>IFERROR(__xludf.DUMMYFUNCTION("""COMPUTED_VALUE"""),15.0)</f>
        <v>15</v>
      </c>
      <c r="L241" s="7">
        <f>IFERROR(__xludf.DUMMYFUNCTION("""COMPUTED_VALUE"""),0.0402777777777778)</f>
        <v>0.04027777778</v>
      </c>
      <c r="M241" s="7">
        <f>IFERROR(__xludf.DUMMYFUNCTION("""COMPUTED_VALUE"""),0.019236111111111134)</f>
        <v>0.01923611111</v>
      </c>
      <c r="O241" s="9">
        <f>IFERROR(__xludf.DUMMYFUNCTION("""COMPUTED_VALUE"""),207.75000000000026)</f>
        <v>207.75</v>
      </c>
      <c r="P241" s="1" t="str">
        <f>IFERROR(__xludf.DUMMYFUNCTION("""COMPUTED_VALUE"""),"PVA")</f>
        <v>PVA</v>
      </c>
      <c r="Q241" s="1" t="str">
        <f>IFERROR(__xludf.DUMMYFUNCTION("""COMPUTED_VALUE"""),"ECAC")</f>
        <v>ECAC</v>
      </c>
    </row>
    <row r="242">
      <c r="A242" s="1" t="str">
        <f>IFERROR(__xludf.DUMMYFUNCTION("""COMPUTED_VALUE"""),"VLG1HW")</f>
        <v>VLG1HW</v>
      </c>
      <c r="B242" s="1" t="str">
        <f>IFERROR(__xludf.DUMMYFUNCTION("""COMPUTED_VALUE"""),"A320")</f>
        <v>A320</v>
      </c>
      <c r="C242" s="1" t="str">
        <f>IFERROR(__xludf.DUMMYFUNCTION("""COMPUTED_VALUE"""),"GCFV")</f>
        <v>GCFV</v>
      </c>
      <c r="D242" s="1" t="str">
        <f>IFERROR(__xludf.DUMMYFUNCTION("""COMPUTED_VALUE"""),"LEBL")</f>
        <v>LEBL</v>
      </c>
      <c r="E242" s="1" t="str">
        <f>IFERROR(__xludf.DUMMYFUNCTION("""COMPUTED_VALUE"""),"ECKDH")</f>
        <v>ECKDH</v>
      </c>
      <c r="F242" s="1">
        <f>IFERROR(__xludf.DUMMYFUNCTION("""COMPUTED_VALUE"""),380.0)</f>
        <v>380</v>
      </c>
      <c r="G242" s="7">
        <f>IFERROR(__xludf.DUMMYFUNCTION("""COMPUTED_VALUE"""),0.4083333333333333)</f>
        <v>0.4083333333</v>
      </c>
      <c r="H242" s="1">
        <f>IFERROR(__xludf.DUMMYFUNCTION("""COMPUTED_VALUE"""),10.0)</f>
        <v>10</v>
      </c>
      <c r="I242" s="7">
        <f>IFERROR(__xludf.DUMMYFUNCTION("""COMPUTED_VALUE"""),0.5243055555555556)</f>
        <v>0.5243055556</v>
      </c>
      <c r="J242" s="1" t="str">
        <f>IFERROR(__xludf.DUMMYFUNCTION("""COMPUTED_VALUE"""),"D")</f>
        <v>D</v>
      </c>
      <c r="K242" s="1">
        <f>IFERROR(__xludf.DUMMYFUNCTION("""COMPUTED_VALUE"""),173.0)</f>
        <v>173</v>
      </c>
      <c r="L242" s="7">
        <f>IFERROR(__xludf.DUMMYFUNCTION("""COMPUTED_VALUE"""),0.11597222222222225)</f>
        <v>0.1159722222</v>
      </c>
      <c r="M242" s="7">
        <f>IFERROR(__xludf.DUMMYFUNCTION("""COMPUTED_VALUE"""),0.09631944444444447)</f>
        <v>0.09631944444</v>
      </c>
      <c r="O242" s="9">
        <f>IFERROR(__xludf.DUMMYFUNCTION("""COMPUTED_VALUE"""),1918.6833333333338)</f>
        <v>1918.683333</v>
      </c>
      <c r="P242" s="1" t="str">
        <f>IFERROR(__xludf.DUMMYFUNCTION("""COMPUTED_VALUE"""),"VLG")</f>
        <v>VLG</v>
      </c>
      <c r="Q242" s="1" t="str">
        <f>IFERROR(__xludf.DUMMYFUNCTION("""COMPUTED_VALUE"""),"ECAC")</f>
        <v>ECAC</v>
      </c>
    </row>
    <row r="243">
      <c r="A243" s="1" t="str">
        <f>IFERROR(__xludf.DUMMYFUNCTION("""COMPUTED_VALUE"""),"VLG4DX")</f>
        <v>VLG4DX</v>
      </c>
      <c r="B243" s="1" t="str">
        <f>IFERROR(__xludf.DUMMYFUNCTION("""COMPUTED_VALUE"""),"A320")</f>
        <v>A320</v>
      </c>
      <c r="C243" s="1" t="str">
        <f>IFERROR(__xludf.DUMMYFUNCTION("""COMPUTED_VALUE"""),"ESSA")</f>
        <v>ESSA</v>
      </c>
      <c r="D243" s="1" t="str">
        <f>IFERROR(__xludf.DUMMYFUNCTION("""COMPUTED_VALUE"""),"LEBL")</f>
        <v>LEBL</v>
      </c>
      <c r="E243" s="1" t="str">
        <f>IFERROR(__xludf.DUMMYFUNCTION("""COMPUTED_VALUE"""),"ECMKN")</f>
        <v>ECMKN</v>
      </c>
      <c r="F243" s="1">
        <f>IFERROR(__xludf.DUMMYFUNCTION("""COMPUTED_VALUE"""),370.0)</f>
        <v>370</v>
      </c>
      <c r="G243" s="7">
        <f>IFERROR(__xludf.DUMMYFUNCTION("""COMPUTED_VALUE"""),0.4027777777777778)</f>
        <v>0.4027777778</v>
      </c>
      <c r="H243" s="1">
        <f>IFERROR(__xludf.DUMMYFUNCTION("""COMPUTED_VALUE"""),15.0)</f>
        <v>15</v>
      </c>
      <c r="I243" s="7">
        <f>IFERROR(__xludf.DUMMYFUNCTION("""COMPUTED_VALUE"""),0.5243055555555556)</f>
        <v>0.5243055556</v>
      </c>
      <c r="J243" s="1" t="str">
        <f>IFERROR(__xludf.DUMMYFUNCTION("""COMPUTED_VALUE"""),"D")</f>
        <v>D</v>
      </c>
      <c r="K243" s="1">
        <f>IFERROR(__xludf.DUMMYFUNCTION("""COMPUTED_VALUE"""),173.0)</f>
        <v>173</v>
      </c>
      <c r="L243" s="7">
        <f>IFERROR(__xludf.DUMMYFUNCTION("""COMPUTED_VALUE"""),0.12152777777777779)</f>
        <v>0.1215277778</v>
      </c>
      <c r="M243" s="7">
        <f>IFERROR(__xludf.DUMMYFUNCTION("""COMPUTED_VALUE"""),0.09840277777777778)</f>
        <v>0.09840277778</v>
      </c>
      <c r="O243" s="9">
        <f>IFERROR(__xludf.DUMMYFUNCTION("""COMPUTED_VALUE"""),1960.1833333333334)</f>
        <v>1960.183333</v>
      </c>
      <c r="P243" s="1" t="str">
        <f>IFERROR(__xludf.DUMMYFUNCTION("""COMPUTED_VALUE"""),"VLG")</f>
        <v>VLG</v>
      </c>
      <c r="Q243" s="1" t="str">
        <f>IFERROR(__xludf.DUMMYFUNCTION("""COMPUTED_VALUE"""),"ECAC")</f>
        <v>ECAC</v>
      </c>
    </row>
    <row r="244">
      <c r="A244" s="1" t="str">
        <f>IFERROR(__xludf.DUMMYFUNCTION("""COMPUTED_VALUE"""),"VLG60GG")</f>
        <v>VLG60GG</v>
      </c>
      <c r="B244" s="1" t="str">
        <f>IFERROR(__xludf.DUMMYFUNCTION("""COMPUTED_VALUE"""),"A320")</f>
        <v>A320</v>
      </c>
      <c r="C244" s="1" t="str">
        <f>IFERROR(__xludf.DUMMYFUNCTION("""COMPUTED_VALUE"""),"EGBB")</f>
        <v>EGBB</v>
      </c>
      <c r="D244" s="1" t="str">
        <f>IFERROR(__xludf.DUMMYFUNCTION("""COMPUTED_VALUE"""),"LEBL")</f>
        <v>LEBL</v>
      </c>
      <c r="E244" s="1" t="str">
        <f>IFERROR(__xludf.DUMMYFUNCTION("""COMPUTED_VALUE"""),"ECMAI")</f>
        <v>ECMAI</v>
      </c>
      <c r="F244" s="1">
        <f>IFERROR(__xludf.DUMMYFUNCTION("""COMPUTED_VALUE"""),390.0)</f>
        <v>390</v>
      </c>
      <c r="G244" s="7">
        <f>IFERROR(__xludf.DUMMYFUNCTION("""COMPUTED_VALUE"""),0.46319444444444446)</f>
        <v>0.4631944444</v>
      </c>
      <c r="H244" s="1">
        <f>IFERROR(__xludf.DUMMYFUNCTION("""COMPUTED_VALUE"""),12.0)</f>
        <v>12</v>
      </c>
      <c r="I244" s="7">
        <f>IFERROR(__xludf.DUMMYFUNCTION("""COMPUTED_VALUE"""),0.5243055555555556)</f>
        <v>0.5243055556</v>
      </c>
      <c r="J244" s="1" t="str">
        <f>IFERROR(__xludf.DUMMYFUNCTION("""COMPUTED_VALUE"""),"D")</f>
        <v>D</v>
      </c>
      <c r="K244" s="1">
        <f>IFERROR(__xludf.DUMMYFUNCTION("""COMPUTED_VALUE"""),173.0)</f>
        <v>173</v>
      </c>
      <c r="L244" s="7">
        <f>IFERROR(__xludf.DUMMYFUNCTION("""COMPUTED_VALUE"""),0.061111111111111116)</f>
        <v>0.06111111111</v>
      </c>
      <c r="M244" s="7">
        <f>IFERROR(__xludf.DUMMYFUNCTION("""COMPUTED_VALUE"""),0.04006944444444445)</f>
        <v>0.04006944444</v>
      </c>
      <c r="O244" s="9">
        <f>IFERROR(__xludf.DUMMYFUNCTION("""COMPUTED_VALUE"""),798.1833333333334)</f>
        <v>798.1833333</v>
      </c>
      <c r="P244" s="1" t="str">
        <f>IFERROR(__xludf.DUMMYFUNCTION("""COMPUTED_VALUE"""),"VLG")</f>
        <v>VLG</v>
      </c>
      <c r="Q244" s="1" t="str">
        <f>IFERROR(__xludf.DUMMYFUNCTION("""COMPUTED_VALUE"""),"ECAC")</f>
        <v>ECAC</v>
      </c>
    </row>
    <row r="245">
      <c r="A245" s="1" t="str">
        <f>IFERROR(__xludf.DUMMYFUNCTION("""COMPUTED_VALUE"""),"VTB788")</f>
        <v>VTB788</v>
      </c>
      <c r="B245" s="1" t="str">
        <f>IFERROR(__xludf.DUMMYFUNCTION("""COMPUTED_VALUE"""),"C650")</f>
        <v>C650</v>
      </c>
      <c r="C245" s="1" t="str">
        <f>IFERROR(__xludf.DUMMYFUNCTION("""COMPUTED_VALUE"""),"BKPR")</f>
        <v>BKPR</v>
      </c>
      <c r="D245" s="1" t="str">
        <f>IFERROR(__xludf.DUMMYFUNCTION("""COMPUTED_VALUE"""),"LEBL")</f>
        <v>LEBL</v>
      </c>
      <c r="E245" s="1" t="str">
        <f>IFERROR(__xludf.DUMMYFUNCTION("""COMPUTED_VALUE"""),"HAJEM")</f>
        <v>HAJEM</v>
      </c>
      <c r="F245" s="1">
        <f>IFERROR(__xludf.DUMMYFUNCTION("""COMPUTED_VALUE"""),390.0)</f>
        <v>390</v>
      </c>
      <c r="G245" s="7">
        <f>IFERROR(__xludf.DUMMYFUNCTION("""COMPUTED_VALUE"""),0.4326388888888889)</f>
        <v>0.4326388889</v>
      </c>
      <c r="H245" s="1">
        <f>IFERROR(__xludf.DUMMYFUNCTION("""COMPUTED_VALUE"""),5.0)</f>
        <v>5</v>
      </c>
      <c r="I245" s="7">
        <f>IFERROR(__xludf.DUMMYFUNCTION("""COMPUTED_VALUE"""),0.5277777777777778)</f>
        <v>0.5277777778</v>
      </c>
      <c r="J245" s="1" t="str">
        <f>IFERROR(__xludf.DUMMYFUNCTION("""COMPUTED_VALUE"""),"F")</f>
        <v>F</v>
      </c>
      <c r="K245" s="1">
        <f>IFERROR(__xludf.DUMMYFUNCTION("""COMPUTED_VALUE"""),6.0)</f>
        <v>6</v>
      </c>
      <c r="L245" s="7">
        <f>IFERROR(__xludf.DUMMYFUNCTION("""COMPUTED_VALUE"""),0.09513888888888888)</f>
        <v>0.09513888889</v>
      </c>
      <c r="M245" s="7">
        <f>IFERROR(__xludf.DUMMYFUNCTION("""COMPUTED_VALUE"""),0.07895833333333332)</f>
        <v>0.07895833333</v>
      </c>
      <c r="O245" s="9">
        <f>IFERROR(__xludf.DUMMYFUNCTION("""COMPUTED_VALUE"""),341.09999999999997)</f>
        <v>341.1</v>
      </c>
      <c r="P245" s="1" t="str">
        <f>IFERROR(__xludf.DUMMYFUNCTION("""COMPUTED_VALUE"""),"VTB")</f>
        <v>VTB</v>
      </c>
      <c r="Q245" s="1" t="str">
        <f>IFERROR(__xludf.DUMMYFUNCTION("""COMPUTED_VALUE"""),"ECAC")</f>
        <v>ECAC</v>
      </c>
    </row>
    <row r="246">
      <c r="A246" s="1" t="str">
        <f>IFERROR(__xludf.DUMMYFUNCTION("""COMPUTED_VALUE"""),"RYR31UE")</f>
        <v>RYR31UE</v>
      </c>
      <c r="B246" s="1" t="str">
        <f>IFERROR(__xludf.DUMMYFUNCTION("""COMPUTED_VALUE"""),"B38M")</f>
        <v>B38M</v>
      </c>
      <c r="C246" s="1" t="str">
        <f>IFERROR(__xludf.DUMMYFUNCTION("""COMPUTED_VALUE"""),"LEIB")</f>
        <v>LEIB</v>
      </c>
      <c r="D246" s="1" t="str">
        <f>IFERROR(__xludf.DUMMYFUNCTION("""COMPUTED_VALUE"""),"LEBL")</f>
        <v>LEBL</v>
      </c>
      <c r="E246" s="1" t="str">
        <f>IFERROR(__xludf.DUMMYFUNCTION("""COMPUTED_VALUE"""),"EIIJM")</f>
        <v>EIIJM</v>
      </c>
      <c r="F246" s="1">
        <f>IFERROR(__xludf.DUMMYFUNCTION("""COMPUTED_VALUE"""),240.0)</f>
        <v>240</v>
      </c>
      <c r="G246" s="7">
        <f>IFERROR(__xludf.DUMMYFUNCTION("""COMPUTED_VALUE"""),0.4895833333333333)</f>
        <v>0.4895833333</v>
      </c>
      <c r="H246" s="1">
        <f>IFERROR(__xludf.DUMMYFUNCTION("""COMPUTED_VALUE"""),12.0)</f>
        <v>12</v>
      </c>
      <c r="I246" s="7">
        <f>IFERROR(__xludf.DUMMYFUNCTION("""COMPUTED_VALUE"""),0.5277777777777778)</f>
        <v>0.5277777778</v>
      </c>
      <c r="J246" s="1" t="str">
        <f>IFERROR(__xludf.DUMMYFUNCTION("""COMPUTED_VALUE"""),"D")</f>
        <v>D</v>
      </c>
      <c r="K246" s="1">
        <f>IFERROR(__xludf.DUMMYFUNCTION("""COMPUTED_VALUE"""),186.0)</f>
        <v>186</v>
      </c>
      <c r="L246" s="7">
        <f>IFERROR(__xludf.DUMMYFUNCTION("""COMPUTED_VALUE"""),0.038194444444444475)</f>
        <v>0.03819444444</v>
      </c>
      <c r="M246" s="7">
        <f>IFERROR(__xludf.DUMMYFUNCTION("""COMPUTED_VALUE"""),0.01715277777777781)</f>
        <v>0.01715277778</v>
      </c>
      <c r="O246" s="9">
        <f>IFERROR(__xludf.DUMMYFUNCTION("""COMPUTED_VALUE"""),341.68333333333396)</f>
        <v>341.6833333</v>
      </c>
      <c r="P246" s="1" t="str">
        <f>IFERROR(__xludf.DUMMYFUNCTION("""COMPUTED_VALUE"""),"RYR")</f>
        <v>RYR</v>
      </c>
      <c r="Q246" s="1" t="str">
        <f>IFERROR(__xludf.DUMMYFUNCTION("""COMPUTED_VALUE"""),"ECAC")</f>
        <v>ECAC</v>
      </c>
    </row>
    <row r="247">
      <c r="A247" s="1" t="str">
        <f>IFERROR(__xludf.DUMMYFUNCTION("""COMPUTED_VALUE"""),"VLG8JV")</f>
        <v>VLG8JV</v>
      </c>
      <c r="B247" s="1" t="str">
        <f>IFERROR(__xludf.DUMMYFUNCTION("""COMPUTED_VALUE"""),"A320")</f>
        <v>A320</v>
      </c>
      <c r="C247" s="1" t="str">
        <f>IFERROR(__xludf.DUMMYFUNCTION("""COMPUTED_VALUE"""),"LFPG")</f>
        <v>LFPG</v>
      </c>
      <c r="D247" s="1" t="str">
        <f>IFERROR(__xludf.DUMMYFUNCTION("""COMPUTED_VALUE"""),"LEBL")</f>
        <v>LEBL</v>
      </c>
      <c r="E247" s="1" t="str">
        <f>IFERROR(__xludf.DUMMYFUNCTION("""COMPUTED_VALUE"""),"ECODN")</f>
        <v>ECODN</v>
      </c>
      <c r="F247" s="1">
        <f>IFERROR(__xludf.DUMMYFUNCTION("""COMPUTED_VALUE"""),310.0)</f>
        <v>310</v>
      </c>
      <c r="G247" s="7">
        <f>IFERROR(__xludf.DUMMYFUNCTION("""COMPUTED_VALUE"""),0.47847222222222224)</f>
        <v>0.4784722222</v>
      </c>
      <c r="H247" s="1">
        <f>IFERROR(__xludf.DUMMYFUNCTION("""COMPUTED_VALUE"""),24.0)</f>
        <v>24</v>
      </c>
      <c r="I247" s="7">
        <f>IFERROR(__xludf.DUMMYFUNCTION("""COMPUTED_VALUE"""),0.53125)</f>
        <v>0.53125</v>
      </c>
      <c r="J247" s="1" t="str">
        <f>IFERROR(__xludf.DUMMYFUNCTION("""COMPUTED_VALUE"""),"D")</f>
        <v>D</v>
      </c>
      <c r="K247" s="1">
        <f>IFERROR(__xludf.DUMMYFUNCTION("""COMPUTED_VALUE"""),173.0)</f>
        <v>173</v>
      </c>
      <c r="L247" s="7">
        <f>IFERROR(__xludf.DUMMYFUNCTION("""COMPUTED_VALUE"""),0.05277777777777776)</f>
        <v>0.05277777778</v>
      </c>
      <c r="M247" s="7">
        <f>IFERROR(__xludf.DUMMYFUNCTION("""COMPUTED_VALUE"""),0.023402777777777755)</f>
        <v>0.02340277778</v>
      </c>
      <c r="O247" s="9">
        <f>IFERROR(__xludf.DUMMYFUNCTION("""COMPUTED_VALUE"""),466.1833333333329)</f>
        <v>466.1833333</v>
      </c>
      <c r="P247" s="1" t="str">
        <f>IFERROR(__xludf.DUMMYFUNCTION("""COMPUTED_VALUE"""),"VLG")</f>
        <v>VLG</v>
      </c>
      <c r="Q247" s="1" t="str">
        <f>IFERROR(__xludf.DUMMYFUNCTION("""COMPUTED_VALUE"""),"ECAC")</f>
        <v>ECAC</v>
      </c>
    </row>
    <row r="248">
      <c r="A248" s="1" t="str">
        <f>IFERROR(__xludf.DUMMYFUNCTION("""COMPUTED_VALUE"""),"VLG98EE")</f>
        <v>VLG98EE</v>
      </c>
      <c r="B248" s="1" t="str">
        <f>IFERROR(__xludf.DUMMYFUNCTION("""COMPUTED_VALUE"""),"A320")</f>
        <v>A320</v>
      </c>
      <c r="C248" s="1" t="str">
        <f>IFERROR(__xludf.DUMMYFUNCTION("""COMPUTED_VALUE"""),"LSGG")</f>
        <v>LSGG</v>
      </c>
      <c r="D248" s="1" t="str">
        <f>IFERROR(__xludf.DUMMYFUNCTION("""COMPUTED_VALUE"""),"LEBL")</f>
        <v>LEBL</v>
      </c>
      <c r="E248" s="1" t="str">
        <f>IFERROR(__xludf.DUMMYFUNCTION("""COMPUTED_VALUE"""),"ECMER")</f>
        <v>ECMER</v>
      </c>
      <c r="F248" s="1">
        <f>IFERROR(__xludf.DUMMYFUNCTION("""COMPUTED_VALUE"""),330.0)</f>
        <v>330</v>
      </c>
      <c r="G248" s="7">
        <f>IFERROR(__xludf.DUMMYFUNCTION("""COMPUTED_VALUE"""),0.4895833333333333)</f>
        <v>0.4895833333</v>
      </c>
      <c r="H248" s="1">
        <f>IFERROR(__xludf.DUMMYFUNCTION("""COMPUTED_VALUE"""),10.0)</f>
        <v>10</v>
      </c>
      <c r="I248" s="7">
        <f>IFERROR(__xludf.DUMMYFUNCTION("""COMPUTED_VALUE"""),0.53125)</f>
        <v>0.53125</v>
      </c>
      <c r="J248" s="1" t="str">
        <f>IFERROR(__xludf.DUMMYFUNCTION("""COMPUTED_VALUE"""),"D")</f>
        <v>D</v>
      </c>
      <c r="K248" s="1">
        <f>IFERROR(__xludf.DUMMYFUNCTION("""COMPUTED_VALUE"""),173.0)</f>
        <v>173</v>
      </c>
      <c r="L248" s="7">
        <f>IFERROR(__xludf.DUMMYFUNCTION("""COMPUTED_VALUE"""),0.041666666666666685)</f>
        <v>0.04166666667</v>
      </c>
      <c r="M248" s="7">
        <f>IFERROR(__xludf.DUMMYFUNCTION("""COMPUTED_VALUE"""),0.022013888888888906)</f>
        <v>0.02201388889</v>
      </c>
      <c r="O248" s="9">
        <f>IFERROR(__xludf.DUMMYFUNCTION("""COMPUTED_VALUE"""),438.51666666666705)</f>
        <v>438.5166667</v>
      </c>
      <c r="P248" s="1" t="str">
        <f>IFERROR(__xludf.DUMMYFUNCTION("""COMPUTED_VALUE"""),"VLG")</f>
        <v>VLG</v>
      </c>
      <c r="Q248" s="1" t="str">
        <f>IFERROR(__xludf.DUMMYFUNCTION("""COMPUTED_VALUE"""),"ECAC")</f>
        <v>ECAC</v>
      </c>
    </row>
    <row r="249">
      <c r="A249" s="1" t="str">
        <f>IFERROR(__xludf.DUMMYFUNCTION("""COMPUTED_VALUE"""),"SWR87C")</f>
        <v>SWR87C</v>
      </c>
      <c r="B249" s="1" t="str">
        <f>IFERROR(__xludf.DUMMYFUNCTION("""COMPUTED_VALUE"""),"A321")</f>
        <v>A321</v>
      </c>
      <c r="C249" s="1" t="str">
        <f>IFERROR(__xludf.DUMMYFUNCTION("""COMPUTED_VALUE"""),"LSZH")</f>
        <v>LSZH</v>
      </c>
      <c r="D249" s="1" t="str">
        <f>IFERROR(__xludf.DUMMYFUNCTION("""COMPUTED_VALUE"""),"LEBL")</f>
        <v>LEBL</v>
      </c>
      <c r="E249" s="1" t="str">
        <f>IFERROR(__xludf.DUMMYFUNCTION("""COMPUTED_VALUE"""),"HBIOD")</f>
        <v>HBIOD</v>
      </c>
      <c r="F249" s="1">
        <f>IFERROR(__xludf.DUMMYFUNCTION("""COMPUTED_VALUE"""),330.0)</f>
        <v>330</v>
      </c>
      <c r="G249" s="7">
        <f>IFERROR(__xludf.DUMMYFUNCTION("""COMPUTED_VALUE"""),0.4798611111111111)</f>
        <v>0.4798611111</v>
      </c>
      <c r="H249" s="1">
        <f>IFERROR(__xludf.DUMMYFUNCTION("""COMPUTED_VALUE"""),14.0)</f>
        <v>14</v>
      </c>
      <c r="I249" s="7">
        <f>IFERROR(__xludf.DUMMYFUNCTION("""COMPUTED_VALUE"""),0.53125)</f>
        <v>0.53125</v>
      </c>
      <c r="J249" s="1" t="str">
        <f>IFERROR(__xludf.DUMMYFUNCTION("""COMPUTED_VALUE"""),"D")</f>
        <v>D</v>
      </c>
      <c r="K249" s="1">
        <f>IFERROR(__xludf.DUMMYFUNCTION("""COMPUTED_VALUE"""),207.0)</f>
        <v>207</v>
      </c>
      <c r="L249" s="7">
        <f>IFERROR(__xludf.DUMMYFUNCTION("""COMPUTED_VALUE"""),0.05138888888888887)</f>
        <v>0.05138888889</v>
      </c>
      <c r="M249" s="7">
        <f>IFERROR(__xludf.DUMMYFUNCTION("""COMPUTED_VALUE"""),0.028958333333333315)</f>
        <v>0.02895833333</v>
      </c>
      <c r="O249" s="9">
        <f>IFERROR(__xludf.DUMMYFUNCTION("""COMPUTED_VALUE"""),576.8499999999997)</f>
        <v>576.85</v>
      </c>
      <c r="P249" s="1" t="str">
        <f>IFERROR(__xludf.DUMMYFUNCTION("""COMPUTED_VALUE"""),"SWR")</f>
        <v>SWR</v>
      </c>
      <c r="Q249" s="1" t="str">
        <f>IFERROR(__xludf.DUMMYFUNCTION("""COMPUTED_VALUE"""),"ECAC")</f>
        <v>ECAC</v>
      </c>
    </row>
    <row r="250">
      <c r="A250" s="1" t="str">
        <f>IFERROR(__xludf.DUMMYFUNCTION("""COMPUTED_VALUE"""),"RYR42EB")</f>
        <v>RYR42EB</v>
      </c>
      <c r="B250" s="1" t="str">
        <f>IFERROR(__xludf.DUMMYFUNCTION("""COMPUTED_VALUE"""),"B738")</f>
        <v>B738</v>
      </c>
      <c r="C250" s="1" t="str">
        <f>IFERROR(__xludf.DUMMYFUNCTION("""COMPUTED_VALUE"""),"EGGD")</f>
        <v>EGGD</v>
      </c>
      <c r="D250" s="1" t="str">
        <f>IFERROR(__xludf.DUMMYFUNCTION("""COMPUTED_VALUE"""),"LEBL")</f>
        <v>LEBL</v>
      </c>
      <c r="E250" s="1" t="str">
        <f>IFERROR(__xludf.DUMMYFUNCTION("""COMPUTED_VALUE"""),"EIDYX")</f>
        <v>EIDYX</v>
      </c>
      <c r="F250" s="1">
        <f>IFERROR(__xludf.DUMMYFUNCTION("""COMPUTED_VALUE"""),370.0)</f>
        <v>370</v>
      </c>
      <c r="G250" s="7">
        <f>IFERROR(__xludf.DUMMYFUNCTION("""COMPUTED_VALUE"""),0.4722222222222222)</f>
        <v>0.4722222222</v>
      </c>
      <c r="H250" s="1">
        <f>IFERROR(__xludf.DUMMYFUNCTION("""COMPUTED_VALUE"""),15.0)</f>
        <v>15</v>
      </c>
      <c r="I250" s="7">
        <f>IFERROR(__xludf.DUMMYFUNCTION("""COMPUTED_VALUE"""),0.53125)</f>
        <v>0.53125</v>
      </c>
      <c r="J250" s="1" t="str">
        <f>IFERROR(__xludf.DUMMYFUNCTION("""COMPUTED_VALUE"""),"D")</f>
        <v>D</v>
      </c>
      <c r="K250" s="1">
        <f>IFERROR(__xludf.DUMMYFUNCTION("""COMPUTED_VALUE"""),184.0)</f>
        <v>184</v>
      </c>
      <c r="L250" s="7">
        <f>IFERROR(__xludf.DUMMYFUNCTION("""COMPUTED_VALUE"""),0.05902777777777779)</f>
        <v>0.05902777778</v>
      </c>
      <c r="M250" s="7">
        <f>IFERROR(__xludf.DUMMYFUNCTION("""COMPUTED_VALUE"""),0.03590277777777779)</f>
        <v>0.03590277778</v>
      </c>
      <c r="O250" s="9">
        <f>IFERROR(__xludf.DUMMYFUNCTION("""COMPUTED_VALUE"""),715.1833333333336)</f>
        <v>715.1833333</v>
      </c>
      <c r="P250" s="1" t="str">
        <f>IFERROR(__xludf.DUMMYFUNCTION("""COMPUTED_VALUE"""),"RYR")</f>
        <v>RYR</v>
      </c>
      <c r="Q250" s="1" t="str">
        <f>IFERROR(__xludf.DUMMYFUNCTION("""COMPUTED_VALUE"""),"ECAC")</f>
        <v>ECAC</v>
      </c>
    </row>
    <row r="251">
      <c r="A251" s="1" t="str">
        <f>IFERROR(__xludf.DUMMYFUNCTION("""COMPUTED_VALUE"""),"VLG7HG")</f>
        <v>VLG7HG</v>
      </c>
      <c r="B251" s="1" t="str">
        <f>IFERROR(__xludf.DUMMYFUNCTION("""COMPUTED_VALUE"""),"A320")</f>
        <v>A320</v>
      </c>
      <c r="C251" s="1" t="str">
        <f>IFERROR(__xludf.DUMMYFUNCTION("""COMPUTED_VALUE"""),"LEAL")</f>
        <v>LEAL</v>
      </c>
      <c r="D251" s="1" t="str">
        <f>IFERROR(__xludf.DUMMYFUNCTION("""COMPUTED_VALUE"""),"LEBL")</f>
        <v>LEBL</v>
      </c>
      <c r="E251" s="1" t="str">
        <f>IFERROR(__xludf.DUMMYFUNCTION("""COMPUTED_VALUE"""),"ECOGE")</f>
        <v>ECOGE</v>
      </c>
      <c r="F251" s="1">
        <f>IFERROR(__xludf.DUMMYFUNCTION("""COMPUTED_VALUE"""),260.0)</f>
        <v>260</v>
      </c>
      <c r="G251" s="7">
        <f>IFERROR(__xludf.DUMMYFUNCTION("""COMPUTED_VALUE"""),0.49166666666666664)</f>
        <v>0.4916666667</v>
      </c>
      <c r="H251" s="1">
        <f>IFERROR(__xludf.DUMMYFUNCTION("""COMPUTED_VALUE"""),13.0)</f>
        <v>13</v>
      </c>
      <c r="I251" s="7">
        <f>IFERROR(__xludf.DUMMYFUNCTION("""COMPUTED_VALUE"""),0.5347222222222222)</f>
        <v>0.5347222222</v>
      </c>
      <c r="J251" s="1" t="str">
        <f>IFERROR(__xludf.DUMMYFUNCTION("""COMPUTED_VALUE"""),"D")</f>
        <v>D</v>
      </c>
      <c r="K251" s="1">
        <f>IFERROR(__xludf.DUMMYFUNCTION("""COMPUTED_VALUE"""),173.0)</f>
        <v>173</v>
      </c>
      <c r="L251" s="7">
        <f>IFERROR(__xludf.DUMMYFUNCTION("""COMPUTED_VALUE"""),0.04305555555555557)</f>
        <v>0.04305555556</v>
      </c>
      <c r="M251" s="7">
        <f>IFERROR(__xludf.DUMMYFUNCTION("""COMPUTED_VALUE"""),0.021319444444444457)</f>
        <v>0.02131944444</v>
      </c>
      <c r="O251" s="9">
        <f>IFERROR(__xludf.DUMMYFUNCTION("""COMPUTED_VALUE"""),424.68333333333356)</f>
        <v>424.6833333</v>
      </c>
      <c r="P251" s="1" t="str">
        <f>IFERROR(__xludf.DUMMYFUNCTION("""COMPUTED_VALUE"""),"VLG")</f>
        <v>VLG</v>
      </c>
      <c r="Q251" s="1" t="str">
        <f>IFERROR(__xludf.DUMMYFUNCTION("""COMPUTED_VALUE"""),"ECAC")</f>
        <v>ECAC</v>
      </c>
    </row>
    <row r="252">
      <c r="A252" s="1" t="str">
        <f>IFERROR(__xludf.DUMMYFUNCTION("""COMPUTED_VALUE"""),"EJU38KP")</f>
        <v>EJU38KP</v>
      </c>
      <c r="B252" s="1" t="str">
        <f>IFERROR(__xludf.DUMMYFUNCTION("""COMPUTED_VALUE"""),"A20N")</f>
        <v>A20N</v>
      </c>
      <c r="C252" s="1" t="str">
        <f>IFERROR(__xludf.DUMMYFUNCTION("""COMPUTED_VALUE"""),"LPPT")</f>
        <v>LPPT</v>
      </c>
      <c r="D252" s="1" t="str">
        <f>IFERROR(__xludf.DUMMYFUNCTION("""COMPUTED_VALUE"""),"LEBL")</f>
        <v>LEBL</v>
      </c>
      <c r="E252" s="1" t="str">
        <f>IFERROR(__xludf.DUMMYFUNCTION("""COMPUTED_VALUE"""),"OELSQ")</f>
        <v>OELSQ</v>
      </c>
      <c r="F252" s="1">
        <f>IFERROR(__xludf.DUMMYFUNCTION("""COMPUTED_VALUE"""),380.0)</f>
        <v>380</v>
      </c>
      <c r="G252" s="7">
        <f>IFERROR(__xludf.DUMMYFUNCTION("""COMPUTED_VALUE"""),0.45694444444444443)</f>
        <v>0.4569444444</v>
      </c>
      <c r="H252" s="1">
        <f>IFERROR(__xludf.DUMMYFUNCTION("""COMPUTED_VALUE"""),18.0)</f>
        <v>18</v>
      </c>
      <c r="I252" s="7">
        <f>IFERROR(__xludf.DUMMYFUNCTION("""COMPUTED_VALUE"""),0.5347222222222222)</f>
        <v>0.5347222222</v>
      </c>
      <c r="J252" s="1" t="str">
        <f>IFERROR(__xludf.DUMMYFUNCTION("""COMPUTED_VALUE"""),"D")</f>
        <v>D</v>
      </c>
      <c r="K252" s="1">
        <f>IFERROR(__xludf.DUMMYFUNCTION("""COMPUTED_VALUE"""),180.0)</f>
        <v>180</v>
      </c>
      <c r="L252" s="7">
        <f>IFERROR(__xludf.DUMMYFUNCTION("""COMPUTED_VALUE"""),0.07777777777777778)</f>
        <v>0.07777777778</v>
      </c>
      <c r="M252" s="7">
        <f>IFERROR(__xludf.DUMMYFUNCTION("""COMPUTED_VALUE"""),0.052569444444444446)</f>
        <v>0.05256944444</v>
      </c>
      <c r="O252" s="9">
        <f>IFERROR(__xludf.DUMMYFUNCTION("""COMPUTED_VALUE"""),1047.1833333333334)</f>
        <v>1047.183333</v>
      </c>
      <c r="P252" s="1" t="str">
        <f>IFERROR(__xludf.DUMMYFUNCTION("""COMPUTED_VALUE"""),"EJU")</f>
        <v>EJU</v>
      </c>
      <c r="Q252" s="1" t="str">
        <f>IFERROR(__xludf.DUMMYFUNCTION("""COMPUTED_VALUE"""),"ECAC")</f>
        <v>ECAC</v>
      </c>
    </row>
    <row r="253">
      <c r="A253" s="1" t="str">
        <f>IFERROR(__xludf.DUMMYFUNCTION("""COMPUTED_VALUE"""),"NSZ5527")</f>
        <v>NSZ5527</v>
      </c>
      <c r="B253" s="1" t="str">
        <f>IFERROR(__xludf.DUMMYFUNCTION("""COMPUTED_VALUE"""),"B738")</f>
        <v>B738</v>
      </c>
      <c r="C253" s="1" t="str">
        <f>IFERROR(__xludf.DUMMYFUNCTION("""COMPUTED_VALUE"""),"ENBR")</f>
        <v>ENBR</v>
      </c>
      <c r="D253" s="1" t="str">
        <f>IFERROR(__xludf.DUMMYFUNCTION("""COMPUTED_VALUE"""),"LEBL")</f>
        <v>LEBL</v>
      </c>
      <c r="E253" s="1" t="str">
        <f>IFERROR(__xludf.DUMMYFUNCTION("""COMPUTED_VALUE"""),"SERPE")</f>
        <v>SERPE</v>
      </c>
      <c r="F253" s="1">
        <f>IFERROR(__xludf.DUMMYFUNCTION("""COMPUTED_VALUE"""),390.0)</f>
        <v>390</v>
      </c>
      <c r="G253" s="7">
        <f>IFERROR(__xludf.DUMMYFUNCTION("""COMPUTED_VALUE"""),0.42291666666666666)</f>
        <v>0.4229166667</v>
      </c>
      <c r="H253" s="1">
        <f>IFERROR(__xludf.DUMMYFUNCTION("""COMPUTED_VALUE"""),9.0)</f>
        <v>9</v>
      </c>
      <c r="I253" s="7">
        <f>IFERROR(__xludf.DUMMYFUNCTION("""COMPUTED_VALUE"""),0.5347222222222222)</f>
        <v>0.5347222222</v>
      </c>
      <c r="J253" s="1" t="str">
        <f>IFERROR(__xludf.DUMMYFUNCTION("""COMPUTED_VALUE"""),"D")</f>
        <v>D</v>
      </c>
      <c r="K253" s="1">
        <f>IFERROR(__xludf.DUMMYFUNCTION("""COMPUTED_VALUE"""),184.0)</f>
        <v>184</v>
      </c>
      <c r="L253" s="7">
        <f>IFERROR(__xludf.DUMMYFUNCTION("""COMPUTED_VALUE"""),0.11180555555555555)</f>
        <v>0.1118055556</v>
      </c>
      <c r="M253" s="7">
        <f>IFERROR(__xludf.DUMMYFUNCTION("""COMPUTED_VALUE"""),0.0928472222222222)</f>
        <v>0.09284722222</v>
      </c>
      <c r="O253" s="9">
        <f>IFERROR(__xludf.DUMMYFUNCTION("""COMPUTED_VALUE"""),1849.5166666666664)</f>
        <v>1849.516667</v>
      </c>
      <c r="P253" s="1" t="str">
        <f>IFERROR(__xludf.DUMMYFUNCTION("""COMPUTED_VALUE"""),"NSZ")</f>
        <v>NSZ</v>
      </c>
      <c r="Q253" s="1" t="str">
        <f>IFERROR(__xludf.DUMMYFUNCTION("""COMPUTED_VALUE"""),"ECAC")</f>
        <v>ECAC</v>
      </c>
    </row>
    <row r="254">
      <c r="A254" s="1" t="str">
        <f>IFERROR(__xludf.DUMMYFUNCTION("""COMPUTED_VALUE"""),"VLG70CR")</f>
        <v>VLG70CR</v>
      </c>
      <c r="B254" s="1" t="str">
        <f>IFERROR(__xludf.DUMMYFUNCTION("""COMPUTED_VALUE"""),"A320")</f>
        <v>A320</v>
      </c>
      <c r="C254" s="1" t="str">
        <f>IFERROR(__xludf.DUMMYFUNCTION("""COMPUTED_VALUE"""),"LEZL")</f>
        <v>LEZL</v>
      </c>
      <c r="D254" s="1" t="str">
        <f>IFERROR(__xludf.DUMMYFUNCTION("""COMPUTED_VALUE"""),"LEBL")</f>
        <v>LEBL</v>
      </c>
      <c r="E254" s="1" t="str">
        <f>IFERROR(__xludf.DUMMYFUNCTION("""COMPUTED_VALUE"""),"ECOFH")</f>
        <v>ECOFH</v>
      </c>
      <c r="F254" s="1">
        <f>IFERROR(__xludf.DUMMYFUNCTION("""COMPUTED_VALUE"""),340.0)</f>
        <v>340</v>
      </c>
      <c r="G254" s="7">
        <f>IFERROR(__xludf.DUMMYFUNCTION("""COMPUTED_VALUE"""),0.48194444444444445)</f>
        <v>0.4819444444</v>
      </c>
      <c r="H254" s="1">
        <f>IFERROR(__xludf.DUMMYFUNCTION("""COMPUTED_VALUE"""),10.0)</f>
        <v>10</v>
      </c>
      <c r="I254" s="7">
        <f>IFERROR(__xludf.DUMMYFUNCTION("""COMPUTED_VALUE"""),0.5381944444444444)</f>
        <v>0.5381944444</v>
      </c>
      <c r="J254" s="1" t="str">
        <f>IFERROR(__xludf.DUMMYFUNCTION("""COMPUTED_VALUE"""),"D")</f>
        <v>D</v>
      </c>
      <c r="K254" s="1">
        <f>IFERROR(__xludf.DUMMYFUNCTION("""COMPUTED_VALUE"""),173.0)</f>
        <v>173</v>
      </c>
      <c r="L254" s="7">
        <f>IFERROR(__xludf.DUMMYFUNCTION("""COMPUTED_VALUE"""),0.05624999999999997)</f>
        <v>0.05625</v>
      </c>
      <c r="M254" s="7">
        <f>IFERROR(__xludf.DUMMYFUNCTION("""COMPUTED_VALUE"""),0.036597222222222184)</f>
        <v>0.03659722222</v>
      </c>
      <c r="O254" s="9">
        <f>IFERROR(__xludf.DUMMYFUNCTION("""COMPUTED_VALUE"""),729.0166666666659)</f>
        <v>729.0166667</v>
      </c>
      <c r="P254" s="1" t="str">
        <f>IFERROR(__xludf.DUMMYFUNCTION("""COMPUTED_VALUE"""),"VLG")</f>
        <v>VLG</v>
      </c>
      <c r="Q254" s="1" t="str">
        <f>IFERROR(__xludf.DUMMYFUNCTION("""COMPUTED_VALUE"""),"ECAC")</f>
        <v>ECAC</v>
      </c>
    </row>
    <row r="255">
      <c r="A255" s="1" t="str">
        <f>IFERROR(__xludf.DUMMYFUNCTION("""COMPUTED_VALUE"""),"SVA229")</f>
        <v>SVA229</v>
      </c>
      <c r="B255" s="1" t="str">
        <f>IFERROR(__xludf.DUMMYFUNCTION("""COMPUTED_VALUE"""),"A333")</f>
        <v>A333</v>
      </c>
      <c r="C255" s="1" t="str">
        <f>IFERROR(__xludf.DUMMYFUNCTION("""COMPUTED_VALUE"""),"OEJN")</f>
        <v>OEJN</v>
      </c>
      <c r="D255" s="1" t="str">
        <f>IFERROR(__xludf.DUMMYFUNCTION("""COMPUTED_VALUE"""),"LEBL")</f>
        <v>LEBL</v>
      </c>
      <c r="E255" s="1" t="str">
        <f>IFERROR(__xludf.DUMMYFUNCTION("""COMPUTED_VALUE"""),"HZAQ11")</f>
        <v>HZAQ11</v>
      </c>
      <c r="F255" s="1">
        <f>IFERROR(__xludf.DUMMYFUNCTION("""COMPUTED_VALUE"""),380.0)</f>
        <v>380</v>
      </c>
      <c r="G255" s="7">
        <f>IFERROR(__xludf.DUMMYFUNCTION("""COMPUTED_VALUE"""),0.3125)</f>
        <v>0.3125</v>
      </c>
      <c r="H255" s="1">
        <f>IFERROR(__xludf.DUMMYFUNCTION("""COMPUTED_VALUE"""),0.0)</f>
        <v>0</v>
      </c>
      <c r="I255" s="7">
        <f>IFERROR(__xludf.DUMMYFUNCTION("""COMPUTED_VALUE"""),0.5381944444444444)</f>
        <v>0.5381944444</v>
      </c>
      <c r="J255" s="1" t="str">
        <f>IFERROR(__xludf.DUMMYFUNCTION("""COMPUTED_VALUE"""),"B")</f>
        <v>B</v>
      </c>
      <c r="K255" s="1">
        <f>IFERROR(__xludf.DUMMYFUNCTION("""COMPUTED_VALUE"""),284.0)</f>
        <v>284</v>
      </c>
      <c r="L255" s="7">
        <f>IFERROR(__xludf.DUMMYFUNCTION("""COMPUTED_VALUE"""),0.22569444444444442)</f>
        <v>0.2256944444</v>
      </c>
      <c r="M255" s="7">
        <f>IFERROR(__xludf.DUMMYFUNCTION("""COMPUTED_VALUE"""),0.2129861111111111)</f>
        <v>0.2129861111</v>
      </c>
      <c r="O255" s="9">
        <f>IFERROR(__xludf.DUMMYFUNCTION("""COMPUTED_VALUE"""),4600.5)</f>
        <v>4600.5</v>
      </c>
      <c r="P255" s="1" t="str">
        <f>IFERROR(__xludf.DUMMYFUNCTION("""COMPUTED_VALUE"""),"SVA")</f>
        <v>SVA</v>
      </c>
      <c r="Q255" s="1" t="str">
        <f>IFERROR(__xludf.DUMMYFUNCTION("""COMPUTED_VALUE"""),"NO ECAC")</f>
        <v>NO ECAC</v>
      </c>
    </row>
    <row r="256">
      <c r="A256" s="1" t="str">
        <f>IFERROR(__xludf.DUMMYFUNCTION("""COMPUTED_VALUE"""),"MSR767")</f>
        <v>MSR767</v>
      </c>
      <c r="B256" s="1" t="str">
        <f>IFERROR(__xludf.DUMMYFUNCTION("""COMPUTED_VALUE"""),"A21N")</f>
        <v>A21N</v>
      </c>
      <c r="C256" s="1" t="str">
        <f>IFERROR(__xludf.DUMMYFUNCTION("""COMPUTED_VALUE"""),"HECA")</f>
        <v>HECA</v>
      </c>
      <c r="D256" s="1" t="str">
        <f>IFERROR(__xludf.DUMMYFUNCTION("""COMPUTED_VALUE"""),"LEBL")</f>
        <v>LEBL</v>
      </c>
      <c r="E256" s="1" t="str">
        <f>IFERROR(__xludf.DUMMYFUNCTION("""COMPUTED_VALUE"""),"SUGFU")</f>
        <v>SUGFU</v>
      </c>
      <c r="F256" s="1">
        <f>IFERROR(__xludf.DUMMYFUNCTION("""COMPUTED_VALUE"""),360.0)</f>
        <v>360</v>
      </c>
      <c r="G256" s="7">
        <f>IFERROR(__xludf.DUMMYFUNCTION("""COMPUTED_VALUE"""),0.3854166666666667)</f>
        <v>0.3854166667</v>
      </c>
      <c r="H256" s="1">
        <f>IFERROR(__xludf.DUMMYFUNCTION("""COMPUTED_VALUE"""),15.0)</f>
        <v>15</v>
      </c>
      <c r="I256" s="7">
        <f>IFERROR(__xludf.DUMMYFUNCTION("""COMPUTED_VALUE"""),0.5381944444444444)</f>
        <v>0.5381944444</v>
      </c>
      <c r="J256" s="1" t="str">
        <f>IFERROR(__xludf.DUMMYFUNCTION("""COMPUTED_VALUE"""),"D")</f>
        <v>D</v>
      </c>
      <c r="K256" s="1">
        <f>IFERROR(__xludf.DUMMYFUNCTION("""COMPUTED_VALUE"""),200.0)</f>
        <v>200</v>
      </c>
      <c r="L256" s="7">
        <f>IFERROR(__xludf.DUMMYFUNCTION("""COMPUTED_VALUE"""),0.15277777777777773)</f>
        <v>0.1527777778</v>
      </c>
      <c r="M256" s="7">
        <f>IFERROR(__xludf.DUMMYFUNCTION("""COMPUTED_VALUE"""),0.12965277777777776)</f>
        <v>0.1296527778</v>
      </c>
      <c r="O256" s="9">
        <f>IFERROR(__xludf.DUMMYFUNCTION("""COMPUTED_VALUE"""),2582.683333333333)</f>
        <v>2582.683333</v>
      </c>
      <c r="P256" s="1" t="str">
        <f>IFERROR(__xludf.DUMMYFUNCTION("""COMPUTED_VALUE"""),"MSR")</f>
        <v>MSR</v>
      </c>
      <c r="Q256" s="1" t="str">
        <f>IFERROR(__xludf.DUMMYFUNCTION("""COMPUTED_VALUE"""),"NO ECAC")</f>
        <v>NO ECAC</v>
      </c>
    </row>
    <row r="257">
      <c r="A257" s="1" t="str">
        <f>IFERROR(__xludf.DUMMYFUNCTION("""COMPUTED_VALUE"""),"DLH04P")</f>
        <v>DLH04P</v>
      </c>
      <c r="B257" s="1" t="str">
        <f>IFERROR(__xludf.DUMMYFUNCTION("""COMPUTED_VALUE"""),"A20N")</f>
        <v>A20N</v>
      </c>
      <c r="C257" s="1" t="str">
        <f>IFERROR(__xludf.DUMMYFUNCTION("""COMPUTED_VALUE"""),"EDDM")</f>
        <v>EDDM</v>
      </c>
      <c r="D257" s="1" t="str">
        <f>IFERROR(__xludf.DUMMYFUNCTION("""COMPUTED_VALUE"""),"LEBL")</f>
        <v>LEBL</v>
      </c>
      <c r="E257" s="1" t="str">
        <f>IFERROR(__xludf.DUMMYFUNCTION("""COMPUTED_VALUE"""),"DAINO")</f>
        <v>DAINO</v>
      </c>
      <c r="F257" s="1">
        <f>IFERROR(__xludf.DUMMYFUNCTION("""COMPUTED_VALUE"""),390.0)</f>
        <v>390</v>
      </c>
      <c r="G257" s="7">
        <f>IFERROR(__xludf.DUMMYFUNCTION("""COMPUTED_VALUE"""),0.47708333333333336)</f>
        <v>0.4770833333</v>
      </c>
      <c r="H257" s="1">
        <f>IFERROR(__xludf.DUMMYFUNCTION("""COMPUTED_VALUE"""),11.0)</f>
        <v>11</v>
      </c>
      <c r="I257" s="7">
        <f>IFERROR(__xludf.DUMMYFUNCTION("""COMPUTED_VALUE"""),0.5381944444444444)</f>
        <v>0.5381944444</v>
      </c>
      <c r="J257" s="1" t="str">
        <f>IFERROR(__xludf.DUMMYFUNCTION("""COMPUTED_VALUE"""),"D")</f>
        <v>D</v>
      </c>
      <c r="K257" s="1">
        <f>IFERROR(__xludf.DUMMYFUNCTION("""COMPUTED_VALUE"""),180.0)</f>
        <v>180</v>
      </c>
      <c r="L257" s="7">
        <f>IFERROR(__xludf.DUMMYFUNCTION("""COMPUTED_VALUE"""),0.06111111111111106)</f>
        <v>0.06111111111</v>
      </c>
      <c r="M257" s="7">
        <f>IFERROR(__xludf.DUMMYFUNCTION("""COMPUTED_VALUE"""),0.040763888888888836)</f>
        <v>0.04076388889</v>
      </c>
      <c r="O257" s="9">
        <f>IFERROR(__xludf.DUMMYFUNCTION("""COMPUTED_VALUE"""),812.0166666666656)</f>
        <v>812.0166667</v>
      </c>
      <c r="P257" s="1" t="str">
        <f>IFERROR(__xludf.DUMMYFUNCTION("""COMPUTED_VALUE"""),"DLH")</f>
        <v>DLH</v>
      </c>
      <c r="Q257" s="1" t="str">
        <f>IFERROR(__xludf.DUMMYFUNCTION("""COMPUTED_VALUE"""),"ECAC")</f>
        <v>ECAC</v>
      </c>
    </row>
    <row r="258">
      <c r="A258" s="1" t="str">
        <f>IFERROR(__xludf.DUMMYFUNCTION("""COMPUTED_VALUE"""),"RJA107")</f>
        <v>RJA107</v>
      </c>
      <c r="B258" s="1" t="str">
        <f>IFERROR(__xludf.DUMMYFUNCTION("""COMPUTED_VALUE"""),"A20N")</f>
        <v>A20N</v>
      </c>
      <c r="C258" s="1" t="str">
        <f>IFERROR(__xludf.DUMMYFUNCTION("""COMPUTED_VALUE"""),"OJAI")</f>
        <v>OJAI</v>
      </c>
      <c r="D258" s="1" t="str">
        <f>IFERROR(__xludf.DUMMYFUNCTION("""COMPUTED_VALUE"""),"LEBL")</f>
        <v>LEBL</v>
      </c>
      <c r="E258" s="1" t="str">
        <f>IFERROR(__xludf.DUMMYFUNCTION("""COMPUTED_VALUE"""),"JYRAH")</f>
        <v>JYRAH</v>
      </c>
      <c r="F258" s="1">
        <f>IFERROR(__xludf.DUMMYFUNCTION("""COMPUTED_VALUE"""),370.0)</f>
        <v>370</v>
      </c>
      <c r="G258" s="7">
        <f>IFERROR(__xludf.DUMMYFUNCTION("""COMPUTED_VALUE"""),0.3576388888888889)</f>
        <v>0.3576388889</v>
      </c>
      <c r="H258" s="1">
        <f>IFERROR(__xludf.DUMMYFUNCTION("""COMPUTED_VALUE"""),10.0)</f>
        <v>10</v>
      </c>
      <c r="I258" s="7">
        <f>IFERROR(__xludf.DUMMYFUNCTION("""COMPUTED_VALUE"""),0.5416666666666666)</f>
        <v>0.5416666667</v>
      </c>
      <c r="J258" s="1" t="str">
        <f>IFERROR(__xludf.DUMMYFUNCTION("""COMPUTED_VALUE"""),"D")</f>
        <v>D</v>
      </c>
      <c r="K258" s="1">
        <f>IFERROR(__xludf.DUMMYFUNCTION("""COMPUTED_VALUE"""),180.0)</f>
        <v>180</v>
      </c>
      <c r="L258" s="7">
        <f>IFERROR(__xludf.DUMMYFUNCTION("""COMPUTED_VALUE"""),0.18402777777777773)</f>
        <v>0.1840277778</v>
      </c>
      <c r="M258" s="7">
        <f>IFERROR(__xludf.DUMMYFUNCTION("""COMPUTED_VALUE"""),0.16437499999999997)</f>
        <v>0.164375</v>
      </c>
      <c r="O258" s="9">
        <f>IFERROR(__xludf.DUMMYFUNCTION("""COMPUTED_VALUE"""),3274.3499999999995)</f>
        <v>3274.35</v>
      </c>
      <c r="P258" s="1" t="str">
        <f>IFERROR(__xludf.DUMMYFUNCTION("""COMPUTED_VALUE"""),"RJA")</f>
        <v>RJA</v>
      </c>
      <c r="Q258" s="1" t="str">
        <f>IFERROR(__xludf.DUMMYFUNCTION("""COMPUTED_VALUE"""),"NO ECAC")</f>
        <v>NO ECAC</v>
      </c>
    </row>
    <row r="259">
      <c r="A259" s="1" t="str">
        <f>IFERROR(__xludf.DUMMYFUNCTION("""COMPUTED_VALUE"""),"WZZ2JK")</f>
        <v>WZZ2JK</v>
      </c>
      <c r="B259" s="1" t="str">
        <f>IFERROR(__xludf.DUMMYFUNCTION("""COMPUTED_VALUE"""),"A320")</f>
        <v>A320</v>
      </c>
      <c r="C259" s="1" t="str">
        <f>IFERROR(__xludf.DUMMYFUNCTION("""COMPUTED_VALUE"""),"EPKT")</f>
        <v>EPKT</v>
      </c>
      <c r="D259" s="1" t="str">
        <f>IFERROR(__xludf.DUMMYFUNCTION("""COMPUTED_VALUE"""),"LEBL")</f>
        <v>LEBL</v>
      </c>
      <c r="E259" s="1" t="str">
        <f>IFERROR(__xludf.DUMMYFUNCTION("""COMPUTED_VALUE"""),"HALWU")</f>
        <v>HALWU</v>
      </c>
      <c r="F259" s="1">
        <f>IFERROR(__xludf.DUMMYFUNCTION("""COMPUTED_VALUE"""),380.0)</f>
        <v>380</v>
      </c>
      <c r="G259" s="7">
        <f>IFERROR(__xludf.DUMMYFUNCTION("""COMPUTED_VALUE"""),0.4444444444444444)</f>
        <v>0.4444444444</v>
      </c>
      <c r="H259" s="1">
        <f>IFERROR(__xludf.DUMMYFUNCTION("""COMPUTED_VALUE"""),10.0)</f>
        <v>10</v>
      </c>
      <c r="I259" s="7">
        <f>IFERROR(__xludf.DUMMYFUNCTION("""COMPUTED_VALUE"""),0.5416666666666666)</f>
        <v>0.5416666667</v>
      </c>
      <c r="J259" s="1" t="str">
        <f>IFERROR(__xludf.DUMMYFUNCTION("""COMPUTED_VALUE"""),"D")</f>
        <v>D</v>
      </c>
      <c r="K259" s="1">
        <f>IFERROR(__xludf.DUMMYFUNCTION("""COMPUTED_VALUE"""),173.0)</f>
        <v>173</v>
      </c>
      <c r="L259" s="7">
        <f>IFERROR(__xludf.DUMMYFUNCTION("""COMPUTED_VALUE"""),0.09722222222222221)</f>
        <v>0.09722222222</v>
      </c>
      <c r="M259" s="7">
        <f>IFERROR(__xludf.DUMMYFUNCTION("""COMPUTED_VALUE"""),0.07756944444444443)</f>
        <v>0.07756944444</v>
      </c>
      <c r="O259" s="9">
        <f>IFERROR(__xludf.DUMMYFUNCTION("""COMPUTED_VALUE"""),1545.1833333333332)</f>
        <v>1545.183333</v>
      </c>
      <c r="P259" s="1" t="str">
        <f>IFERROR(__xludf.DUMMYFUNCTION("""COMPUTED_VALUE"""),"WZZ")</f>
        <v>WZZ</v>
      </c>
      <c r="Q259" s="1" t="str">
        <f>IFERROR(__xludf.DUMMYFUNCTION("""COMPUTED_VALUE"""),"ECAC")</f>
        <v>ECAC</v>
      </c>
    </row>
    <row r="260">
      <c r="A260" s="1" t="str">
        <f>IFERROR(__xludf.DUMMYFUNCTION("""COMPUTED_VALUE"""),"VLG2PL")</f>
        <v>VLG2PL</v>
      </c>
      <c r="B260" s="1" t="str">
        <f>IFERROR(__xludf.DUMMYFUNCTION("""COMPUTED_VALUE"""),"A320")</f>
        <v>A320</v>
      </c>
      <c r="C260" s="1" t="str">
        <f>IFERROR(__xludf.DUMMYFUNCTION("""COMPUTED_VALUE"""),"LEMG")</f>
        <v>LEMG</v>
      </c>
      <c r="D260" s="1" t="str">
        <f>IFERROR(__xludf.DUMMYFUNCTION("""COMPUTED_VALUE"""),"LEBL")</f>
        <v>LEBL</v>
      </c>
      <c r="E260" s="1" t="str">
        <f>IFERROR(__xludf.DUMMYFUNCTION("""COMPUTED_VALUE"""),"ECOJF")</f>
        <v>ECOJF</v>
      </c>
      <c r="F260" s="1">
        <f>IFERROR(__xludf.DUMMYFUNCTION("""COMPUTED_VALUE"""),360.0)</f>
        <v>360</v>
      </c>
      <c r="G260" s="7">
        <f>IFERROR(__xludf.DUMMYFUNCTION("""COMPUTED_VALUE"""),0.48333333333333334)</f>
        <v>0.4833333333</v>
      </c>
      <c r="H260" s="1">
        <f>IFERROR(__xludf.DUMMYFUNCTION("""COMPUTED_VALUE"""),16.0)</f>
        <v>16</v>
      </c>
      <c r="I260" s="7">
        <f>IFERROR(__xludf.DUMMYFUNCTION("""COMPUTED_VALUE"""),0.5416666666666666)</f>
        <v>0.5416666667</v>
      </c>
      <c r="J260" s="1" t="str">
        <f>IFERROR(__xludf.DUMMYFUNCTION("""COMPUTED_VALUE"""),"D")</f>
        <v>D</v>
      </c>
      <c r="K260" s="1">
        <f>IFERROR(__xludf.DUMMYFUNCTION("""COMPUTED_VALUE"""),173.0)</f>
        <v>173</v>
      </c>
      <c r="L260" s="7">
        <f>IFERROR(__xludf.DUMMYFUNCTION("""COMPUTED_VALUE"""),0.05833333333333329)</f>
        <v>0.05833333333</v>
      </c>
      <c r="M260" s="7">
        <f>IFERROR(__xludf.DUMMYFUNCTION("""COMPUTED_VALUE"""),0.034513888888888844)</f>
        <v>0.03451388889</v>
      </c>
      <c r="O260" s="9">
        <f>IFERROR(__xludf.DUMMYFUNCTION("""COMPUTED_VALUE"""),687.5166666666657)</f>
        <v>687.5166667</v>
      </c>
      <c r="P260" s="1" t="str">
        <f>IFERROR(__xludf.DUMMYFUNCTION("""COMPUTED_VALUE"""),"VLG")</f>
        <v>VLG</v>
      </c>
      <c r="Q260" s="1" t="str">
        <f>IFERROR(__xludf.DUMMYFUNCTION("""COMPUTED_VALUE"""),"ECAC")</f>
        <v>ECAC</v>
      </c>
    </row>
    <row r="261">
      <c r="A261" s="1" t="str">
        <f>IFERROR(__xludf.DUMMYFUNCTION("""COMPUTED_VALUE"""),"AEA41FY")</f>
        <v>AEA41FY</v>
      </c>
      <c r="B261" s="1" t="str">
        <f>IFERROR(__xludf.DUMMYFUNCTION("""COMPUTED_VALUE"""),"B738")</f>
        <v>B738</v>
      </c>
      <c r="C261" s="1" t="str">
        <f>IFERROR(__xludf.DUMMYFUNCTION("""COMPUTED_VALUE"""),"LEPA")</f>
        <v>LEPA</v>
      </c>
      <c r="D261" s="1" t="str">
        <f>IFERROR(__xludf.DUMMYFUNCTION("""COMPUTED_VALUE"""),"LEBL")</f>
        <v>LEBL</v>
      </c>
      <c r="E261" s="1" t="str">
        <f>IFERROR(__xludf.DUMMYFUNCTION("""COMPUTED_VALUE"""),"ECLQX")</f>
        <v>ECLQX</v>
      </c>
      <c r="F261" s="1">
        <f>IFERROR(__xludf.DUMMYFUNCTION("""COMPUTED_VALUE"""),180.0)</f>
        <v>180</v>
      </c>
      <c r="G261" s="7">
        <f>IFERROR(__xludf.DUMMYFUNCTION("""COMPUTED_VALUE"""),0.49722222222222223)</f>
        <v>0.4972222222</v>
      </c>
      <c r="H261" s="1">
        <f>IFERROR(__xludf.DUMMYFUNCTION("""COMPUTED_VALUE"""),17.0)</f>
        <v>17</v>
      </c>
      <c r="I261" s="7">
        <f>IFERROR(__xludf.DUMMYFUNCTION("""COMPUTED_VALUE"""),0.5416666666666666)</f>
        <v>0.5416666667</v>
      </c>
      <c r="J261" s="1" t="str">
        <f>IFERROR(__xludf.DUMMYFUNCTION("""COMPUTED_VALUE"""),"D")</f>
        <v>D</v>
      </c>
      <c r="K261" s="1">
        <f>IFERROR(__xludf.DUMMYFUNCTION("""COMPUTED_VALUE"""),184.0)</f>
        <v>184</v>
      </c>
      <c r="L261" s="7">
        <f>IFERROR(__xludf.DUMMYFUNCTION("""COMPUTED_VALUE"""),0.0444444444444444)</f>
        <v>0.04444444444</v>
      </c>
      <c r="M261" s="7">
        <f>IFERROR(__xludf.DUMMYFUNCTION("""COMPUTED_VALUE"""),0.019930555555555507)</f>
        <v>0.01993055556</v>
      </c>
      <c r="O261" s="9">
        <f>IFERROR(__xludf.DUMMYFUNCTION("""COMPUTED_VALUE"""),397.0166666666657)</f>
        <v>397.0166667</v>
      </c>
      <c r="P261" s="1" t="str">
        <f>IFERROR(__xludf.DUMMYFUNCTION("""COMPUTED_VALUE"""),"AEA")</f>
        <v>AEA</v>
      </c>
      <c r="Q261" s="1" t="str">
        <f>IFERROR(__xludf.DUMMYFUNCTION("""COMPUTED_VALUE"""),"ECAC")</f>
        <v>ECAC</v>
      </c>
    </row>
    <row r="262">
      <c r="A262" s="1" t="str">
        <f>IFERROR(__xludf.DUMMYFUNCTION("""COMPUTED_VALUE"""),"WMT523")</f>
        <v>WMT523</v>
      </c>
      <c r="B262" s="1" t="str">
        <f>IFERROR(__xludf.DUMMYFUNCTION("""COMPUTED_VALUE"""),"A321")</f>
        <v>A321</v>
      </c>
      <c r="C262" s="1" t="str">
        <f>IFERROR(__xludf.DUMMYFUNCTION("""COMPUTED_VALUE"""),"LROP")</f>
        <v>LROP</v>
      </c>
      <c r="D262" s="1" t="str">
        <f>IFERROR(__xludf.DUMMYFUNCTION("""COMPUTED_VALUE"""),"LEBL")</f>
        <v>LEBL</v>
      </c>
      <c r="E262" s="1" t="str">
        <f>IFERROR(__xludf.DUMMYFUNCTION("""COMPUTED_VALUE"""),"HALXQ")</f>
        <v>HALXQ</v>
      </c>
      <c r="F262" s="1">
        <f>IFERROR(__xludf.DUMMYFUNCTION("""COMPUTED_VALUE"""),350.0)</f>
        <v>350</v>
      </c>
      <c r="G262" s="7">
        <f>IFERROR(__xludf.DUMMYFUNCTION("""COMPUTED_VALUE"""),0.4395833333333333)</f>
        <v>0.4395833333</v>
      </c>
      <c r="H262" s="1">
        <f>IFERROR(__xludf.DUMMYFUNCTION("""COMPUTED_VALUE"""),10.0)</f>
        <v>10</v>
      </c>
      <c r="I262" s="7">
        <f>IFERROR(__xludf.DUMMYFUNCTION("""COMPUTED_VALUE"""),0.5451388888888888)</f>
        <v>0.5451388889</v>
      </c>
      <c r="J262" s="1" t="str">
        <f>IFERROR(__xludf.DUMMYFUNCTION("""COMPUTED_VALUE"""),"D")</f>
        <v>D</v>
      </c>
      <c r="K262" s="1">
        <f>IFERROR(__xludf.DUMMYFUNCTION("""COMPUTED_VALUE"""),207.0)</f>
        <v>207</v>
      </c>
      <c r="L262" s="7">
        <f>IFERROR(__xludf.DUMMYFUNCTION("""COMPUTED_VALUE"""),0.10555555555555551)</f>
        <v>0.1055555556</v>
      </c>
      <c r="M262" s="7">
        <f>IFERROR(__xludf.DUMMYFUNCTION("""COMPUTED_VALUE"""),0.08590277777777773)</f>
        <v>0.08590277778</v>
      </c>
      <c r="O262" s="9">
        <f>IFERROR(__xludf.DUMMYFUNCTION("""COMPUTED_VALUE"""),1711.1833333333325)</f>
        <v>1711.183333</v>
      </c>
      <c r="P262" s="1" t="str">
        <f>IFERROR(__xludf.DUMMYFUNCTION("""COMPUTED_VALUE"""),"WMT")</f>
        <v>WMT</v>
      </c>
      <c r="Q262" s="1" t="str">
        <f>IFERROR(__xludf.DUMMYFUNCTION("""COMPUTED_VALUE"""),"ECAC")</f>
        <v>ECAC</v>
      </c>
    </row>
    <row r="263">
      <c r="A263" s="1" t="str">
        <f>IFERROR(__xludf.DUMMYFUNCTION("""COMPUTED_VALUE"""),"VLG7NU")</f>
        <v>VLG7NU</v>
      </c>
      <c r="B263" s="1" t="str">
        <f>IFERROR(__xludf.DUMMYFUNCTION("""COMPUTED_VALUE"""),"A321")</f>
        <v>A321</v>
      </c>
      <c r="C263" s="1" t="str">
        <f>IFERROR(__xludf.DUMMYFUNCTION("""COMPUTED_VALUE"""),"LEGR")</f>
        <v>LEGR</v>
      </c>
      <c r="D263" s="1" t="str">
        <f>IFERROR(__xludf.DUMMYFUNCTION("""COMPUTED_VALUE"""),"LEBL")</f>
        <v>LEBL</v>
      </c>
      <c r="E263" s="1" t="str">
        <f>IFERROR(__xludf.DUMMYFUNCTION("""COMPUTED_VALUE"""),"ECNLY")</f>
        <v>ECNLY</v>
      </c>
      <c r="F263" s="1">
        <f>IFERROR(__xludf.DUMMYFUNCTION("""COMPUTED_VALUE"""),340.0)</f>
        <v>340</v>
      </c>
      <c r="G263" s="7">
        <f>IFERROR(__xludf.DUMMYFUNCTION("""COMPUTED_VALUE"""),0.5)</f>
        <v>0.5</v>
      </c>
      <c r="H263" s="1">
        <f>IFERROR(__xludf.DUMMYFUNCTION("""COMPUTED_VALUE"""),5.0)</f>
        <v>5</v>
      </c>
      <c r="I263" s="7">
        <f>IFERROR(__xludf.DUMMYFUNCTION("""COMPUTED_VALUE"""),0.5451388888888888)</f>
        <v>0.5451388889</v>
      </c>
      <c r="J263" s="1" t="str">
        <f>IFERROR(__xludf.DUMMYFUNCTION("""COMPUTED_VALUE"""),"D")</f>
        <v>D</v>
      </c>
      <c r="K263" s="1">
        <f>IFERROR(__xludf.DUMMYFUNCTION("""COMPUTED_VALUE"""),207.0)</f>
        <v>207</v>
      </c>
      <c r="L263" s="7">
        <f>IFERROR(__xludf.DUMMYFUNCTION("""COMPUTED_VALUE"""),0.04513888888888884)</f>
        <v>0.04513888889</v>
      </c>
      <c r="M263" s="7">
        <f>IFERROR(__xludf.DUMMYFUNCTION("""COMPUTED_VALUE"""),0.02895833333333328)</f>
        <v>0.02895833333</v>
      </c>
      <c r="O263" s="9">
        <f>IFERROR(__xludf.DUMMYFUNCTION("""COMPUTED_VALUE"""),576.849999999999)</f>
        <v>576.85</v>
      </c>
      <c r="P263" s="1" t="str">
        <f>IFERROR(__xludf.DUMMYFUNCTION("""COMPUTED_VALUE"""),"VLG")</f>
        <v>VLG</v>
      </c>
      <c r="Q263" s="1" t="str">
        <f>IFERROR(__xludf.DUMMYFUNCTION("""COMPUTED_VALUE"""),"ECAC")</f>
        <v>ECAC</v>
      </c>
    </row>
    <row r="264">
      <c r="A264" s="1" t="str">
        <f>IFERROR(__xludf.DUMMYFUNCTION("""COMPUTED_VALUE"""),"EWG2U")</f>
        <v>EWG2U</v>
      </c>
      <c r="B264" s="1" t="str">
        <f>IFERROR(__xludf.DUMMYFUNCTION("""COMPUTED_VALUE"""),"A319")</f>
        <v>A319</v>
      </c>
      <c r="C264" s="1" t="str">
        <f>IFERROR(__xludf.DUMMYFUNCTION("""COMPUTED_VALUE"""),"EDDS")</f>
        <v>EDDS</v>
      </c>
      <c r="D264" s="1" t="str">
        <f>IFERROR(__xludf.DUMMYFUNCTION("""COMPUTED_VALUE"""),"LEBL")</f>
        <v>LEBL</v>
      </c>
      <c r="E264" s="1" t="str">
        <f>IFERROR(__xludf.DUMMYFUNCTION("""COMPUTED_VALUE"""),"DABGN")</f>
        <v>DABGN</v>
      </c>
      <c r="F264" s="1">
        <f>IFERROR(__xludf.DUMMYFUNCTION("""COMPUTED_VALUE"""),350.0)</f>
        <v>350</v>
      </c>
      <c r="G264" s="7">
        <f>IFERROR(__xludf.DUMMYFUNCTION("""COMPUTED_VALUE"""),0.48819444444444443)</f>
        <v>0.4881944444</v>
      </c>
      <c r="H264" s="1">
        <f>IFERROR(__xludf.DUMMYFUNCTION("""COMPUTED_VALUE"""),8.0)</f>
        <v>8</v>
      </c>
      <c r="I264" s="7">
        <f>IFERROR(__xludf.DUMMYFUNCTION("""COMPUTED_VALUE"""),0.5486111111111112)</f>
        <v>0.5486111111</v>
      </c>
      <c r="J264" s="1" t="str">
        <f>IFERROR(__xludf.DUMMYFUNCTION("""COMPUTED_VALUE"""),"D")</f>
        <v>D</v>
      </c>
      <c r="K264" s="1">
        <f>IFERROR(__xludf.DUMMYFUNCTION("""COMPUTED_VALUE"""),144.0)</f>
        <v>144</v>
      </c>
      <c r="L264" s="7">
        <f>IFERROR(__xludf.DUMMYFUNCTION("""COMPUTED_VALUE"""),0.06041666666666673)</f>
        <v>0.06041666667</v>
      </c>
      <c r="M264" s="7">
        <f>IFERROR(__xludf.DUMMYFUNCTION("""COMPUTED_VALUE"""),0.04215277777777784)</f>
        <v>0.04215277778</v>
      </c>
      <c r="O264" s="9">
        <f>IFERROR(__xludf.DUMMYFUNCTION("""COMPUTED_VALUE"""),839.6833333333345)</f>
        <v>839.6833333</v>
      </c>
      <c r="P264" s="1" t="str">
        <f>IFERROR(__xludf.DUMMYFUNCTION("""COMPUTED_VALUE"""),"EWG")</f>
        <v>EWG</v>
      </c>
      <c r="Q264" s="1" t="str">
        <f>IFERROR(__xludf.DUMMYFUNCTION("""COMPUTED_VALUE"""),"ECAC")</f>
        <v>ECAC</v>
      </c>
    </row>
    <row r="265">
      <c r="A265" s="1" t="str">
        <f>IFERROR(__xludf.DUMMYFUNCTION("""COMPUTED_VALUE"""),"WMT227")</f>
        <v>WMT227</v>
      </c>
      <c r="B265" s="1" t="str">
        <f>IFERROR(__xludf.DUMMYFUNCTION("""COMPUTED_VALUE"""),"A21N")</f>
        <v>A21N</v>
      </c>
      <c r="C265" s="1" t="str">
        <f>IFERROR(__xludf.DUMMYFUNCTION("""COMPUTED_VALUE"""),"LIPZ")</f>
        <v>LIPZ</v>
      </c>
      <c r="D265" s="1" t="str">
        <f>IFERROR(__xludf.DUMMYFUNCTION("""COMPUTED_VALUE"""),"LEBL")</f>
        <v>LEBL</v>
      </c>
      <c r="E265" s="1" t="str">
        <f>IFERROR(__xludf.DUMMYFUNCTION("""COMPUTED_VALUE"""),"9HWNX")</f>
        <v>9HWNX</v>
      </c>
      <c r="F265" s="1">
        <f>IFERROR(__xludf.DUMMYFUNCTION("""COMPUTED_VALUE"""),350.0)</f>
        <v>350</v>
      </c>
      <c r="G265" s="7">
        <f>IFERROR(__xludf.DUMMYFUNCTION("""COMPUTED_VALUE"""),0.48680555555555555)</f>
        <v>0.4868055556</v>
      </c>
      <c r="H265" s="1">
        <f>IFERROR(__xludf.DUMMYFUNCTION("""COMPUTED_VALUE"""),11.0)</f>
        <v>11</v>
      </c>
      <c r="I265" s="7">
        <f>IFERROR(__xludf.DUMMYFUNCTION("""COMPUTED_VALUE"""),0.5486111111111112)</f>
        <v>0.5486111111</v>
      </c>
      <c r="J265" s="1" t="str">
        <f>IFERROR(__xludf.DUMMYFUNCTION("""COMPUTED_VALUE"""),"D")</f>
        <v>D</v>
      </c>
      <c r="K265" s="1">
        <f>IFERROR(__xludf.DUMMYFUNCTION("""COMPUTED_VALUE"""),200.0)</f>
        <v>200</v>
      </c>
      <c r="L265" s="7">
        <f>IFERROR(__xludf.DUMMYFUNCTION("""COMPUTED_VALUE"""),0.061805555555555614)</f>
        <v>0.06180555556</v>
      </c>
      <c r="M265" s="7">
        <f>IFERROR(__xludf.DUMMYFUNCTION("""COMPUTED_VALUE"""),0.04145833333333339)</f>
        <v>0.04145833333</v>
      </c>
      <c r="O265" s="9">
        <f>IFERROR(__xludf.DUMMYFUNCTION("""COMPUTED_VALUE"""),825.850000000001)</f>
        <v>825.85</v>
      </c>
      <c r="P265" s="1" t="str">
        <f>IFERROR(__xludf.DUMMYFUNCTION("""COMPUTED_VALUE"""),"WMT")</f>
        <v>WMT</v>
      </c>
      <c r="Q265" s="1" t="str">
        <f>IFERROR(__xludf.DUMMYFUNCTION("""COMPUTED_VALUE"""),"ECAC")</f>
        <v>ECAC</v>
      </c>
    </row>
    <row r="266">
      <c r="A266" s="1" t="str">
        <f>IFERROR(__xludf.DUMMYFUNCTION("""COMPUTED_VALUE"""),"VLG52RX")</f>
        <v>VLG52RX</v>
      </c>
      <c r="B266" s="1" t="str">
        <f>IFERROR(__xludf.DUMMYFUNCTION("""COMPUTED_VALUE"""),"A20N")</f>
        <v>A20N</v>
      </c>
      <c r="C266" s="1" t="str">
        <f>IFERROR(__xludf.DUMMYFUNCTION("""COMPUTED_VALUE"""),"LFPO")</f>
        <v>LFPO</v>
      </c>
      <c r="D266" s="1" t="str">
        <f>IFERROR(__xludf.DUMMYFUNCTION("""COMPUTED_VALUE"""),"LEBL")</f>
        <v>LEBL</v>
      </c>
      <c r="E266" s="1" t="str">
        <f>IFERROR(__xludf.DUMMYFUNCTION("""COMPUTED_VALUE"""),"ECNCU")</f>
        <v>ECNCU</v>
      </c>
      <c r="F266" s="1">
        <f>IFERROR(__xludf.DUMMYFUNCTION("""COMPUTED_VALUE"""),390.0)</f>
        <v>390</v>
      </c>
      <c r="G266" s="7">
        <f>IFERROR(__xludf.DUMMYFUNCTION("""COMPUTED_VALUE"""),0.49722222222222223)</f>
        <v>0.4972222222</v>
      </c>
      <c r="H266" s="1">
        <f>IFERROR(__xludf.DUMMYFUNCTION("""COMPUTED_VALUE"""),8.0)</f>
        <v>8</v>
      </c>
      <c r="I266" s="7">
        <f>IFERROR(__xludf.DUMMYFUNCTION("""COMPUTED_VALUE"""),0.5520833333333334)</f>
        <v>0.5520833333</v>
      </c>
      <c r="J266" s="1" t="str">
        <f>IFERROR(__xludf.DUMMYFUNCTION("""COMPUTED_VALUE"""),"D")</f>
        <v>D</v>
      </c>
      <c r="K266" s="1">
        <f>IFERROR(__xludf.DUMMYFUNCTION("""COMPUTED_VALUE"""),180.0)</f>
        <v>180</v>
      </c>
      <c r="L266" s="7">
        <f>IFERROR(__xludf.DUMMYFUNCTION("""COMPUTED_VALUE"""),0.05486111111111114)</f>
        <v>0.05486111111</v>
      </c>
      <c r="M266" s="7">
        <f>IFERROR(__xludf.DUMMYFUNCTION("""COMPUTED_VALUE"""),0.036597222222222246)</f>
        <v>0.03659722222</v>
      </c>
      <c r="O266" s="9">
        <f>IFERROR(__xludf.DUMMYFUNCTION("""COMPUTED_VALUE"""),729.0166666666671)</f>
        <v>729.0166667</v>
      </c>
      <c r="P266" s="1" t="str">
        <f>IFERROR(__xludf.DUMMYFUNCTION("""COMPUTED_VALUE"""),"VLG")</f>
        <v>VLG</v>
      </c>
      <c r="Q266" s="1" t="str">
        <f>IFERROR(__xludf.DUMMYFUNCTION("""COMPUTED_VALUE"""),"ECAC")</f>
        <v>ECAC</v>
      </c>
    </row>
    <row r="267">
      <c r="A267" s="1" t="str">
        <f>IFERROR(__xludf.DUMMYFUNCTION("""COMPUTED_VALUE"""),"VLG4HQ")</f>
        <v>VLG4HQ</v>
      </c>
      <c r="B267" s="1" t="str">
        <f>IFERROR(__xludf.DUMMYFUNCTION("""COMPUTED_VALUE"""),"A320")</f>
        <v>A320</v>
      </c>
      <c r="C267" s="1" t="str">
        <f>IFERROR(__xludf.DUMMYFUNCTION("""COMPUTED_VALUE"""),"LEMH")</f>
        <v>LEMH</v>
      </c>
      <c r="D267" s="1" t="str">
        <f>IFERROR(__xludf.DUMMYFUNCTION("""COMPUTED_VALUE"""),"LEBL")</f>
        <v>LEBL</v>
      </c>
      <c r="E267" s="1" t="str">
        <f>IFERROR(__xludf.DUMMYFUNCTION("""COMPUTED_VALUE"""),"ECMAN")</f>
        <v>ECMAN</v>
      </c>
      <c r="F267" s="1">
        <f>IFERROR(__xludf.DUMMYFUNCTION("""COMPUTED_VALUE"""),180.0)</f>
        <v>180</v>
      </c>
      <c r="G267" s="7">
        <f>IFERROR(__xludf.DUMMYFUNCTION("""COMPUTED_VALUE"""),0.5305555555555556)</f>
        <v>0.5305555556</v>
      </c>
      <c r="H267" s="1">
        <f>IFERROR(__xludf.DUMMYFUNCTION("""COMPUTED_VALUE"""),10.0)</f>
        <v>10</v>
      </c>
      <c r="I267" s="7">
        <f>IFERROR(__xludf.DUMMYFUNCTION("""COMPUTED_VALUE"""),0.5520833333333334)</f>
        <v>0.5520833333</v>
      </c>
      <c r="J267" s="1" t="str">
        <f>IFERROR(__xludf.DUMMYFUNCTION("""COMPUTED_VALUE"""),"D")</f>
        <v>D</v>
      </c>
      <c r="K267" s="1">
        <f>IFERROR(__xludf.DUMMYFUNCTION("""COMPUTED_VALUE"""),173.0)</f>
        <v>173</v>
      </c>
      <c r="L267" s="7">
        <f>IFERROR(__xludf.DUMMYFUNCTION("""COMPUTED_VALUE"""),0.021527777777777812)</f>
        <v>0.02152777778</v>
      </c>
      <c r="M267" s="7">
        <f>IFERROR(__xludf.DUMMYFUNCTION("""COMPUTED_VALUE"""),0.0018750000000000346)</f>
        <v>0.001875</v>
      </c>
      <c r="O267" s="9">
        <f>IFERROR(__xludf.DUMMYFUNCTION("""COMPUTED_VALUE"""),37.35000000000069)</f>
        <v>37.35</v>
      </c>
      <c r="P267" s="1" t="str">
        <f>IFERROR(__xludf.DUMMYFUNCTION("""COMPUTED_VALUE"""),"VLG")</f>
        <v>VLG</v>
      </c>
      <c r="Q267" s="1" t="str">
        <f>IFERROR(__xludf.DUMMYFUNCTION("""COMPUTED_VALUE"""),"ECAC")</f>
        <v>ECAC</v>
      </c>
    </row>
    <row r="268">
      <c r="A268" s="1" t="str">
        <f>IFERROR(__xludf.DUMMYFUNCTION("""COMPUTED_VALUE"""),"DLH91A")</f>
        <v>DLH91A</v>
      </c>
      <c r="B268" s="1" t="str">
        <f>IFERROR(__xludf.DUMMYFUNCTION("""COMPUTED_VALUE"""),"A321")</f>
        <v>A321</v>
      </c>
      <c r="C268" s="1" t="str">
        <f>IFERROR(__xludf.DUMMYFUNCTION("""COMPUTED_VALUE"""),"EDDF")</f>
        <v>EDDF</v>
      </c>
      <c r="D268" s="1" t="str">
        <f>IFERROR(__xludf.DUMMYFUNCTION("""COMPUTED_VALUE"""),"LEBL")</f>
        <v>LEBL</v>
      </c>
      <c r="E268" s="1" t="str">
        <f>IFERROR(__xludf.DUMMYFUNCTION("""COMPUTED_VALUE"""),"DAISI")</f>
        <v>DAISI</v>
      </c>
      <c r="F268" s="1">
        <f>IFERROR(__xludf.DUMMYFUNCTION("""COMPUTED_VALUE"""),370.0)</f>
        <v>370</v>
      </c>
      <c r="G268" s="7">
        <f>IFERROR(__xludf.DUMMYFUNCTION("""COMPUTED_VALUE"""),0.49027777777777776)</f>
        <v>0.4902777778</v>
      </c>
      <c r="H268" s="1">
        <f>IFERROR(__xludf.DUMMYFUNCTION("""COMPUTED_VALUE"""),11.0)</f>
        <v>11</v>
      </c>
      <c r="I268" s="7">
        <f>IFERROR(__xludf.DUMMYFUNCTION("""COMPUTED_VALUE"""),0.5520833333333334)</f>
        <v>0.5520833333</v>
      </c>
      <c r="J268" s="1" t="str">
        <f>IFERROR(__xludf.DUMMYFUNCTION("""COMPUTED_VALUE"""),"D")</f>
        <v>D</v>
      </c>
      <c r="K268" s="1">
        <f>IFERROR(__xludf.DUMMYFUNCTION("""COMPUTED_VALUE"""),207.0)</f>
        <v>207</v>
      </c>
      <c r="L268" s="7">
        <f>IFERROR(__xludf.DUMMYFUNCTION("""COMPUTED_VALUE"""),0.061805555555555614)</f>
        <v>0.06180555556</v>
      </c>
      <c r="M268" s="7">
        <f>IFERROR(__xludf.DUMMYFUNCTION("""COMPUTED_VALUE"""),0.04145833333333339)</f>
        <v>0.04145833333</v>
      </c>
      <c r="O268" s="9">
        <f>IFERROR(__xludf.DUMMYFUNCTION("""COMPUTED_VALUE"""),825.850000000001)</f>
        <v>825.85</v>
      </c>
      <c r="P268" s="1" t="str">
        <f>IFERROR(__xludf.DUMMYFUNCTION("""COMPUTED_VALUE"""),"DLH")</f>
        <v>DLH</v>
      </c>
      <c r="Q268" s="1" t="str">
        <f>IFERROR(__xludf.DUMMYFUNCTION("""COMPUTED_VALUE"""),"ECAC")</f>
        <v>ECAC</v>
      </c>
    </row>
    <row r="269">
      <c r="A269" s="1" t="str">
        <f>IFERROR(__xludf.DUMMYFUNCTION("""COMPUTED_VALUE"""),"TDR153")</f>
        <v>TDR153</v>
      </c>
      <c r="B269" s="1" t="str">
        <f>IFERROR(__xludf.DUMMYFUNCTION("""COMPUTED_VALUE"""),"A320")</f>
        <v>A320</v>
      </c>
      <c r="C269" s="1" t="str">
        <f>IFERROR(__xludf.DUMMYFUNCTION("""COMPUTED_VALUE"""),"LJLJ")</f>
        <v>LJLJ</v>
      </c>
      <c r="D269" s="1" t="str">
        <f>IFERROR(__xludf.DUMMYFUNCTION("""COMPUTED_VALUE"""),"LEBL")</f>
        <v>LEBL</v>
      </c>
      <c r="E269" s="1" t="str">
        <f>IFERROR(__xludf.DUMMYFUNCTION("""COMPUTED_VALUE"""),"9ABTK")</f>
        <v>9ABTK</v>
      </c>
      <c r="F269" s="1">
        <f>IFERROR(__xludf.DUMMYFUNCTION("""COMPUTED_VALUE"""),350.0)</f>
        <v>350</v>
      </c>
      <c r="G269" s="7">
        <f>IFERROR(__xludf.DUMMYFUNCTION("""COMPUTED_VALUE"""),0.49583333333333335)</f>
        <v>0.4958333333</v>
      </c>
      <c r="H269" s="1">
        <f>IFERROR(__xludf.DUMMYFUNCTION("""COMPUTED_VALUE"""),8.0)</f>
        <v>8</v>
      </c>
      <c r="I269" s="7">
        <f>IFERROR(__xludf.DUMMYFUNCTION("""COMPUTED_VALUE"""),0.5520833333333334)</f>
        <v>0.5520833333</v>
      </c>
      <c r="J269" s="1" t="str">
        <f>IFERROR(__xludf.DUMMYFUNCTION("""COMPUTED_VALUE"""),"D")</f>
        <v>D</v>
      </c>
      <c r="K269" s="1">
        <f>IFERROR(__xludf.DUMMYFUNCTION("""COMPUTED_VALUE"""),173.0)</f>
        <v>173</v>
      </c>
      <c r="L269" s="7">
        <f>IFERROR(__xludf.DUMMYFUNCTION("""COMPUTED_VALUE"""),0.05625000000000002)</f>
        <v>0.05625</v>
      </c>
      <c r="M269" s="7">
        <f>IFERROR(__xludf.DUMMYFUNCTION("""COMPUTED_VALUE"""),0.03798611111111113)</f>
        <v>0.03798611111</v>
      </c>
      <c r="O269" s="9">
        <f>IFERROR(__xludf.DUMMYFUNCTION("""COMPUTED_VALUE"""),756.6833333333336)</f>
        <v>756.6833333</v>
      </c>
      <c r="P269" s="1" t="str">
        <f>IFERROR(__xludf.DUMMYFUNCTION("""COMPUTED_VALUE"""),"TDR")</f>
        <v>TDR</v>
      </c>
      <c r="Q269" s="1" t="str">
        <f>IFERROR(__xludf.DUMMYFUNCTION("""COMPUTED_VALUE"""),"ECAC")</f>
        <v>ECAC</v>
      </c>
    </row>
    <row r="270">
      <c r="A270" s="1" t="str">
        <f>IFERROR(__xludf.DUMMYFUNCTION("""COMPUTED_VALUE"""),"VOE55YD")</f>
        <v>VOE55YD</v>
      </c>
      <c r="B270" s="1" t="str">
        <f>IFERROR(__xludf.DUMMYFUNCTION("""COMPUTED_VALUE"""),"A320")</f>
        <v>A320</v>
      </c>
      <c r="C270" s="1" t="str">
        <f>IFERROR(__xludf.DUMMYFUNCTION("""COMPUTED_VALUE"""),"LFRS")</f>
        <v>LFRS</v>
      </c>
      <c r="D270" s="1" t="str">
        <f>IFERROR(__xludf.DUMMYFUNCTION("""COMPUTED_VALUE"""),"LEBL")</f>
        <v>LEBL</v>
      </c>
      <c r="E270" s="1" t="str">
        <f>IFERROR(__xludf.DUMMYFUNCTION("""COMPUTED_VALUE"""),"ECNPC")</f>
        <v>ECNPC</v>
      </c>
      <c r="F270" s="1">
        <f>IFERROR(__xludf.DUMMYFUNCTION("""COMPUTED_VALUE"""),330.0)</f>
        <v>330</v>
      </c>
      <c r="G270" s="7">
        <f>IFERROR(__xludf.DUMMYFUNCTION("""COMPUTED_VALUE"""),0.5104166666666666)</f>
        <v>0.5104166667</v>
      </c>
      <c r="H270" s="1">
        <f>IFERROR(__xludf.DUMMYFUNCTION("""COMPUTED_VALUE"""),10.0)</f>
        <v>10</v>
      </c>
      <c r="I270" s="7">
        <f>IFERROR(__xludf.DUMMYFUNCTION("""COMPUTED_VALUE"""),0.5555555555555556)</f>
        <v>0.5555555556</v>
      </c>
      <c r="J270" s="1" t="str">
        <f>IFERROR(__xludf.DUMMYFUNCTION("""COMPUTED_VALUE"""),"D")</f>
        <v>D</v>
      </c>
      <c r="K270" s="1">
        <f>IFERROR(__xludf.DUMMYFUNCTION("""COMPUTED_VALUE"""),173.0)</f>
        <v>173</v>
      </c>
      <c r="L270" s="7">
        <f>IFERROR(__xludf.DUMMYFUNCTION("""COMPUTED_VALUE"""),0.04513888888888895)</f>
        <v>0.04513888889</v>
      </c>
      <c r="M270" s="7">
        <f>IFERROR(__xludf.DUMMYFUNCTION("""COMPUTED_VALUE"""),0.02548611111111117)</f>
        <v>0.02548611111</v>
      </c>
      <c r="O270" s="9">
        <f>IFERROR(__xludf.DUMMYFUNCTION("""COMPUTED_VALUE"""),507.68333333333453)</f>
        <v>507.6833333</v>
      </c>
      <c r="P270" s="1" t="str">
        <f>IFERROR(__xludf.DUMMYFUNCTION("""COMPUTED_VALUE"""),"VOE")</f>
        <v>VOE</v>
      </c>
      <c r="Q270" s="1" t="str">
        <f>IFERROR(__xludf.DUMMYFUNCTION("""COMPUTED_VALUE"""),"ECAC")</f>
        <v>ECAC</v>
      </c>
    </row>
    <row r="271">
      <c r="A271" s="1" t="str">
        <f>IFERROR(__xludf.DUMMYFUNCTION("""COMPUTED_VALUE"""),"VLG795H")</f>
        <v>VLG795H</v>
      </c>
      <c r="B271" s="1" t="str">
        <f>IFERROR(__xludf.DUMMYFUNCTION("""COMPUTED_VALUE"""),"A320")</f>
        <v>A320</v>
      </c>
      <c r="C271" s="1" t="str">
        <f>IFERROR(__xludf.DUMMYFUNCTION("""COMPUTED_VALUE"""),"EHAM")</f>
        <v>EHAM</v>
      </c>
      <c r="D271" s="1" t="str">
        <f>IFERROR(__xludf.DUMMYFUNCTION("""COMPUTED_VALUE"""),"LEBL")</f>
        <v>LEBL</v>
      </c>
      <c r="E271" s="1" t="str">
        <f>IFERROR(__xludf.DUMMYFUNCTION("""COMPUTED_VALUE"""),"ECMVE")</f>
        <v>ECMVE</v>
      </c>
      <c r="F271" s="1">
        <f>IFERROR(__xludf.DUMMYFUNCTION("""COMPUTED_VALUE"""),370.0)</f>
        <v>370</v>
      </c>
      <c r="G271" s="7">
        <f>IFERROR(__xludf.DUMMYFUNCTION("""COMPUTED_VALUE"""),0.48055555555555557)</f>
        <v>0.4805555556</v>
      </c>
      <c r="H271" s="1">
        <f>IFERROR(__xludf.DUMMYFUNCTION("""COMPUTED_VALUE"""),24.0)</f>
        <v>24</v>
      </c>
      <c r="I271" s="7">
        <f>IFERROR(__xludf.DUMMYFUNCTION("""COMPUTED_VALUE"""),0.5555555555555556)</f>
        <v>0.5555555556</v>
      </c>
      <c r="J271" s="1" t="str">
        <f>IFERROR(__xludf.DUMMYFUNCTION("""COMPUTED_VALUE"""),"D")</f>
        <v>D</v>
      </c>
      <c r="K271" s="1">
        <f>IFERROR(__xludf.DUMMYFUNCTION("""COMPUTED_VALUE"""),173.0)</f>
        <v>173</v>
      </c>
      <c r="L271" s="7">
        <f>IFERROR(__xludf.DUMMYFUNCTION("""COMPUTED_VALUE"""),0.07500000000000001)</f>
        <v>0.075</v>
      </c>
      <c r="M271" s="7">
        <f>IFERROR(__xludf.DUMMYFUNCTION("""COMPUTED_VALUE"""),0.04562500000000001)</f>
        <v>0.045625</v>
      </c>
      <c r="O271" s="9">
        <f>IFERROR(__xludf.DUMMYFUNCTION("""COMPUTED_VALUE"""),908.8500000000001)</f>
        <v>908.85</v>
      </c>
      <c r="P271" s="1" t="str">
        <f>IFERROR(__xludf.DUMMYFUNCTION("""COMPUTED_VALUE"""),"VLG")</f>
        <v>VLG</v>
      </c>
      <c r="Q271" s="1" t="str">
        <f>IFERROR(__xludf.DUMMYFUNCTION("""COMPUTED_VALUE"""),"ECAC")</f>
        <v>ECAC</v>
      </c>
    </row>
    <row r="272">
      <c r="A272" s="1" t="str">
        <f>IFERROR(__xludf.DUMMYFUNCTION("""COMPUTED_VALUE"""),"VOE67QG")</f>
        <v>VOE67QG</v>
      </c>
      <c r="B272" s="1" t="str">
        <f>IFERROR(__xludf.DUMMYFUNCTION("""COMPUTED_VALUE"""),"A320")</f>
        <v>A320</v>
      </c>
      <c r="C272" s="1" t="str">
        <f>IFERROR(__xludf.DUMMYFUNCTION("""COMPUTED_VALUE"""),"LIEO")</f>
        <v>LIEO</v>
      </c>
      <c r="D272" s="1" t="str">
        <f>IFERROR(__xludf.DUMMYFUNCTION("""COMPUTED_VALUE"""),"LEBL")</f>
        <v>LEBL</v>
      </c>
      <c r="E272" s="1" t="str">
        <f>IFERROR(__xludf.DUMMYFUNCTION("""COMPUTED_VALUE"""),"ECNOL")</f>
        <v>ECNOL</v>
      </c>
      <c r="F272" s="1">
        <f>IFERROR(__xludf.DUMMYFUNCTION("""COMPUTED_VALUE"""),330.0)</f>
        <v>330</v>
      </c>
      <c r="G272" s="7">
        <f>IFERROR(__xludf.DUMMYFUNCTION("""COMPUTED_VALUE"""),0.5145833333333333)</f>
        <v>0.5145833333</v>
      </c>
      <c r="H272" s="1">
        <f>IFERROR(__xludf.DUMMYFUNCTION("""COMPUTED_VALUE"""),15.0)</f>
        <v>15</v>
      </c>
      <c r="I272" s="7">
        <f>IFERROR(__xludf.DUMMYFUNCTION("""COMPUTED_VALUE"""),0.5590277777777778)</f>
        <v>0.5590277778</v>
      </c>
      <c r="J272" s="1" t="str">
        <f>IFERROR(__xludf.DUMMYFUNCTION("""COMPUTED_VALUE"""),"D")</f>
        <v>D</v>
      </c>
      <c r="K272" s="1">
        <f>IFERROR(__xludf.DUMMYFUNCTION("""COMPUTED_VALUE"""),173.0)</f>
        <v>173</v>
      </c>
      <c r="L272" s="7">
        <f>IFERROR(__xludf.DUMMYFUNCTION("""COMPUTED_VALUE"""),0.04444444444444451)</f>
        <v>0.04444444444</v>
      </c>
      <c r="M272" s="7">
        <f>IFERROR(__xludf.DUMMYFUNCTION("""COMPUTED_VALUE"""),0.02131944444444451)</f>
        <v>0.02131944444</v>
      </c>
      <c r="O272" s="9">
        <f>IFERROR(__xludf.DUMMYFUNCTION("""COMPUTED_VALUE"""),424.68333333333464)</f>
        <v>424.6833333</v>
      </c>
      <c r="P272" s="1" t="str">
        <f>IFERROR(__xludf.DUMMYFUNCTION("""COMPUTED_VALUE"""),"VOE")</f>
        <v>VOE</v>
      </c>
      <c r="Q272" s="1" t="str">
        <f>IFERROR(__xludf.DUMMYFUNCTION("""COMPUTED_VALUE"""),"ECAC")</f>
        <v>ECAC</v>
      </c>
    </row>
    <row r="273">
      <c r="A273" s="1" t="str">
        <f>IFERROR(__xludf.DUMMYFUNCTION("""COMPUTED_VALUE"""),"VLG34YJ")</f>
        <v>VLG34YJ</v>
      </c>
      <c r="B273" s="1" t="str">
        <f>IFERROR(__xludf.DUMMYFUNCTION("""COMPUTED_VALUE"""),"A319")</f>
        <v>A319</v>
      </c>
      <c r="C273" s="1" t="str">
        <f>IFERROR(__xludf.DUMMYFUNCTION("""COMPUTED_VALUE"""),"LIRQ")</f>
        <v>LIRQ</v>
      </c>
      <c r="D273" s="1" t="str">
        <f>IFERROR(__xludf.DUMMYFUNCTION("""COMPUTED_VALUE"""),"LEBL")</f>
        <v>LEBL</v>
      </c>
      <c r="E273" s="1" t="str">
        <f>IFERROR(__xludf.DUMMYFUNCTION("""COMPUTED_VALUE"""),"ECMIQ")</f>
        <v>ECMIQ</v>
      </c>
      <c r="F273" s="1">
        <f>IFERROR(__xludf.DUMMYFUNCTION("""COMPUTED_VALUE"""),360.0)</f>
        <v>360</v>
      </c>
      <c r="G273" s="7">
        <f>IFERROR(__xludf.DUMMYFUNCTION("""COMPUTED_VALUE"""),0.5055555555555555)</f>
        <v>0.5055555556</v>
      </c>
      <c r="H273" s="1">
        <f>IFERROR(__xludf.DUMMYFUNCTION("""COMPUTED_VALUE"""),20.0)</f>
        <v>20</v>
      </c>
      <c r="I273" s="7">
        <f>IFERROR(__xludf.DUMMYFUNCTION("""COMPUTED_VALUE"""),0.5590277777777778)</f>
        <v>0.5590277778</v>
      </c>
      <c r="J273" s="1" t="str">
        <f>IFERROR(__xludf.DUMMYFUNCTION("""COMPUTED_VALUE"""),"D")</f>
        <v>D</v>
      </c>
      <c r="K273" s="1">
        <f>IFERROR(__xludf.DUMMYFUNCTION("""COMPUTED_VALUE"""),144.0)</f>
        <v>144</v>
      </c>
      <c r="L273" s="7">
        <f>IFERROR(__xludf.DUMMYFUNCTION("""COMPUTED_VALUE"""),0.053472222222222254)</f>
        <v>0.05347222222</v>
      </c>
      <c r="M273" s="7">
        <f>IFERROR(__xludf.DUMMYFUNCTION("""COMPUTED_VALUE"""),0.02687500000000003)</f>
        <v>0.026875</v>
      </c>
      <c r="O273" s="9">
        <f>IFERROR(__xludf.DUMMYFUNCTION("""COMPUTED_VALUE"""),535.3500000000006)</f>
        <v>535.35</v>
      </c>
      <c r="P273" s="1" t="str">
        <f>IFERROR(__xludf.DUMMYFUNCTION("""COMPUTED_VALUE"""),"VLG")</f>
        <v>VLG</v>
      </c>
      <c r="Q273" s="1" t="str">
        <f>IFERROR(__xludf.DUMMYFUNCTION("""COMPUTED_VALUE"""),"ECAC")</f>
        <v>ECAC</v>
      </c>
    </row>
    <row r="274">
      <c r="A274" s="1" t="str">
        <f>IFERROR(__xludf.DUMMYFUNCTION("""COMPUTED_VALUE"""),"NSZ2KT")</f>
        <v>NSZ2KT</v>
      </c>
      <c r="B274" s="1" t="str">
        <f>IFERROR(__xludf.DUMMYFUNCTION("""COMPUTED_VALUE"""),"B738")</f>
        <v>B738</v>
      </c>
      <c r="C274" s="1" t="str">
        <f>IFERROR(__xludf.DUMMYFUNCTION("""COMPUTED_VALUE"""),"ESSA")</f>
        <v>ESSA</v>
      </c>
      <c r="D274" s="1" t="str">
        <f>IFERROR(__xludf.DUMMYFUNCTION("""COMPUTED_VALUE"""),"LEBL")</f>
        <v>LEBL</v>
      </c>
      <c r="E274" s="1" t="str">
        <f>IFERROR(__xludf.DUMMYFUNCTION("""COMPUTED_VALUE"""),"SERRF")</f>
        <v>SERRF</v>
      </c>
      <c r="F274" s="1">
        <f>IFERROR(__xludf.DUMMYFUNCTION("""COMPUTED_VALUE"""),390.0)</f>
        <v>390</v>
      </c>
      <c r="G274" s="7">
        <f>IFERROR(__xludf.DUMMYFUNCTION("""COMPUTED_VALUE"""),0.4305555555555556)</f>
        <v>0.4305555556</v>
      </c>
      <c r="H274" s="1">
        <f>IFERROR(__xludf.DUMMYFUNCTION("""COMPUTED_VALUE"""),15.0)</f>
        <v>15</v>
      </c>
      <c r="I274" s="7">
        <f>IFERROR(__xludf.DUMMYFUNCTION("""COMPUTED_VALUE"""),0.5590277777777778)</f>
        <v>0.5590277778</v>
      </c>
      <c r="J274" s="1" t="str">
        <f>IFERROR(__xludf.DUMMYFUNCTION("""COMPUTED_VALUE"""),"D")</f>
        <v>D</v>
      </c>
      <c r="K274" s="1">
        <f>IFERROR(__xludf.DUMMYFUNCTION("""COMPUTED_VALUE"""),184.0)</f>
        <v>184</v>
      </c>
      <c r="L274" s="7">
        <f>IFERROR(__xludf.DUMMYFUNCTION("""COMPUTED_VALUE"""),0.1284722222222222)</f>
        <v>0.1284722222</v>
      </c>
      <c r="M274" s="7">
        <f>IFERROR(__xludf.DUMMYFUNCTION("""COMPUTED_VALUE"""),0.1053472222222222)</f>
        <v>0.1053472222</v>
      </c>
      <c r="O274" s="9">
        <f>IFERROR(__xludf.DUMMYFUNCTION("""COMPUTED_VALUE"""),2098.5166666666664)</f>
        <v>2098.516667</v>
      </c>
      <c r="P274" s="1" t="str">
        <f>IFERROR(__xludf.DUMMYFUNCTION("""COMPUTED_VALUE"""),"NSZ")</f>
        <v>NSZ</v>
      </c>
      <c r="Q274" s="1" t="str">
        <f>IFERROR(__xludf.DUMMYFUNCTION("""COMPUTED_VALUE"""),"ECAC")</f>
        <v>ECAC</v>
      </c>
    </row>
    <row r="275">
      <c r="A275" s="1" t="str">
        <f>IFERROR(__xludf.DUMMYFUNCTION("""COMPUTED_VALUE"""),"BAW406")</f>
        <v>BAW406</v>
      </c>
      <c r="B275" s="1" t="str">
        <f>IFERROR(__xludf.DUMMYFUNCTION("""COMPUTED_VALUE"""),"A319")</f>
        <v>A319</v>
      </c>
      <c r="C275" s="1" t="str">
        <f>IFERROR(__xludf.DUMMYFUNCTION("""COMPUTED_VALUE"""),"EGLL")</f>
        <v>EGLL</v>
      </c>
      <c r="D275" s="1" t="str">
        <f>IFERROR(__xludf.DUMMYFUNCTION("""COMPUTED_VALUE"""),"LEBL")</f>
        <v>LEBL</v>
      </c>
      <c r="E275" s="1" t="str">
        <f>IFERROR(__xludf.DUMMYFUNCTION("""COMPUTED_VALUE"""),"GEUPN")</f>
        <v>GEUPN</v>
      </c>
      <c r="F275" s="1">
        <f>IFERROR(__xludf.DUMMYFUNCTION("""COMPUTED_VALUE"""),350.0)</f>
        <v>350</v>
      </c>
      <c r="G275" s="7">
        <f>IFERROR(__xludf.DUMMYFUNCTION("""COMPUTED_VALUE"""),0.4951388888888889)</f>
        <v>0.4951388889</v>
      </c>
      <c r="H275" s="1">
        <f>IFERROR(__xludf.DUMMYFUNCTION("""COMPUTED_VALUE"""),18.0)</f>
        <v>18</v>
      </c>
      <c r="I275" s="7">
        <f>IFERROR(__xludf.DUMMYFUNCTION("""COMPUTED_VALUE"""),0.5625)</f>
        <v>0.5625</v>
      </c>
      <c r="J275" s="1" t="str">
        <f>IFERROR(__xludf.DUMMYFUNCTION("""COMPUTED_VALUE"""),"D")</f>
        <v>D</v>
      </c>
      <c r="K275" s="1">
        <f>IFERROR(__xludf.DUMMYFUNCTION("""COMPUTED_VALUE"""),144.0)</f>
        <v>144</v>
      </c>
      <c r="L275" s="7">
        <f>IFERROR(__xludf.DUMMYFUNCTION("""COMPUTED_VALUE"""),0.0673611111111111)</f>
        <v>0.06736111111</v>
      </c>
      <c r="M275" s="7">
        <f>IFERROR(__xludf.DUMMYFUNCTION("""COMPUTED_VALUE"""),0.04215277777777776)</f>
        <v>0.04215277778</v>
      </c>
      <c r="O275" s="9">
        <f>IFERROR(__xludf.DUMMYFUNCTION("""COMPUTED_VALUE"""),839.683333333333)</f>
        <v>839.6833333</v>
      </c>
      <c r="P275" s="1" t="str">
        <f>IFERROR(__xludf.DUMMYFUNCTION("""COMPUTED_VALUE"""),"BAW")</f>
        <v>BAW</v>
      </c>
      <c r="Q275" s="1" t="str">
        <f>IFERROR(__xludf.DUMMYFUNCTION("""COMPUTED_VALUE"""),"ECAC")</f>
        <v>ECAC</v>
      </c>
    </row>
    <row r="276">
      <c r="A276" s="1" t="str">
        <f>IFERROR(__xludf.DUMMYFUNCTION("""COMPUTED_VALUE"""),"RYR7451")</f>
        <v>RYR7451</v>
      </c>
      <c r="B276" s="1" t="str">
        <f>IFERROR(__xludf.DUMMYFUNCTION("""COMPUTED_VALUE"""),"B738")</f>
        <v>B738</v>
      </c>
      <c r="C276" s="1" t="str">
        <f>IFERROR(__xludf.DUMMYFUNCTION("""COMPUTED_VALUE"""),"LIRF")</f>
        <v>LIRF</v>
      </c>
      <c r="D276" s="1" t="str">
        <f>IFERROR(__xludf.DUMMYFUNCTION("""COMPUTED_VALUE"""),"LEBL")</f>
        <v>LEBL</v>
      </c>
      <c r="E276" s="1" t="str">
        <f>IFERROR(__xludf.DUMMYFUNCTION("""COMPUTED_VALUE"""),"9HQEK")</f>
        <v>9HQEK</v>
      </c>
      <c r="F276" s="1">
        <f>IFERROR(__xludf.DUMMYFUNCTION("""COMPUTED_VALUE"""),330.0)</f>
        <v>330</v>
      </c>
      <c r="G276" s="7">
        <f>IFERROR(__xludf.DUMMYFUNCTION("""COMPUTED_VALUE"""),0.5152777777777777)</f>
        <v>0.5152777778</v>
      </c>
      <c r="H276" s="1">
        <f>IFERROR(__xludf.DUMMYFUNCTION("""COMPUTED_VALUE"""),14.0)</f>
        <v>14</v>
      </c>
      <c r="I276" s="7">
        <f>IFERROR(__xludf.DUMMYFUNCTION("""COMPUTED_VALUE"""),0.5625)</f>
        <v>0.5625</v>
      </c>
      <c r="J276" s="1" t="str">
        <f>IFERROR(__xludf.DUMMYFUNCTION("""COMPUTED_VALUE"""),"D")</f>
        <v>D</v>
      </c>
      <c r="K276" s="1">
        <f>IFERROR(__xludf.DUMMYFUNCTION("""COMPUTED_VALUE"""),184.0)</f>
        <v>184</v>
      </c>
      <c r="L276" s="7">
        <f>IFERROR(__xludf.DUMMYFUNCTION("""COMPUTED_VALUE"""),0.047222222222222276)</f>
        <v>0.04722222222</v>
      </c>
      <c r="M276" s="7">
        <f>IFERROR(__xludf.DUMMYFUNCTION("""COMPUTED_VALUE"""),0.02479166666666672)</f>
        <v>0.02479166667</v>
      </c>
      <c r="O276" s="9">
        <f>IFERROR(__xludf.DUMMYFUNCTION("""COMPUTED_VALUE"""),493.8500000000011)</f>
        <v>493.85</v>
      </c>
      <c r="P276" s="1" t="str">
        <f>IFERROR(__xludf.DUMMYFUNCTION("""COMPUTED_VALUE"""),"RYR")</f>
        <v>RYR</v>
      </c>
      <c r="Q276" s="1" t="str">
        <f>IFERROR(__xludf.DUMMYFUNCTION("""COMPUTED_VALUE"""),"ECAC")</f>
        <v>ECAC</v>
      </c>
    </row>
    <row r="277">
      <c r="A277" s="1" t="str">
        <f>IFERROR(__xludf.DUMMYFUNCTION("""COMPUTED_VALUE"""),"AFR83CM")</f>
        <v>AFR83CM</v>
      </c>
      <c r="B277" s="1" t="str">
        <f>IFERROR(__xludf.DUMMYFUNCTION("""COMPUTED_VALUE"""),"BCS3")</f>
        <v>BCS3</v>
      </c>
      <c r="C277" s="1" t="str">
        <f>IFERROR(__xludf.DUMMYFUNCTION("""COMPUTED_VALUE"""),"LFPG")</f>
        <v>LFPG</v>
      </c>
      <c r="D277" s="1" t="str">
        <f>IFERROR(__xludf.DUMMYFUNCTION("""COMPUTED_VALUE"""),"LEBL")</f>
        <v>LEBL</v>
      </c>
      <c r="E277" s="1" t="str">
        <f>IFERROR(__xludf.DUMMYFUNCTION("""COMPUTED_VALUE"""),"FHZUN")</f>
        <v>FHZUN</v>
      </c>
      <c r="F277" s="1">
        <f>IFERROR(__xludf.DUMMYFUNCTION("""COMPUTED_VALUE"""),370.0)</f>
        <v>370</v>
      </c>
      <c r="G277" s="7">
        <f>IFERROR(__xludf.DUMMYFUNCTION("""COMPUTED_VALUE"""),0.5034722222222222)</f>
        <v>0.5034722222</v>
      </c>
      <c r="H277" s="1">
        <f>IFERROR(__xludf.DUMMYFUNCTION("""COMPUTED_VALUE"""),14.0)</f>
        <v>14</v>
      </c>
      <c r="I277" s="7">
        <f>IFERROR(__xludf.DUMMYFUNCTION("""COMPUTED_VALUE"""),0.5625)</f>
        <v>0.5625</v>
      </c>
      <c r="J277" s="1" t="str">
        <f>IFERROR(__xludf.DUMMYFUNCTION("""COMPUTED_VALUE"""),"D")</f>
        <v>D</v>
      </c>
      <c r="K277" s="1">
        <f>IFERROR(__xludf.DUMMYFUNCTION("""COMPUTED_VALUE"""),148.0)</f>
        <v>148</v>
      </c>
      <c r="L277" s="7">
        <f>IFERROR(__xludf.DUMMYFUNCTION("""COMPUTED_VALUE"""),0.05902777777777779)</f>
        <v>0.05902777778</v>
      </c>
      <c r="M277" s="7">
        <f>IFERROR(__xludf.DUMMYFUNCTION("""COMPUTED_VALUE"""),0.03659722222222223)</f>
        <v>0.03659722222</v>
      </c>
      <c r="O277" s="9">
        <f>IFERROR(__xludf.DUMMYFUNCTION("""COMPUTED_VALUE"""),729.0166666666669)</f>
        <v>729.0166667</v>
      </c>
      <c r="P277" s="1" t="str">
        <f>IFERROR(__xludf.DUMMYFUNCTION("""COMPUTED_VALUE"""),"AFR")</f>
        <v>AFR</v>
      </c>
      <c r="Q277" s="1" t="str">
        <f>IFERROR(__xludf.DUMMYFUNCTION("""COMPUTED_VALUE"""),"ECAC")</f>
        <v>ECAC</v>
      </c>
    </row>
    <row r="278">
      <c r="A278" s="1" t="str">
        <f>IFERROR(__xludf.DUMMYFUNCTION("""COMPUTED_VALUE"""),"VLG4MY")</f>
        <v>VLG4MY</v>
      </c>
      <c r="B278" s="1" t="str">
        <f>IFERROR(__xludf.DUMMYFUNCTION("""COMPUTED_VALUE"""),"A320")</f>
        <v>A320</v>
      </c>
      <c r="C278" s="1" t="str">
        <f>IFERROR(__xludf.DUMMYFUNCTION("""COMPUTED_VALUE"""),"LEMH")</f>
        <v>LEMH</v>
      </c>
      <c r="D278" s="1" t="str">
        <f>IFERROR(__xludf.DUMMYFUNCTION("""COMPUTED_VALUE"""),"LEBL")</f>
        <v>LEBL</v>
      </c>
      <c r="E278" s="1" t="str">
        <f>IFERROR(__xludf.DUMMYFUNCTION("""COMPUTED_VALUE"""),"ECMVO")</f>
        <v>ECMVO</v>
      </c>
      <c r="F278" s="1">
        <f>IFERROR(__xludf.DUMMYFUNCTION("""COMPUTED_VALUE"""),180.0)</f>
        <v>180</v>
      </c>
      <c r="G278" s="7">
        <f>IFERROR(__xludf.DUMMYFUNCTION("""COMPUTED_VALUE"""),0.5409722222222222)</f>
        <v>0.5409722222</v>
      </c>
      <c r="H278" s="1">
        <f>IFERROR(__xludf.DUMMYFUNCTION("""COMPUTED_VALUE"""),9.0)</f>
        <v>9</v>
      </c>
      <c r="I278" s="7">
        <f>IFERROR(__xludf.DUMMYFUNCTION("""COMPUTED_VALUE"""),0.5659722222222222)</f>
        <v>0.5659722222</v>
      </c>
      <c r="J278" s="1" t="str">
        <f>IFERROR(__xludf.DUMMYFUNCTION("""COMPUTED_VALUE"""),"D")</f>
        <v>D</v>
      </c>
      <c r="K278" s="1">
        <f>IFERROR(__xludf.DUMMYFUNCTION("""COMPUTED_VALUE"""),173.0)</f>
        <v>173</v>
      </c>
      <c r="L278" s="7">
        <f>IFERROR(__xludf.DUMMYFUNCTION("""COMPUTED_VALUE"""),0.025000000000000022)</f>
        <v>0.025</v>
      </c>
      <c r="M278" s="7">
        <f>IFERROR(__xludf.DUMMYFUNCTION("""COMPUTED_VALUE"""),0.006041666666666688)</f>
        <v>0.006041666667</v>
      </c>
      <c r="O278" s="9">
        <f>IFERROR(__xludf.DUMMYFUNCTION("""COMPUTED_VALUE"""),120.35000000000043)</f>
        <v>120.35</v>
      </c>
      <c r="P278" s="1" t="str">
        <f>IFERROR(__xludf.DUMMYFUNCTION("""COMPUTED_VALUE"""),"VLG")</f>
        <v>VLG</v>
      </c>
      <c r="Q278" s="1" t="str">
        <f>IFERROR(__xludf.DUMMYFUNCTION("""COMPUTED_VALUE"""),"ECAC")</f>
        <v>ECAC</v>
      </c>
    </row>
    <row r="279">
      <c r="A279" s="1" t="str">
        <f>IFERROR(__xludf.DUMMYFUNCTION("""COMPUTED_VALUE"""),"BNI5V")</f>
        <v>BNI5V</v>
      </c>
      <c r="B279" s="1" t="str">
        <f>IFERROR(__xludf.DUMMYFUNCTION("""COMPUTED_VALUE"""),"C525")</f>
        <v>C525</v>
      </c>
      <c r="C279" s="1" t="str">
        <f>IFERROR(__xludf.DUMMYFUNCTION("""COMPUTED_VALUE"""),"LFKF")</f>
        <v>LFKF</v>
      </c>
      <c r="D279" s="1" t="str">
        <f>IFERROR(__xludf.DUMMYFUNCTION("""COMPUTED_VALUE"""),"LEBL")</f>
        <v>LEBL</v>
      </c>
      <c r="E279" s="1" t="str">
        <f>IFERROR(__xludf.DUMMYFUNCTION("""COMPUTED_VALUE"""),"SPDLV")</f>
        <v>SPDLV</v>
      </c>
      <c r="F279" s="1">
        <f>IFERROR(__xludf.DUMMYFUNCTION("""COMPUTED_VALUE"""),290.0)</f>
        <v>290</v>
      </c>
      <c r="G279" s="7">
        <f>IFERROR(__xludf.DUMMYFUNCTION("""COMPUTED_VALUE"""),0.5201388888888889)</f>
        <v>0.5201388889</v>
      </c>
      <c r="H279" s="1">
        <f>IFERROR(__xludf.DUMMYFUNCTION("""COMPUTED_VALUE"""),10.0)</f>
        <v>10</v>
      </c>
      <c r="I279" s="7">
        <f>IFERROR(__xludf.DUMMYFUNCTION("""COMPUTED_VALUE"""),0.5659722222222222)</f>
        <v>0.5659722222</v>
      </c>
      <c r="J279" s="1" t="str">
        <f>IFERROR(__xludf.DUMMYFUNCTION("""COMPUTED_VALUE"""),"F")</f>
        <v>F</v>
      </c>
      <c r="K279" s="1">
        <f>IFERROR(__xludf.DUMMYFUNCTION("""COMPUTED_VALUE"""),6.0)</f>
        <v>6</v>
      </c>
      <c r="L279" s="7">
        <f>IFERROR(__xludf.DUMMYFUNCTION("""COMPUTED_VALUE"""),0.04583333333333328)</f>
        <v>0.04583333333</v>
      </c>
      <c r="M279" s="7">
        <f>IFERROR(__xludf.DUMMYFUNCTION("""COMPUTED_VALUE"""),0.026180555555555502)</f>
        <v>0.02618055556</v>
      </c>
      <c r="O279" s="9">
        <f>IFERROR(__xludf.DUMMYFUNCTION("""COMPUTED_VALUE"""),113.09999999999977)</f>
        <v>113.1</v>
      </c>
      <c r="P279" s="1" t="str">
        <f>IFERROR(__xludf.DUMMYFUNCTION("""COMPUTED_VALUE"""),"BNI")</f>
        <v>BNI</v>
      </c>
      <c r="Q279" s="1" t="str">
        <f>IFERROR(__xludf.DUMMYFUNCTION("""COMPUTED_VALUE"""),"ECAC")</f>
        <v>ECAC</v>
      </c>
    </row>
    <row r="280">
      <c r="A280" s="1" t="str">
        <f>IFERROR(__xludf.DUMMYFUNCTION("""COMPUTED_VALUE"""),"VLG44NF")</f>
        <v>VLG44NF</v>
      </c>
      <c r="B280" s="1" t="str">
        <f>IFERROR(__xludf.DUMMYFUNCTION("""COMPUTED_VALUE"""),"A320")</f>
        <v>A320</v>
      </c>
      <c r="C280" s="1" t="str">
        <f>IFERROR(__xludf.DUMMYFUNCTION("""COMPUTED_VALUE"""),"LEBB")</f>
        <v>LEBB</v>
      </c>
      <c r="D280" s="1" t="str">
        <f>IFERROR(__xludf.DUMMYFUNCTION("""COMPUTED_VALUE"""),"LEBL")</f>
        <v>LEBL</v>
      </c>
      <c r="E280" s="1" t="str">
        <f>IFERROR(__xludf.DUMMYFUNCTION("""COMPUTED_VALUE"""),"ECJYX")</f>
        <v>ECJYX</v>
      </c>
      <c r="F280" s="1">
        <f>IFERROR(__xludf.DUMMYFUNCTION("""COMPUTED_VALUE"""),300.0)</f>
        <v>300</v>
      </c>
      <c r="G280" s="7">
        <f>IFERROR(__xludf.DUMMYFUNCTION("""COMPUTED_VALUE"""),0.5326388888888889)</f>
        <v>0.5326388889</v>
      </c>
      <c r="H280" s="1">
        <f>IFERROR(__xludf.DUMMYFUNCTION("""COMPUTED_VALUE"""),9.0)</f>
        <v>9</v>
      </c>
      <c r="I280" s="7">
        <f>IFERROR(__xludf.DUMMYFUNCTION("""COMPUTED_VALUE"""),0.5659722222222222)</f>
        <v>0.5659722222</v>
      </c>
      <c r="J280" s="1" t="str">
        <f>IFERROR(__xludf.DUMMYFUNCTION("""COMPUTED_VALUE"""),"D")</f>
        <v>D</v>
      </c>
      <c r="K280" s="1">
        <f>IFERROR(__xludf.DUMMYFUNCTION("""COMPUTED_VALUE"""),173.0)</f>
        <v>173</v>
      </c>
      <c r="L280" s="7">
        <f>IFERROR(__xludf.DUMMYFUNCTION("""COMPUTED_VALUE"""),0.033333333333333326)</f>
        <v>0.03333333333</v>
      </c>
      <c r="M280" s="7">
        <f>IFERROR(__xludf.DUMMYFUNCTION("""COMPUTED_VALUE"""),0.01437499999999999)</f>
        <v>0.014375</v>
      </c>
      <c r="O280" s="9">
        <f>IFERROR(__xludf.DUMMYFUNCTION("""COMPUTED_VALUE"""),286.3499999999998)</f>
        <v>286.35</v>
      </c>
      <c r="P280" s="1" t="str">
        <f>IFERROR(__xludf.DUMMYFUNCTION("""COMPUTED_VALUE"""),"VLG")</f>
        <v>VLG</v>
      </c>
      <c r="Q280" s="1" t="str">
        <f>IFERROR(__xludf.DUMMYFUNCTION("""COMPUTED_VALUE"""),"ECAC")</f>
        <v>ECAC</v>
      </c>
    </row>
    <row r="281">
      <c r="A281" s="1" t="str">
        <f>IFERROR(__xludf.DUMMYFUNCTION("""COMPUTED_VALUE"""),"IBE26VE")</f>
        <v>IBE26VE</v>
      </c>
      <c r="B281" s="1" t="str">
        <f>IFERROR(__xludf.DUMMYFUNCTION("""COMPUTED_VALUE"""),"A332")</f>
        <v>A332</v>
      </c>
      <c r="C281" s="1" t="str">
        <f>IFERROR(__xludf.DUMMYFUNCTION("""COMPUTED_VALUE"""),"KSFO")</f>
        <v>KSFO</v>
      </c>
      <c r="D281" s="1" t="str">
        <f>IFERROR(__xludf.DUMMYFUNCTION("""COMPUTED_VALUE"""),"LEBL")</f>
        <v>LEBL</v>
      </c>
      <c r="E281" s="1" t="str">
        <f>IFERROR(__xludf.DUMMYFUNCTION("""COMPUTED_VALUE"""),"ECODB")</f>
        <v>ECODB</v>
      </c>
      <c r="F281" s="1">
        <f>IFERROR(__xludf.DUMMYFUNCTION("""COMPUTED_VALUE"""),410.0)</f>
        <v>410</v>
      </c>
      <c r="G281" s="7">
        <f>IFERROR(__xludf.DUMMYFUNCTION("""COMPUTED_VALUE"""),0.14930555555555555)</f>
        <v>0.1493055556</v>
      </c>
      <c r="H281" s="1">
        <f>IFERROR(__xludf.DUMMYFUNCTION("""COMPUTED_VALUE"""),25.0)</f>
        <v>25</v>
      </c>
      <c r="I281" s="7">
        <f>IFERROR(__xludf.DUMMYFUNCTION("""COMPUTED_VALUE"""),0.5659722222222222)</f>
        <v>0.5659722222</v>
      </c>
      <c r="J281" s="1" t="str">
        <f>IFERROR(__xludf.DUMMYFUNCTION("""COMPUTED_VALUE"""),"B")</f>
        <v>B</v>
      </c>
      <c r="K281" s="1">
        <f>IFERROR(__xludf.DUMMYFUNCTION("""COMPUTED_VALUE"""),281.0)</f>
        <v>281</v>
      </c>
      <c r="L281" s="7">
        <f>IFERROR(__xludf.DUMMYFUNCTION("""COMPUTED_VALUE"""),0.41666666666666663)</f>
        <v>0.4166666667</v>
      </c>
      <c r="M281" s="7">
        <f>IFERROR(__xludf.DUMMYFUNCTION("""COMPUTED_VALUE"""),0.3865972222222222)</f>
        <v>0.3865972222</v>
      </c>
      <c r="O281" s="9">
        <f>IFERROR(__xludf.DUMMYFUNCTION("""COMPUTED_VALUE"""),8350.5)</f>
        <v>8350.5</v>
      </c>
      <c r="P281" s="1" t="str">
        <f>IFERROR(__xludf.DUMMYFUNCTION("""COMPUTED_VALUE"""),"IBE")</f>
        <v>IBE</v>
      </c>
      <c r="Q281" s="1" t="str">
        <f>IFERROR(__xludf.DUMMYFUNCTION("""COMPUTED_VALUE"""),"NO ECAC")</f>
        <v>NO ECAC</v>
      </c>
    </row>
    <row r="282">
      <c r="A282" s="1" t="str">
        <f>IFERROR(__xludf.DUMMYFUNCTION("""COMPUTED_VALUE"""),"VLG85XK")</f>
        <v>VLG85XK</v>
      </c>
      <c r="B282" s="1" t="str">
        <f>IFERROR(__xludf.DUMMYFUNCTION("""COMPUTED_VALUE"""),"A320")</f>
        <v>A320</v>
      </c>
      <c r="C282" s="1" t="str">
        <f>IFERROR(__xludf.DUMMYFUNCTION("""COMPUTED_VALUE"""),"LIRN")</f>
        <v>LIRN</v>
      </c>
      <c r="D282" s="1" t="str">
        <f>IFERROR(__xludf.DUMMYFUNCTION("""COMPUTED_VALUE"""),"LEBL")</f>
        <v>LEBL</v>
      </c>
      <c r="E282" s="1" t="str">
        <f>IFERROR(__xludf.DUMMYFUNCTION("""COMPUTED_VALUE"""),"ECOJG")</f>
        <v>ECOJG</v>
      </c>
      <c r="F282" s="1">
        <f>IFERROR(__xludf.DUMMYFUNCTION("""COMPUTED_VALUE"""),340.0)</f>
        <v>340</v>
      </c>
      <c r="G282" s="7">
        <f>IFERROR(__xludf.DUMMYFUNCTION("""COMPUTED_VALUE"""),0.5097222222222222)</f>
        <v>0.5097222222</v>
      </c>
      <c r="H282" s="1">
        <f>IFERROR(__xludf.DUMMYFUNCTION("""COMPUTED_VALUE"""),12.0)</f>
        <v>12</v>
      </c>
      <c r="I282" s="7">
        <f>IFERROR(__xludf.DUMMYFUNCTION("""COMPUTED_VALUE"""),0.5694444444444444)</f>
        <v>0.5694444444</v>
      </c>
      <c r="J282" s="1" t="str">
        <f>IFERROR(__xludf.DUMMYFUNCTION("""COMPUTED_VALUE"""),"D")</f>
        <v>D</v>
      </c>
      <c r="K282" s="1">
        <f>IFERROR(__xludf.DUMMYFUNCTION("""COMPUTED_VALUE"""),173.0)</f>
        <v>173</v>
      </c>
      <c r="L282" s="7">
        <f>IFERROR(__xludf.DUMMYFUNCTION("""COMPUTED_VALUE"""),0.05972222222222223)</f>
        <v>0.05972222222</v>
      </c>
      <c r="M282" s="7">
        <f>IFERROR(__xludf.DUMMYFUNCTION("""COMPUTED_VALUE"""),0.038680555555555565)</f>
        <v>0.03868055556</v>
      </c>
      <c r="O282" s="9">
        <f>IFERROR(__xludf.DUMMYFUNCTION("""COMPUTED_VALUE"""),770.5166666666669)</f>
        <v>770.5166667</v>
      </c>
      <c r="P282" s="1" t="str">
        <f>IFERROR(__xludf.DUMMYFUNCTION("""COMPUTED_VALUE"""),"VLG")</f>
        <v>VLG</v>
      </c>
      <c r="Q282" s="1" t="str">
        <f>IFERROR(__xludf.DUMMYFUNCTION("""COMPUTED_VALUE"""),"ECAC")</f>
        <v>ECAC</v>
      </c>
    </row>
    <row r="283">
      <c r="A283" s="1" t="str">
        <f>IFERROR(__xludf.DUMMYFUNCTION("""COMPUTED_VALUE"""),"RYR39TN")</f>
        <v>RYR39TN</v>
      </c>
      <c r="B283" s="1" t="str">
        <f>IFERROR(__xludf.DUMMYFUNCTION("""COMPUTED_VALUE"""),"B738")</f>
        <v>B738</v>
      </c>
      <c r="C283" s="1" t="str">
        <f>IFERROR(__xludf.DUMMYFUNCTION("""COMPUTED_VALUE"""),"EGCC")</f>
        <v>EGCC</v>
      </c>
      <c r="D283" s="1" t="str">
        <f>IFERROR(__xludf.DUMMYFUNCTION("""COMPUTED_VALUE"""),"LEBL")</f>
        <v>LEBL</v>
      </c>
      <c r="E283" s="1" t="str">
        <f>IFERROR(__xludf.DUMMYFUNCTION("""COMPUTED_VALUE"""),"9HQBW")</f>
        <v>9HQBW</v>
      </c>
      <c r="F283" s="1">
        <f>IFERROR(__xludf.DUMMYFUNCTION("""COMPUTED_VALUE"""),370.0)</f>
        <v>370</v>
      </c>
      <c r="G283" s="7">
        <f>IFERROR(__xludf.DUMMYFUNCTION("""COMPUTED_VALUE"""),0.49166666666666664)</f>
        <v>0.4916666667</v>
      </c>
      <c r="H283" s="1">
        <f>IFERROR(__xludf.DUMMYFUNCTION("""COMPUTED_VALUE"""),12.0)</f>
        <v>12</v>
      </c>
      <c r="I283" s="7">
        <f>IFERROR(__xludf.DUMMYFUNCTION("""COMPUTED_VALUE"""),0.5694444444444444)</f>
        <v>0.5694444444</v>
      </c>
      <c r="J283" s="1" t="str">
        <f>IFERROR(__xludf.DUMMYFUNCTION("""COMPUTED_VALUE"""),"D")</f>
        <v>D</v>
      </c>
      <c r="K283" s="1">
        <f>IFERROR(__xludf.DUMMYFUNCTION("""COMPUTED_VALUE"""),184.0)</f>
        <v>184</v>
      </c>
      <c r="L283" s="7">
        <f>IFERROR(__xludf.DUMMYFUNCTION("""COMPUTED_VALUE"""),0.07777777777777778)</f>
        <v>0.07777777778</v>
      </c>
      <c r="M283" s="7">
        <f>IFERROR(__xludf.DUMMYFUNCTION("""COMPUTED_VALUE"""),0.05673611111111111)</f>
        <v>0.05673611111</v>
      </c>
      <c r="O283" s="9">
        <f>IFERROR(__xludf.DUMMYFUNCTION("""COMPUTED_VALUE"""),1130.1833333333334)</f>
        <v>1130.183333</v>
      </c>
      <c r="P283" s="1" t="str">
        <f>IFERROR(__xludf.DUMMYFUNCTION("""COMPUTED_VALUE"""),"RYR")</f>
        <v>RYR</v>
      </c>
      <c r="Q283" s="1" t="str">
        <f>IFERROR(__xludf.DUMMYFUNCTION("""COMPUTED_VALUE"""),"ECAC")</f>
        <v>ECAC</v>
      </c>
    </row>
    <row r="284">
      <c r="A284" s="1" t="str">
        <f>IFERROR(__xludf.DUMMYFUNCTION("""COMPUTED_VALUE"""),"VLG4BP")</f>
        <v>VLG4BP</v>
      </c>
      <c r="B284" s="1" t="str">
        <f>IFERROR(__xludf.DUMMYFUNCTION("""COMPUTED_VALUE"""),"A321")</f>
        <v>A321</v>
      </c>
      <c r="C284" s="1" t="str">
        <f>IFERROR(__xludf.DUMMYFUNCTION("""COMPUTED_VALUE"""),"EGKK")</f>
        <v>EGKK</v>
      </c>
      <c r="D284" s="1" t="str">
        <f>IFERROR(__xludf.DUMMYFUNCTION("""COMPUTED_VALUE"""),"LEBL")</f>
        <v>LEBL</v>
      </c>
      <c r="E284" s="1" t="str">
        <f>IFERROR(__xludf.DUMMYFUNCTION("""COMPUTED_VALUE"""),"ECMMU")</f>
        <v>ECMMU</v>
      </c>
      <c r="F284" s="1">
        <f>IFERROR(__xludf.DUMMYFUNCTION("""COMPUTED_VALUE"""),350.0)</f>
        <v>350</v>
      </c>
      <c r="G284" s="7">
        <f>IFERROR(__xludf.DUMMYFUNCTION("""COMPUTED_VALUE"""),0.5138888888888888)</f>
        <v>0.5138888889</v>
      </c>
      <c r="H284" s="1">
        <f>IFERROR(__xludf.DUMMYFUNCTION("""COMPUTED_VALUE"""),35.0)</f>
        <v>35</v>
      </c>
      <c r="I284" s="7">
        <f>IFERROR(__xludf.DUMMYFUNCTION("""COMPUTED_VALUE"""),0.5729166666666666)</f>
        <v>0.5729166667</v>
      </c>
      <c r="J284" s="1" t="str">
        <f>IFERROR(__xludf.DUMMYFUNCTION("""COMPUTED_VALUE"""),"D")</f>
        <v>D</v>
      </c>
      <c r="K284" s="1">
        <f>IFERROR(__xludf.DUMMYFUNCTION("""COMPUTED_VALUE"""),207.0)</f>
        <v>207</v>
      </c>
      <c r="L284" s="7">
        <f>IFERROR(__xludf.DUMMYFUNCTION("""COMPUTED_VALUE"""),0.05902777777777779)</f>
        <v>0.05902777778</v>
      </c>
      <c r="M284" s="7">
        <f>IFERROR(__xludf.DUMMYFUNCTION("""COMPUTED_VALUE"""),0.0220138888888889)</f>
        <v>0.02201388889</v>
      </c>
      <c r="O284" s="9">
        <f>IFERROR(__xludf.DUMMYFUNCTION("""COMPUTED_VALUE"""),438.5166666666668)</f>
        <v>438.5166667</v>
      </c>
      <c r="P284" s="1" t="str">
        <f>IFERROR(__xludf.DUMMYFUNCTION("""COMPUTED_VALUE"""),"VLG")</f>
        <v>VLG</v>
      </c>
      <c r="Q284" s="1" t="str">
        <f>IFERROR(__xludf.DUMMYFUNCTION("""COMPUTED_VALUE"""),"ECAC")</f>
        <v>ECAC</v>
      </c>
    </row>
    <row r="285">
      <c r="A285" s="1" t="str">
        <f>IFERROR(__xludf.DUMMYFUNCTION("""COMPUTED_VALUE"""),"VLG8483")</f>
        <v>VLG8483</v>
      </c>
      <c r="B285" s="1" t="str">
        <f>IFERROR(__xludf.DUMMYFUNCTION("""COMPUTED_VALUE"""),"A20N")</f>
        <v>A20N</v>
      </c>
      <c r="C285" s="1" t="str">
        <f>IFERROR(__xludf.DUMMYFUNCTION("""COMPUTED_VALUE"""),"LPFR")</f>
        <v>LPFR</v>
      </c>
      <c r="D285" s="1" t="str">
        <f>IFERROR(__xludf.DUMMYFUNCTION("""COMPUTED_VALUE"""),"LEBL")</f>
        <v>LEBL</v>
      </c>
      <c r="E285" s="1" t="str">
        <f>IFERROR(__xludf.DUMMYFUNCTION("""COMPUTED_VALUE"""),"ECMES")</f>
        <v>ECMES</v>
      </c>
      <c r="F285" s="1">
        <f>IFERROR(__xludf.DUMMYFUNCTION("""COMPUTED_VALUE"""),300.0)</f>
        <v>300</v>
      </c>
      <c r="G285" s="7">
        <f>IFERROR(__xludf.DUMMYFUNCTION("""COMPUTED_VALUE"""),0.5097222222222222)</f>
        <v>0.5097222222</v>
      </c>
      <c r="H285" s="1">
        <f>IFERROR(__xludf.DUMMYFUNCTION("""COMPUTED_VALUE"""),10.0)</f>
        <v>10</v>
      </c>
      <c r="I285" s="7">
        <f>IFERROR(__xludf.DUMMYFUNCTION("""COMPUTED_VALUE"""),0.5729166666666666)</f>
        <v>0.5729166667</v>
      </c>
      <c r="J285" s="1" t="str">
        <f>IFERROR(__xludf.DUMMYFUNCTION("""COMPUTED_VALUE"""),"D")</f>
        <v>D</v>
      </c>
      <c r="K285" s="1">
        <f>IFERROR(__xludf.DUMMYFUNCTION("""COMPUTED_VALUE"""),180.0)</f>
        <v>180</v>
      </c>
      <c r="L285" s="7">
        <f>IFERROR(__xludf.DUMMYFUNCTION("""COMPUTED_VALUE"""),0.06319444444444444)</f>
        <v>0.06319444444</v>
      </c>
      <c r="M285" s="7">
        <f>IFERROR(__xludf.DUMMYFUNCTION("""COMPUTED_VALUE"""),0.04354166666666666)</f>
        <v>0.04354166667</v>
      </c>
      <c r="O285" s="9">
        <f>IFERROR(__xludf.DUMMYFUNCTION("""COMPUTED_VALUE"""),867.3499999999999)</f>
        <v>867.35</v>
      </c>
      <c r="P285" s="1" t="str">
        <f>IFERROR(__xludf.DUMMYFUNCTION("""COMPUTED_VALUE"""),"VLG")</f>
        <v>VLG</v>
      </c>
      <c r="Q285" s="1" t="str">
        <f>IFERROR(__xludf.DUMMYFUNCTION("""COMPUTED_VALUE"""),"ECAC")</f>
        <v>ECAC</v>
      </c>
    </row>
    <row r="286">
      <c r="A286" s="1" t="str">
        <f>IFERROR(__xludf.DUMMYFUNCTION("""COMPUTED_VALUE"""),"VLG8RP")</f>
        <v>VLG8RP</v>
      </c>
      <c r="B286" s="1" t="str">
        <f>IFERROR(__xludf.DUMMYFUNCTION("""COMPUTED_VALUE"""),"A320")</f>
        <v>A320</v>
      </c>
      <c r="C286" s="1" t="str">
        <f>IFERROR(__xludf.DUMMYFUNCTION("""COMPUTED_VALUE"""),"LEIB")</f>
        <v>LEIB</v>
      </c>
      <c r="D286" s="1" t="str">
        <f>IFERROR(__xludf.DUMMYFUNCTION("""COMPUTED_VALUE"""),"LEBL")</f>
        <v>LEBL</v>
      </c>
      <c r="E286" s="1" t="str">
        <f>IFERROR(__xludf.DUMMYFUNCTION("""COMPUTED_VALUE"""),"ECMYB")</f>
        <v>ECMYB</v>
      </c>
      <c r="F286" s="1">
        <f>IFERROR(__xludf.DUMMYFUNCTION("""COMPUTED_VALUE"""),180.0)</f>
        <v>180</v>
      </c>
      <c r="G286" s="7">
        <f>IFERROR(__xludf.DUMMYFUNCTION("""COMPUTED_VALUE"""),0.55625)</f>
        <v>0.55625</v>
      </c>
      <c r="H286" s="1">
        <f>IFERROR(__xludf.DUMMYFUNCTION("""COMPUTED_VALUE"""),7.0)</f>
        <v>7</v>
      </c>
      <c r="I286" s="7">
        <f>IFERROR(__xludf.DUMMYFUNCTION("""COMPUTED_VALUE"""),0.5798611111111112)</f>
        <v>0.5798611111</v>
      </c>
      <c r="J286" s="1" t="str">
        <f>IFERROR(__xludf.DUMMYFUNCTION("""COMPUTED_VALUE"""),"D")</f>
        <v>D</v>
      </c>
      <c r="K286" s="1">
        <f>IFERROR(__xludf.DUMMYFUNCTION("""COMPUTED_VALUE"""),173.0)</f>
        <v>173</v>
      </c>
      <c r="L286" s="7">
        <f>IFERROR(__xludf.DUMMYFUNCTION("""COMPUTED_VALUE"""),0.023611111111111138)</f>
        <v>0.02361111111</v>
      </c>
      <c r="M286" s="7">
        <f>IFERROR(__xludf.DUMMYFUNCTION("""COMPUTED_VALUE"""),0.006041666666666693)</f>
        <v>0.006041666667</v>
      </c>
      <c r="O286" s="9">
        <f>IFERROR(__xludf.DUMMYFUNCTION("""COMPUTED_VALUE"""),120.35000000000052)</f>
        <v>120.35</v>
      </c>
      <c r="P286" s="1" t="str">
        <f>IFERROR(__xludf.DUMMYFUNCTION("""COMPUTED_VALUE"""),"VLG")</f>
        <v>VLG</v>
      </c>
      <c r="Q286" s="1" t="str">
        <f>IFERROR(__xludf.DUMMYFUNCTION("""COMPUTED_VALUE"""),"ECAC")</f>
        <v>ECAC</v>
      </c>
    </row>
    <row r="287">
      <c r="A287" s="1" t="str">
        <f>IFERROR(__xludf.DUMMYFUNCTION("""COMPUTED_VALUE"""),"VLG9WF")</f>
        <v>VLG9WF</v>
      </c>
      <c r="B287" s="1" t="str">
        <f>IFERROR(__xludf.DUMMYFUNCTION("""COMPUTED_VALUE"""),"A320")</f>
        <v>A320</v>
      </c>
      <c r="C287" s="1" t="str">
        <f>IFERROR(__xludf.DUMMYFUNCTION("""COMPUTED_VALUE"""),"LIEO")</f>
        <v>LIEO</v>
      </c>
      <c r="D287" s="1" t="str">
        <f>IFERROR(__xludf.DUMMYFUNCTION("""COMPUTED_VALUE"""),"LEBL")</f>
        <v>LEBL</v>
      </c>
      <c r="E287" s="1" t="str">
        <f>IFERROR(__xludf.DUMMYFUNCTION("""COMPUTED_VALUE"""),"ECLVV")</f>
        <v>ECLVV</v>
      </c>
      <c r="F287" s="1">
        <f>IFERROR(__xludf.DUMMYFUNCTION("""COMPUTED_VALUE"""),310.0)</f>
        <v>310</v>
      </c>
      <c r="G287" s="7">
        <f>IFERROR(__xludf.DUMMYFUNCTION("""COMPUTED_VALUE"""),0.5395833333333333)</f>
        <v>0.5395833333</v>
      </c>
      <c r="H287" s="1">
        <f>IFERROR(__xludf.DUMMYFUNCTION("""COMPUTED_VALUE"""),15.0)</f>
        <v>15</v>
      </c>
      <c r="I287" s="7">
        <f>IFERROR(__xludf.DUMMYFUNCTION("""COMPUTED_VALUE"""),0.5798611111111112)</f>
        <v>0.5798611111</v>
      </c>
      <c r="J287" s="1" t="str">
        <f>IFERROR(__xludf.DUMMYFUNCTION("""COMPUTED_VALUE"""),"D")</f>
        <v>D</v>
      </c>
      <c r="K287" s="1">
        <f>IFERROR(__xludf.DUMMYFUNCTION("""COMPUTED_VALUE"""),173.0)</f>
        <v>173</v>
      </c>
      <c r="L287" s="7">
        <f>IFERROR(__xludf.DUMMYFUNCTION("""COMPUTED_VALUE"""),0.04027777777777786)</f>
        <v>0.04027777778</v>
      </c>
      <c r="M287" s="7">
        <f>IFERROR(__xludf.DUMMYFUNCTION("""COMPUTED_VALUE"""),0.017152777777777857)</f>
        <v>0.01715277778</v>
      </c>
      <c r="O287" s="9">
        <f>IFERROR(__xludf.DUMMYFUNCTION("""COMPUTED_VALUE"""),341.68333333333493)</f>
        <v>341.6833333</v>
      </c>
      <c r="P287" s="1" t="str">
        <f>IFERROR(__xludf.DUMMYFUNCTION("""COMPUTED_VALUE"""),"VLG")</f>
        <v>VLG</v>
      </c>
      <c r="Q287" s="1" t="str">
        <f>IFERROR(__xludf.DUMMYFUNCTION("""COMPUTED_VALUE"""),"ECAC")</f>
        <v>ECAC</v>
      </c>
    </row>
    <row r="288">
      <c r="A288" s="1" t="str">
        <f>IFERROR(__xludf.DUMMYFUNCTION("""COMPUTED_VALUE"""),"ORO1042")</f>
        <v>ORO1042</v>
      </c>
      <c r="B288" s="1" t="str">
        <f>IFERROR(__xludf.DUMMYFUNCTION("""COMPUTED_VALUE"""),"C25C")</f>
        <v>C25C</v>
      </c>
      <c r="C288" s="1" t="str">
        <f>IFERROR(__xludf.DUMMYFUNCTION("""COMPUTED_VALUE"""),"LEMH")</f>
        <v>LEMH</v>
      </c>
      <c r="D288" s="1" t="str">
        <f>IFERROR(__xludf.DUMMYFUNCTION("""COMPUTED_VALUE"""),"LEBL")</f>
        <v>LEBL</v>
      </c>
      <c r="E288" s="1" t="str">
        <f>IFERROR(__xludf.DUMMYFUNCTION("""COMPUTED_VALUE"""),"ECNQS")</f>
        <v>ECNQS</v>
      </c>
      <c r="F288" s="1">
        <f>IFERROR(__xludf.DUMMYFUNCTION("""COMPUTED_VALUE"""),180.0)</f>
        <v>180</v>
      </c>
      <c r="G288" s="7">
        <f>IFERROR(__xludf.DUMMYFUNCTION("""COMPUTED_VALUE"""),0.5590277777777778)</f>
        <v>0.5590277778</v>
      </c>
      <c r="H288" s="1">
        <f>IFERROR(__xludf.DUMMYFUNCTION("""COMPUTED_VALUE"""),5.0)</f>
        <v>5</v>
      </c>
      <c r="I288" s="7">
        <f>IFERROR(__xludf.DUMMYFUNCTION("""COMPUTED_VALUE"""),0.5798611111111112)</f>
        <v>0.5798611111</v>
      </c>
      <c r="J288" s="1" t="str">
        <f>IFERROR(__xludf.DUMMYFUNCTION("""COMPUTED_VALUE"""),"F")</f>
        <v>F</v>
      </c>
      <c r="K288" s="1">
        <f>IFERROR(__xludf.DUMMYFUNCTION("""COMPUTED_VALUE"""),9.0)</f>
        <v>9</v>
      </c>
      <c r="L288" s="7">
        <f>IFERROR(__xludf.DUMMYFUNCTION("""COMPUTED_VALUE"""),0.02083333333333337)</f>
        <v>0.02083333333</v>
      </c>
      <c r="M288" s="7">
        <f>IFERROR(__xludf.DUMMYFUNCTION("""COMPUTED_VALUE"""),0.004652777777777815)</f>
        <v>0.004652777778</v>
      </c>
      <c r="O288" s="9">
        <f>IFERROR(__xludf.DUMMYFUNCTION("""COMPUTED_VALUE"""),20.100000000000158)</f>
        <v>20.1</v>
      </c>
      <c r="P288" s="1" t="str">
        <f>IFERROR(__xludf.DUMMYFUNCTION("""COMPUTED_VALUE"""),"ORO")</f>
        <v>ORO</v>
      </c>
      <c r="Q288" s="1" t="str">
        <f>IFERROR(__xludf.DUMMYFUNCTION("""COMPUTED_VALUE"""),"ECAC")</f>
        <v>ECAC</v>
      </c>
    </row>
    <row r="289">
      <c r="A289" s="1" t="str">
        <f>IFERROR(__xludf.DUMMYFUNCTION("""COMPUTED_VALUE"""),"RYR7TC")</f>
        <v>RYR7TC</v>
      </c>
      <c r="B289" s="1" t="str">
        <f>IFERROR(__xludf.DUMMYFUNCTION("""COMPUTED_VALUE"""),"B738")</f>
        <v>B738</v>
      </c>
      <c r="C289" s="1" t="str">
        <f>IFERROR(__xludf.DUMMYFUNCTION("""COMPUTED_VALUE"""),"EGBB")</f>
        <v>EGBB</v>
      </c>
      <c r="D289" s="1" t="str">
        <f>IFERROR(__xludf.DUMMYFUNCTION("""COMPUTED_VALUE"""),"LEBL")</f>
        <v>LEBL</v>
      </c>
      <c r="E289" s="1" t="str">
        <f>IFERROR(__xludf.DUMMYFUNCTION("""COMPUTED_VALUE"""),"9HQAL")</f>
        <v>9HQAL</v>
      </c>
      <c r="F289" s="1">
        <f>IFERROR(__xludf.DUMMYFUNCTION("""COMPUTED_VALUE"""),370.0)</f>
        <v>370</v>
      </c>
      <c r="G289" s="7">
        <f>IFERROR(__xludf.DUMMYFUNCTION("""COMPUTED_VALUE"""),0.5034722222222222)</f>
        <v>0.5034722222</v>
      </c>
      <c r="H289" s="1">
        <f>IFERROR(__xludf.DUMMYFUNCTION("""COMPUTED_VALUE"""),15.0)</f>
        <v>15</v>
      </c>
      <c r="I289" s="7">
        <f>IFERROR(__xludf.DUMMYFUNCTION("""COMPUTED_VALUE"""),0.5833333333333334)</f>
        <v>0.5833333333</v>
      </c>
      <c r="J289" s="1" t="str">
        <f>IFERROR(__xludf.DUMMYFUNCTION("""COMPUTED_VALUE"""),"D")</f>
        <v>D</v>
      </c>
      <c r="K289" s="1">
        <f>IFERROR(__xludf.DUMMYFUNCTION("""COMPUTED_VALUE"""),184.0)</f>
        <v>184</v>
      </c>
      <c r="L289" s="7">
        <f>IFERROR(__xludf.DUMMYFUNCTION("""COMPUTED_VALUE"""),0.07986111111111116)</f>
        <v>0.07986111111</v>
      </c>
      <c r="M289" s="7">
        <f>IFERROR(__xludf.DUMMYFUNCTION("""COMPUTED_VALUE"""),0.05673611111111116)</f>
        <v>0.05673611111</v>
      </c>
      <c r="O289" s="9">
        <f>IFERROR(__xludf.DUMMYFUNCTION("""COMPUTED_VALUE"""),1130.1833333333343)</f>
        <v>1130.183333</v>
      </c>
      <c r="P289" s="1" t="str">
        <f>IFERROR(__xludf.DUMMYFUNCTION("""COMPUTED_VALUE"""),"RYR")</f>
        <v>RYR</v>
      </c>
      <c r="Q289" s="1" t="str">
        <f>IFERROR(__xludf.DUMMYFUNCTION("""COMPUTED_VALUE"""),"ECAC")</f>
        <v>ECAC</v>
      </c>
    </row>
    <row r="290">
      <c r="A290" s="1" t="str">
        <f>IFERROR(__xludf.DUMMYFUNCTION("""COMPUTED_VALUE"""),"EZY69CT")</f>
        <v>EZY69CT</v>
      </c>
      <c r="B290" s="1" t="str">
        <f>IFERROR(__xludf.DUMMYFUNCTION("""COMPUTED_VALUE"""),"A320")</f>
        <v>A320</v>
      </c>
      <c r="C290" s="1" t="str">
        <f>IFERROR(__xludf.DUMMYFUNCTION("""COMPUTED_VALUE"""),"EGGW")</f>
        <v>EGGW</v>
      </c>
      <c r="D290" s="1" t="str">
        <f>IFERROR(__xludf.DUMMYFUNCTION("""COMPUTED_VALUE"""),"LEBL")</f>
        <v>LEBL</v>
      </c>
      <c r="E290" s="1" t="str">
        <f>IFERROR(__xludf.DUMMYFUNCTION("""COMPUTED_VALUE"""),"GEZTM")</f>
        <v>GEZTM</v>
      </c>
      <c r="F290" s="1">
        <f>IFERROR(__xludf.DUMMYFUNCTION("""COMPUTED_VALUE"""),350.0)</f>
        <v>350</v>
      </c>
      <c r="G290" s="7">
        <f>IFERROR(__xludf.DUMMYFUNCTION("""COMPUTED_VALUE"""),0.5069444444444444)</f>
        <v>0.5069444444</v>
      </c>
      <c r="H290" s="1">
        <f>IFERROR(__xludf.DUMMYFUNCTION("""COMPUTED_VALUE"""),13.0)</f>
        <v>13</v>
      </c>
      <c r="I290" s="7">
        <f>IFERROR(__xludf.DUMMYFUNCTION("""COMPUTED_VALUE"""),0.5833333333333334)</f>
        <v>0.5833333333</v>
      </c>
      <c r="J290" s="1" t="str">
        <f>IFERROR(__xludf.DUMMYFUNCTION("""COMPUTED_VALUE"""),"D")</f>
        <v>D</v>
      </c>
      <c r="K290" s="1">
        <f>IFERROR(__xludf.DUMMYFUNCTION("""COMPUTED_VALUE"""),173.0)</f>
        <v>173</v>
      </c>
      <c r="L290" s="7">
        <f>IFERROR(__xludf.DUMMYFUNCTION("""COMPUTED_VALUE"""),0.07638888888888895)</f>
        <v>0.07638888889</v>
      </c>
      <c r="M290" s="7">
        <f>IFERROR(__xludf.DUMMYFUNCTION("""COMPUTED_VALUE"""),0.05465277777777784)</f>
        <v>0.05465277778</v>
      </c>
      <c r="O290" s="9">
        <f>IFERROR(__xludf.DUMMYFUNCTION("""COMPUTED_VALUE"""),1088.6833333333348)</f>
        <v>1088.683333</v>
      </c>
      <c r="P290" s="1" t="str">
        <f>IFERROR(__xludf.DUMMYFUNCTION("""COMPUTED_VALUE"""),"EZY")</f>
        <v>EZY</v>
      </c>
      <c r="Q290" s="1" t="str">
        <f>IFERROR(__xludf.DUMMYFUNCTION("""COMPUTED_VALUE"""),"ECAC")</f>
        <v>ECAC</v>
      </c>
    </row>
    <row r="291">
      <c r="A291" s="1" t="str">
        <f>IFERROR(__xludf.DUMMYFUNCTION("""COMPUTED_VALUE"""),"RYR32TM")</f>
        <v>RYR32TM</v>
      </c>
      <c r="B291" s="1" t="str">
        <f>IFERROR(__xludf.DUMMYFUNCTION("""COMPUTED_VALUE"""),"B738")</f>
        <v>B738</v>
      </c>
      <c r="C291" s="1" t="str">
        <f>IFERROR(__xludf.DUMMYFUNCTION("""COMPUTED_VALUE"""),"LOWW")</f>
        <v>LOWW</v>
      </c>
      <c r="D291" s="1" t="str">
        <f>IFERROR(__xludf.DUMMYFUNCTION("""COMPUTED_VALUE"""),"LEBL")</f>
        <v>LEBL</v>
      </c>
      <c r="E291" s="1" t="str">
        <f>IFERROR(__xludf.DUMMYFUNCTION("""COMPUTED_VALUE"""),"EIEFO")</f>
        <v>EIEFO</v>
      </c>
      <c r="F291" s="1">
        <f>IFERROR(__xludf.DUMMYFUNCTION("""COMPUTED_VALUE"""),370.0)</f>
        <v>370</v>
      </c>
      <c r="G291" s="7">
        <f>IFERROR(__xludf.DUMMYFUNCTION("""COMPUTED_VALUE"""),0.5125)</f>
        <v>0.5125</v>
      </c>
      <c r="H291" s="1">
        <f>IFERROR(__xludf.DUMMYFUNCTION("""COMPUTED_VALUE"""),12.0)</f>
        <v>12</v>
      </c>
      <c r="I291" s="7">
        <f>IFERROR(__xludf.DUMMYFUNCTION("""COMPUTED_VALUE"""),0.5868055555555556)</f>
        <v>0.5868055556</v>
      </c>
      <c r="J291" s="1" t="str">
        <f>IFERROR(__xludf.DUMMYFUNCTION("""COMPUTED_VALUE"""),"D")</f>
        <v>D</v>
      </c>
      <c r="K291" s="1">
        <f>IFERROR(__xludf.DUMMYFUNCTION("""COMPUTED_VALUE"""),184.0)</f>
        <v>184</v>
      </c>
      <c r="L291" s="7">
        <f>IFERROR(__xludf.DUMMYFUNCTION("""COMPUTED_VALUE"""),0.07430555555555562)</f>
        <v>0.07430555556</v>
      </c>
      <c r="M291" s="7">
        <f>IFERROR(__xludf.DUMMYFUNCTION("""COMPUTED_VALUE"""),0.05326388888888896)</f>
        <v>0.05326388889</v>
      </c>
      <c r="O291" s="9">
        <f>IFERROR(__xludf.DUMMYFUNCTION("""COMPUTED_VALUE"""),1061.0166666666682)</f>
        <v>1061.016667</v>
      </c>
      <c r="P291" s="1" t="str">
        <f>IFERROR(__xludf.DUMMYFUNCTION("""COMPUTED_VALUE"""),"RYR")</f>
        <v>RYR</v>
      </c>
      <c r="Q291" s="1" t="str">
        <f>IFERROR(__xludf.DUMMYFUNCTION("""COMPUTED_VALUE"""),"ECAC")</f>
        <v>ECAC</v>
      </c>
    </row>
    <row r="292">
      <c r="A292" s="1" t="str">
        <f>IFERROR(__xludf.DUMMYFUNCTION("""COMPUTED_VALUE"""),"AFR34QV")</f>
        <v>AFR34QV</v>
      </c>
      <c r="B292" s="1" t="str">
        <f>IFERROR(__xludf.DUMMYFUNCTION("""COMPUTED_VALUE"""),"BCS3")</f>
        <v>BCS3</v>
      </c>
      <c r="C292" s="1" t="str">
        <f>IFERROR(__xludf.DUMMYFUNCTION("""COMPUTED_VALUE"""),"LFPG")</f>
        <v>LFPG</v>
      </c>
      <c r="D292" s="1" t="str">
        <f>IFERROR(__xludf.DUMMYFUNCTION("""COMPUTED_VALUE"""),"LEBL")</f>
        <v>LEBL</v>
      </c>
      <c r="E292" s="1" t="str">
        <f>IFERROR(__xludf.DUMMYFUNCTION("""COMPUTED_VALUE"""),"FHPNP")</f>
        <v>FHPNP</v>
      </c>
      <c r="F292" s="1">
        <f>IFERROR(__xludf.DUMMYFUNCTION("""COMPUTED_VALUE"""),370.0)</f>
        <v>370</v>
      </c>
      <c r="G292" s="7">
        <f>IFERROR(__xludf.DUMMYFUNCTION("""COMPUTED_VALUE"""),0.5194444444444445)</f>
        <v>0.5194444444</v>
      </c>
      <c r="H292" s="1">
        <f>IFERROR(__xludf.DUMMYFUNCTION("""COMPUTED_VALUE"""),17.0)</f>
        <v>17</v>
      </c>
      <c r="I292" s="7">
        <f>IFERROR(__xludf.DUMMYFUNCTION("""COMPUTED_VALUE"""),0.5868055555555556)</f>
        <v>0.5868055556</v>
      </c>
      <c r="J292" s="1" t="str">
        <f>IFERROR(__xludf.DUMMYFUNCTION("""COMPUTED_VALUE"""),"D")</f>
        <v>D</v>
      </c>
      <c r="K292" s="1">
        <f>IFERROR(__xludf.DUMMYFUNCTION("""COMPUTED_VALUE"""),148.0)</f>
        <v>148</v>
      </c>
      <c r="L292" s="7">
        <f>IFERROR(__xludf.DUMMYFUNCTION("""COMPUTED_VALUE"""),0.0673611111111111)</f>
        <v>0.06736111111</v>
      </c>
      <c r="M292" s="7">
        <f>IFERROR(__xludf.DUMMYFUNCTION("""COMPUTED_VALUE"""),0.0428472222222222)</f>
        <v>0.04284722222</v>
      </c>
      <c r="O292" s="9">
        <f>IFERROR(__xludf.DUMMYFUNCTION("""COMPUTED_VALUE"""),853.5166666666663)</f>
        <v>853.5166667</v>
      </c>
      <c r="P292" s="1" t="str">
        <f>IFERROR(__xludf.DUMMYFUNCTION("""COMPUTED_VALUE"""),"AFR")</f>
        <v>AFR</v>
      </c>
      <c r="Q292" s="1" t="str">
        <f>IFERROR(__xludf.DUMMYFUNCTION("""COMPUTED_VALUE"""),"ECAC")</f>
        <v>ECAC</v>
      </c>
    </row>
    <row r="293">
      <c r="A293" s="1" t="str">
        <f>IFERROR(__xludf.DUMMYFUNCTION("""COMPUTED_VALUE"""),"RYR6421")</f>
        <v>RYR6421</v>
      </c>
      <c r="B293" s="1" t="str">
        <f>IFERROR(__xludf.DUMMYFUNCTION("""COMPUTED_VALUE"""),"B738")</f>
        <v>B738</v>
      </c>
      <c r="C293" s="1" t="str">
        <f>IFERROR(__xludf.DUMMYFUNCTION("""COMPUTED_VALUE"""),"LPFR")</f>
        <v>LPFR</v>
      </c>
      <c r="D293" s="1" t="str">
        <f>IFERROR(__xludf.DUMMYFUNCTION("""COMPUTED_VALUE"""),"LEBL")</f>
        <v>LEBL</v>
      </c>
      <c r="E293" s="1" t="str">
        <f>IFERROR(__xludf.DUMMYFUNCTION("""COMPUTED_VALUE"""),"9HQEW")</f>
        <v>9HQEW</v>
      </c>
      <c r="F293" s="1">
        <f>IFERROR(__xludf.DUMMYFUNCTION("""COMPUTED_VALUE"""),380.0)</f>
        <v>380</v>
      </c>
      <c r="G293" s="7">
        <f>IFERROR(__xludf.DUMMYFUNCTION("""COMPUTED_VALUE"""),0.5256944444444445)</f>
        <v>0.5256944444</v>
      </c>
      <c r="H293" s="1">
        <f>IFERROR(__xludf.DUMMYFUNCTION("""COMPUTED_VALUE"""),10.0)</f>
        <v>10</v>
      </c>
      <c r="I293" s="7">
        <f>IFERROR(__xludf.DUMMYFUNCTION("""COMPUTED_VALUE"""),0.5868055555555556)</f>
        <v>0.5868055556</v>
      </c>
      <c r="J293" s="1" t="str">
        <f>IFERROR(__xludf.DUMMYFUNCTION("""COMPUTED_VALUE"""),"D")</f>
        <v>D</v>
      </c>
      <c r="K293" s="1">
        <f>IFERROR(__xludf.DUMMYFUNCTION("""COMPUTED_VALUE"""),184.0)</f>
        <v>184</v>
      </c>
      <c r="L293" s="7">
        <f>IFERROR(__xludf.DUMMYFUNCTION("""COMPUTED_VALUE"""),0.061111111111111116)</f>
        <v>0.06111111111</v>
      </c>
      <c r="M293" s="7">
        <f>IFERROR(__xludf.DUMMYFUNCTION("""COMPUTED_VALUE"""),0.04145833333333333)</f>
        <v>0.04145833333</v>
      </c>
      <c r="O293" s="9">
        <f>IFERROR(__xludf.DUMMYFUNCTION("""COMPUTED_VALUE"""),825.85)</f>
        <v>825.85</v>
      </c>
      <c r="P293" s="1" t="str">
        <f>IFERROR(__xludf.DUMMYFUNCTION("""COMPUTED_VALUE"""),"RYR")</f>
        <v>RYR</v>
      </c>
      <c r="Q293" s="1" t="str">
        <f>IFERROR(__xludf.DUMMYFUNCTION("""COMPUTED_VALUE"""),"ECAC")</f>
        <v>ECAC</v>
      </c>
    </row>
    <row r="294">
      <c r="A294" s="1" t="str">
        <f>IFERROR(__xludf.DUMMYFUNCTION("""COMPUTED_VALUE"""),"VLG88TZ")</f>
        <v>VLG88TZ</v>
      </c>
      <c r="B294" s="1" t="str">
        <f>IFERROR(__xludf.DUMMYFUNCTION("""COMPUTED_VALUE"""),"A320")</f>
        <v>A320</v>
      </c>
      <c r="C294" s="1" t="str">
        <f>IFERROR(__xludf.DUMMYFUNCTION("""COMPUTED_VALUE"""),"LDDU")</f>
        <v>LDDU</v>
      </c>
      <c r="D294" s="1" t="str">
        <f>IFERROR(__xludf.DUMMYFUNCTION("""COMPUTED_VALUE"""),"LEBL")</f>
        <v>LEBL</v>
      </c>
      <c r="E294" s="1" t="str">
        <f>IFERROR(__xludf.DUMMYFUNCTION("""COMPUTED_VALUE"""),"ECMEL")</f>
        <v>ECMEL</v>
      </c>
      <c r="F294" s="1">
        <f>IFERROR(__xludf.DUMMYFUNCTION("""COMPUTED_VALUE"""),350.0)</f>
        <v>350</v>
      </c>
      <c r="G294" s="7">
        <f>IFERROR(__xludf.DUMMYFUNCTION("""COMPUTED_VALUE"""),0.5131944444444444)</f>
        <v>0.5131944444</v>
      </c>
      <c r="H294" s="1">
        <f>IFERROR(__xludf.DUMMYFUNCTION("""COMPUTED_VALUE"""),9.0)</f>
        <v>9</v>
      </c>
      <c r="I294" s="7">
        <f>IFERROR(__xludf.DUMMYFUNCTION("""COMPUTED_VALUE"""),0.5902777777777778)</f>
        <v>0.5902777778</v>
      </c>
      <c r="J294" s="1" t="str">
        <f>IFERROR(__xludf.DUMMYFUNCTION("""COMPUTED_VALUE"""),"D")</f>
        <v>D</v>
      </c>
      <c r="K294" s="1">
        <f>IFERROR(__xludf.DUMMYFUNCTION("""COMPUTED_VALUE"""),173.0)</f>
        <v>173</v>
      </c>
      <c r="L294" s="7">
        <f>IFERROR(__xludf.DUMMYFUNCTION("""COMPUTED_VALUE"""),0.07708333333333339)</f>
        <v>0.07708333333</v>
      </c>
      <c r="M294" s="7">
        <f>IFERROR(__xludf.DUMMYFUNCTION("""COMPUTED_VALUE"""),0.05812500000000006)</f>
        <v>0.058125</v>
      </c>
      <c r="O294" s="9">
        <f>IFERROR(__xludf.DUMMYFUNCTION("""COMPUTED_VALUE"""),1157.850000000001)</f>
        <v>1157.85</v>
      </c>
      <c r="P294" s="1" t="str">
        <f>IFERROR(__xludf.DUMMYFUNCTION("""COMPUTED_VALUE"""),"VLG")</f>
        <v>VLG</v>
      </c>
      <c r="Q294" s="1" t="str">
        <f>IFERROR(__xludf.DUMMYFUNCTION("""COMPUTED_VALUE"""),"ECAC")</f>
        <v>ECAC</v>
      </c>
    </row>
    <row r="295">
      <c r="A295" s="1" t="str">
        <f>IFERROR(__xludf.DUMMYFUNCTION("""COMPUTED_VALUE"""),"DLH21W")</f>
        <v>DLH21W</v>
      </c>
      <c r="B295" s="1" t="str">
        <f>IFERROR(__xludf.DUMMYFUNCTION("""COMPUTED_VALUE"""),"A320")</f>
        <v>A320</v>
      </c>
      <c r="C295" s="1" t="str">
        <f>IFERROR(__xludf.DUMMYFUNCTION("""COMPUTED_VALUE"""),"EDDF")</f>
        <v>EDDF</v>
      </c>
      <c r="D295" s="1" t="str">
        <f>IFERROR(__xludf.DUMMYFUNCTION("""COMPUTED_VALUE"""),"LEBL")</f>
        <v>LEBL</v>
      </c>
      <c r="E295" s="1" t="str">
        <f>IFERROR(__xludf.DUMMYFUNCTION("""COMPUTED_VALUE"""),"DAIUA")</f>
        <v>DAIUA</v>
      </c>
      <c r="F295" s="1">
        <f>IFERROR(__xludf.DUMMYFUNCTION("""COMPUTED_VALUE"""),370.0)</f>
        <v>370</v>
      </c>
      <c r="G295" s="7">
        <f>IFERROR(__xludf.DUMMYFUNCTION("""COMPUTED_VALUE"""),0.5152777777777777)</f>
        <v>0.5152777778</v>
      </c>
      <c r="H295" s="1">
        <f>IFERROR(__xludf.DUMMYFUNCTION("""COMPUTED_VALUE"""),12.0)</f>
        <v>12</v>
      </c>
      <c r="I295" s="7">
        <f>IFERROR(__xludf.DUMMYFUNCTION("""COMPUTED_VALUE"""),0.5902777777777778)</f>
        <v>0.5902777778</v>
      </c>
      <c r="J295" s="1" t="str">
        <f>IFERROR(__xludf.DUMMYFUNCTION("""COMPUTED_VALUE"""),"D")</f>
        <v>D</v>
      </c>
      <c r="K295" s="1">
        <f>IFERROR(__xludf.DUMMYFUNCTION("""COMPUTED_VALUE"""),173.0)</f>
        <v>173</v>
      </c>
      <c r="L295" s="7">
        <f>IFERROR(__xludf.DUMMYFUNCTION("""COMPUTED_VALUE"""),0.07500000000000007)</f>
        <v>0.075</v>
      </c>
      <c r="M295" s="7">
        <f>IFERROR(__xludf.DUMMYFUNCTION("""COMPUTED_VALUE"""),0.0539583333333334)</f>
        <v>0.05395833333</v>
      </c>
      <c r="O295" s="9">
        <f>IFERROR(__xludf.DUMMYFUNCTION("""COMPUTED_VALUE"""),1074.8500000000015)</f>
        <v>1074.85</v>
      </c>
      <c r="P295" s="1" t="str">
        <f>IFERROR(__xludf.DUMMYFUNCTION("""COMPUTED_VALUE"""),"DLH")</f>
        <v>DLH</v>
      </c>
      <c r="Q295" s="1" t="str">
        <f>IFERROR(__xludf.DUMMYFUNCTION("""COMPUTED_VALUE"""),"ECAC")</f>
        <v>ECAC</v>
      </c>
    </row>
    <row r="296">
      <c r="A296" s="1" t="str">
        <f>IFERROR(__xludf.DUMMYFUNCTION("""COMPUTED_VALUE"""),"VLG79TF")</f>
        <v>VLG79TF</v>
      </c>
      <c r="B296" s="1" t="str">
        <f>IFERROR(__xludf.DUMMYFUNCTION("""COMPUTED_VALUE"""),"A321")</f>
        <v>A321</v>
      </c>
      <c r="C296" s="1" t="str">
        <f>IFERROR(__xludf.DUMMYFUNCTION("""COMPUTED_VALUE"""),"LIMC")</f>
        <v>LIMC</v>
      </c>
      <c r="D296" s="1" t="str">
        <f>IFERROR(__xludf.DUMMYFUNCTION("""COMPUTED_VALUE"""),"LEBL")</f>
        <v>LEBL</v>
      </c>
      <c r="E296" s="1" t="str">
        <f>IFERROR(__xludf.DUMMYFUNCTION("""COMPUTED_VALUE"""),"ECMHB")</f>
        <v>ECMHB</v>
      </c>
      <c r="F296" s="1">
        <f>IFERROR(__xludf.DUMMYFUNCTION("""COMPUTED_VALUE"""),290.0)</f>
        <v>290</v>
      </c>
      <c r="G296" s="7">
        <f>IFERROR(__xludf.DUMMYFUNCTION("""COMPUTED_VALUE"""),0.5395833333333333)</f>
        <v>0.5395833333</v>
      </c>
      <c r="H296" s="1">
        <f>IFERROR(__xludf.DUMMYFUNCTION("""COMPUTED_VALUE"""),17.0)</f>
        <v>17</v>
      </c>
      <c r="I296" s="7">
        <f>IFERROR(__xludf.DUMMYFUNCTION("""COMPUTED_VALUE"""),0.5902777777777778)</f>
        <v>0.5902777778</v>
      </c>
      <c r="J296" s="1" t="str">
        <f>IFERROR(__xludf.DUMMYFUNCTION("""COMPUTED_VALUE"""),"D")</f>
        <v>D</v>
      </c>
      <c r="K296" s="1">
        <f>IFERROR(__xludf.DUMMYFUNCTION("""COMPUTED_VALUE"""),207.0)</f>
        <v>207</v>
      </c>
      <c r="L296" s="7">
        <f>IFERROR(__xludf.DUMMYFUNCTION("""COMPUTED_VALUE"""),0.050694444444444486)</f>
        <v>0.05069444444</v>
      </c>
      <c r="M296" s="7">
        <f>IFERROR(__xludf.DUMMYFUNCTION("""COMPUTED_VALUE"""),0.026180555555555596)</f>
        <v>0.02618055556</v>
      </c>
      <c r="O296" s="9">
        <f>IFERROR(__xludf.DUMMYFUNCTION("""COMPUTED_VALUE"""),521.5166666666674)</f>
        <v>521.5166667</v>
      </c>
      <c r="P296" s="1" t="str">
        <f>IFERROR(__xludf.DUMMYFUNCTION("""COMPUTED_VALUE"""),"VLG")</f>
        <v>VLG</v>
      </c>
      <c r="Q296" s="1" t="str">
        <f>IFERROR(__xludf.DUMMYFUNCTION("""COMPUTED_VALUE"""),"ECAC")</f>
        <v>ECAC</v>
      </c>
    </row>
    <row r="297">
      <c r="A297" s="1" t="str">
        <f>IFERROR(__xludf.DUMMYFUNCTION("""COMPUTED_VALUE"""),"RYR853B")</f>
        <v>RYR853B</v>
      </c>
      <c r="B297" s="1" t="str">
        <f>IFERROR(__xludf.DUMMYFUNCTION("""COMPUTED_VALUE"""),"B738")</f>
        <v>B738</v>
      </c>
      <c r="C297" s="1" t="str">
        <f>IFERROR(__xludf.DUMMYFUNCTION("""COMPUTED_VALUE"""),"LIPZ")</f>
        <v>LIPZ</v>
      </c>
      <c r="D297" s="1" t="str">
        <f>IFERROR(__xludf.DUMMYFUNCTION("""COMPUTED_VALUE"""),"LEBL")</f>
        <v>LEBL</v>
      </c>
      <c r="E297" s="1" t="str">
        <f>IFERROR(__xludf.DUMMYFUNCTION("""COMPUTED_VALUE"""),"EIDYW")</f>
        <v>EIDYW</v>
      </c>
      <c r="F297" s="1">
        <f>IFERROR(__xludf.DUMMYFUNCTION("""COMPUTED_VALUE"""),350.0)</f>
        <v>350</v>
      </c>
      <c r="G297" s="7">
        <f>IFERROR(__xludf.DUMMYFUNCTION("""COMPUTED_VALUE"""),0.5194444444444445)</f>
        <v>0.5194444444</v>
      </c>
      <c r="H297" s="1">
        <f>IFERROR(__xludf.DUMMYFUNCTION("""COMPUTED_VALUE"""),13.0)</f>
        <v>13</v>
      </c>
      <c r="I297" s="7">
        <f>IFERROR(__xludf.DUMMYFUNCTION("""COMPUTED_VALUE"""),0.5902777777777778)</f>
        <v>0.5902777778</v>
      </c>
      <c r="J297" s="1" t="str">
        <f>IFERROR(__xludf.DUMMYFUNCTION("""COMPUTED_VALUE"""),"D")</f>
        <v>D</v>
      </c>
      <c r="K297" s="1">
        <f>IFERROR(__xludf.DUMMYFUNCTION("""COMPUTED_VALUE"""),184.0)</f>
        <v>184</v>
      </c>
      <c r="L297" s="7">
        <f>IFERROR(__xludf.DUMMYFUNCTION("""COMPUTED_VALUE"""),0.0708333333333333)</f>
        <v>0.07083333333</v>
      </c>
      <c r="M297" s="7">
        <f>IFERROR(__xludf.DUMMYFUNCTION("""COMPUTED_VALUE"""),0.049097222222222195)</f>
        <v>0.04909722222</v>
      </c>
      <c r="O297" s="9">
        <f>IFERROR(__xludf.DUMMYFUNCTION("""COMPUTED_VALUE"""),978.0166666666662)</f>
        <v>978.0166667</v>
      </c>
      <c r="P297" s="1" t="str">
        <f>IFERROR(__xludf.DUMMYFUNCTION("""COMPUTED_VALUE"""),"RYR")</f>
        <v>RYR</v>
      </c>
      <c r="Q297" s="1" t="str">
        <f>IFERROR(__xludf.DUMMYFUNCTION("""COMPUTED_VALUE"""),"ECAC")</f>
        <v>ECAC</v>
      </c>
    </row>
    <row r="298">
      <c r="A298" s="1" t="str">
        <f>IFERROR(__xludf.DUMMYFUNCTION("""COMPUTED_VALUE"""),"VLG5KD")</f>
        <v>VLG5KD</v>
      </c>
      <c r="B298" s="1" t="str">
        <f>IFERROR(__xludf.DUMMYFUNCTION("""COMPUTED_VALUE"""),"A321")</f>
        <v>A321</v>
      </c>
      <c r="C298" s="1" t="str">
        <f>IFERROR(__xludf.DUMMYFUNCTION("""COMPUTED_VALUE"""),"LFRS")</f>
        <v>LFRS</v>
      </c>
      <c r="D298" s="1" t="str">
        <f>IFERROR(__xludf.DUMMYFUNCTION("""COMPUTED_VALUE"""),"LEBL")</f>
        <v>LEBL</v>
      </c>
      <c r="E298" s="1" t="str">
        <f>IFERROR(__xludf.DUMMYFUNCTION("""COMPUTED_VALUE"""),"ECNLX")</f>
        <v>ECNLX</v>
      </c>
      <c r="F298" s="1">
        <f>IFERROR(__xludf.DUMMYFUNCTION("""COMPUTED_VALUE"""),330.0)</f>
        <v>330</v>
      </c>
      <c r="G298" s="7">
        <f>IFERROR(__xludf.DUMMYFUNCTION("""COMPUTED_VALUE"""),0.5451388888888888)</f>
        <v>0.5451388889</v>
      </c>
      <c r="H298" s="1">
        <f>IFERROR(__xludf.DUMMYFUNCTION("""COMPUTED_VALUE"""),10.0)</f>
        <v>10</v>
      </c>
      <c r="I298" s="7">
        <f>IFERROR(__xludf.DUMMYFUNCTION("""COMPUTED_VALUE"""),0.5902777777777778)</f>
        <v>0.5902777778</v>
      </c>
      <c r="J298" s="1" t="str">
        <f>IFERROR(__xludf.DUMMYFUNCTION("""COMPUTED_VALUE"""),"D")</f>
        <v>D</v>
      </c>
      <c r="K298" s="1">
        <f>IFERROR(__xludf.DUMMYFUNCTION("""COMPUTED_VALUE"""),207.0)</f>
        <v>207</v>
      </c>
      <c r="L298" s="7">
        <f>IFERROR(__xludf.DUMMYFUNCTION("""COMPUTED_VALUE"""),0.04513888888888895)</f>
        <v>0.04513888889</v>
      </c>
      <c r="M298" s="7">
        <f>IFERROR(__xludf.DUMMYFUNCTION("""COMPUTED_VALUE"""),0.02548611111111117)</f>
        <v>0.02548611111</v>
      </c>
      <c r="O298" s="9">
        <f>IFERROR(__xludf.DUMMYFUNCTION("""COMPUTED_VALUE"""),507.68333333333453)</f>
        <v>507.6833333</v>
      </c>
      <c r="P298" s="1" t="str">
        <f>IFERROR(__xludf.DUMMYFUNCTION("""COMPUTED_VALUE"""),"VLG")</f>
        <v>VLG</v>
      </c>
      <c r="Q298" s="1" t="str">
        <f>IFERROR(__xludf.DUMMYFUNCTION("""COMPUTED_VALUE"""),"ECAC")</f>
        <v>ECAC</v>
      </c>
    </row>
    <row r="299">
      <c r="A299" s="1" t="str">
        <f>IFERROR(__xludf.DUMMYFUNCTION("""COMPUTED_VALUE"""),"VLG41SF")</f>
        <v>VLG41SF</v>
      </c>
      <c r="B299" s="1" t="str">
        <f>IFERROR(__xludf.DUMMYFUNCTION("""COMPUTED_VALUE"""),"A320")</f>
        <v>A320</v>
      </c>
      <c r="C299" s="1" t="str">
        <f>IFERROR(__xludf.DUMMYFUNCTION("""COMPUTED_VALUE"""),"LFSB")</f>
        <v>LFSB</v>
      </c>
      <c r="D299" s="1" t="str">
        <f>IFERROR(__xludf.DUMMYFUNCTION("""COMPUTED_VALUE"""),"LEBL")</f>
        <v>LEBL</v>
      </c>
      <c r="E299" s="1" t="str">
        <f>IFERROR(__xludf.DUMMYFUNCTION("""COMPUTED_VALUE"""),"ECMAH")</f>
        <v>ECMAH</v>
      </c>
      <c r="F299" s="1">
        <f>IFERROR(__xludf.DUMMYFUNCTION("""COMPUTED_VALUE"""),330.0)</f>
        <v>330</v>
      </c>
      <c r="G299" s="7">
        <f>IFERROR(__xludf.DUMMYFUNCTION("""COMPUTED_VALUE"""),0.5319444444444444)</f>
        <v>0.5319444444</v>
      </c>
      <c r="H299" s="1">
        <f>IFERROR(__xludf.DUMMYFUNCTION("""COMPUTED_VALUE"""),10.0)</f>
        <v>10</v>
      </c>
      <c r="I299" s="7">
        <f>IFERROR(__xludf.DUMMYFUNCTION("""COMPUTED_VALUE"""),0.5902777777777778)</f>
        <v>0.5902777778</v>
      </c>
      <c r="J299" s="1" t="str">
        <f>IFERROR(__xludf.DUMMYFUNCTION("""COMPUTED_VALUE"""),"D")</f>
        <v>D</v>
      </c>
      <c r="K299" s="1">
        <f>IFERROR(__xludf.DUMMYFUNCTION("""COMPUTED_VALUE"""),173.0)</f>
        <v>173</v>
      </c>
      <c r="L299" s="7">
        <f>IFERROR(__xludf.DUMMYFUNCTION("""COMPUTED_VALUE"""),0.05833333333333335)</f>
        <v>0.05833333333</v>
      </c>
      <c r="M299" s="7">
        <f>IFERROR(__xludf.DUMMYFUNCTION("""COMPUTED_VALUE"""),0.038680555555555565)</f>
        <v>0.03868055556</v>
      </c>
      <c r="O299" s="9">
        <f>IFERROR(__xludf.DUMMYFUNCTION("""COMPUTED_VALUE"""),770.5166666666669)</f>
        <v>770.5166667</v>
      </c>
      <c r="P299" s="1" t="str">
        <f>IFERROR(__xludf.DUMMYFUNCTION("""COMPUTED_VALUE"""),"VLG")</f>
        <v>VLG</v>
      </c>
      <c r="Q299" s="1" t="str">
        <f>IFERROR(__xludf.DUMMYFUNCTION("""COMPUTED_VALUE"""),"ECAC")</f>
        <v>ECAC</v>
      </c>
    </row>
    <row r="300">
      <c r="A300" s="1" t="str">
        <f>IFERROR(__xludf.DUMMYFUNCTION("""COMPUTED_VALUE"""),"VLG7WW")</f>
        <v>VLG7WW</v>
      </c>
      <c r="B300" s="1" t="str">
        <f>IFERROR(__xludf.DUMMYFUNCTION("""COMPUTED_VALUE"""),"A320")</f>
        <v>A320</v>
      </c>
      <c r="C300" s="1" t="str">
        <f>IFERROR(__xludf.DUMMYFUNCTION("""COMPUTED_VALUE"""),"LIBD")</f>
        <v>LIBD</v>
      </c>
      <c r="D300" s="1" t="str">
        <f>IFERROR(__xludf.DUMMYFUNCTION("""COMPUTED_VALUE"""),"LEBL")</f>
        <v>LEBL</v>
      </c>
      <c r="E300" s="1" t="str">
        <f>IFERROR(__xludf.DUMMYFUNCTION("""COMPUTED_VALUE"""),"ECLLJ")</f>
        <v>ECLLJ</v>
      </c>
      <c r="F300" s="1">
        <f>IFERROR(__xludf.DUMMYFUNCTION("""COMPUTED_VALUE"""),350.0)</f>
        <v>350</v>
      </c>
      <c r="G300" s="7">
        <f>IFERROR(__xludf.DUMMYFUNCTION("""COMPUTED_VALUE"""),0.5229166666666667)</f>
        <v>0.5229166667</v>
      </c>
      <c r="H300" s="1">
        <f>IFERROR(__xludf.DUMMYFUNCTION("""COMPUTED_VALUE"""),8.0)</f>
        <v>8</v>
      </c>
      <c r="I300" s="7">
        <f>IFERROR(__xludf.DUMMYFUNCTION("""COMPUTED_VALUE"""),0.59375)</f>
        <v>0.59375</v>
      </c>
      <c r="J300" s="1" t="str">
        <f>IFERROR(__xludf.DUMMYFUNCTION("""COMPUTED_VALUE"""),"D")</f>
        <v>D</v>
      </c>
      <c r="K300" s="1">
        <f>IFERROR(__xludf.DUMMYFUNCTION("""COMPUTED_VALUE"""),173.0)</f>
        <v>173</v>
      </c>
      <c r="L300" s="7">
        <f>IFERROR(__xludf.DUMMYFUNCTION("""COMPUTED_VALUE"""),0.0708333333333333)</f>
        <v>0.07083333333</v>
      </c>
      <c r="M300" s="7">
        <f>IFERROR(__xludf.DUMMYFUNCTION("""COMPUTED_VALUE"""),0.05256944444444441)</f>
        <v>0.05256944444</v>
      </c>
      <c r="O300" s="9">
        <f>IFERROR(__xludf.DUMMYFUNCTION("""COMPUTED_VALUE"""),1047.1833333333327)</f>
        <v>1047.183333</v>
      </c>
      <c r="P300" s="1" t="str">
        <f>IFERROR(__xludf.DUMMYFUNCTION("""COMPUTED_VALUE"""),"VLG")</f>
        <v>VLG</v>
      </c>
      <c r="Q300" s="1" t="str">
        <f>IFERROR(__xludf.DUMMYFUNCTION("""COMPUTED_VALUE"""),"ECAC")</f>
        <v>ECAC</v>
      </c>
    </row>
    <row r="301">
      <c r="A301" s="1" t="str">
        <f>IFERROR(__xludf.DUMMYFUNCTION("""COMPUTED_VALUE"""),"ITY076")</f>
        <v>ITY076</v>
      </c>
      <c r="B301" s="1" t="str">
        <f>IFERROR(__xludf.DUMMYFUNCTION("""COMPUTED_VALUE"""),"A21N")</f>
        <v>A21N</v>
      </c>
      <c r="C301" s="1" t="str">
        <f>IFERROR(__xludf.DUMMYFUNCTION("""COMPUTED_VALUE"""),"LIRF")</f>
        <v>LIRF</v>
      </c>
      <c r="D301" s="1" t="str">
        <f>IFERROR(__xludf.DUMMYFUNCTION("""COMPUTED_VALUE"""),"LEBL")</f>
        <v>LEBL</v>
      </c>
      <c r="E301" s="1" t="str">
        <f>IFERROR(__xludf.DUMMYFUNCTION("""COMPUTED_VALUE"""),"EIHXG")</f>
        <v>EIHXG</v>
      </c>
      <c r="F301" s="1">
        <f>IFERROR(__xludf.DUMMYFUNCTION("""COMPUTED_VALUE"""),350.0)</f>
        <v>350</v>
      </c>
      <c r="G301" s="7">
        <f>IFERROR(__xludf.DUMMYFUNCTION("""COMPUTED_VALUE"""),0.5381944444444444)</f>
        <v>0.5381944444</v>
      </c>
      <c r="H301" s="1">
        <f>IFERROR(__xludf.DUMMYFUNCTION("""COMPUTED_VALUE"""),11.0)</f>
        <v>11</v>
      </c>
      <c r="I301" s="7">
        <f>IFERROR(__xludf.DUMMYFUNCTION("""COMPUTED_VALUE"""),0.59375)</f>
        <v>0.59375</v>
      </c>
      <c r="J301" s="1" t="str">
        <f>IFERROR(__xludf.DUMMYFUNCTION("""COMPUTED_VALUE"""),"D")</f>
        <v>D</v>
      </c>
      <c r="K301" s="1">
        <f>IFERROR(__xludf.DUMMYFUNCTION("""COMPUTED_VALUE"""),200.0)</f>
        <v>200</v>
      </c>
      <c r="L301" s="7">
        <f>IFERROR(__xludf.DUMMYFUNCTION("""COMPUTED_VALUE"""),0.05555555555555558)</f>
        <v>0.05555555556</v>
      </c>
      <c r="M301" s="7">
        <f>IFERROR(__xludf.DUMMYFUNCTION("""COMPUTED_VALUE"""),0.035208333333333355)</f>
        <v>0.03520833333</v>
      </c>
      <c r="O301" s="9">
        <f>IFERROR(__xludf.DUMMYFUNCTION("""COMPUTED_VALUE"""),701.3500000000005)</f>
        <v>701.35</v>
      </c>
      <c r="P301" s="1" t="str">
        <f>IFERROR(__xludf.DUMMYFUNCTION("""COMPUTED_VALUE"""),"ITY")</f>
        <v>ITY</v>
      </c>
      <c r="Q301" s="1" t="str">
        <f>IFERROR(__xludf.DUMMYFUNCTION("""COMPUTED_VALUE"""),"ECAC")</f>
        <v>ECAC</v>
      </c>
    </row>
    <row r="302">
      <c r="A302" s="1" t="str">
        <f>IFERROR(__xludf.DUMMYFUNCTION("""COMPUTED_VALUE"""),"RYR3VJ")</f>
        <v>RYR3VJ</v>
      </c>
      <c r="B302" s="1" t="str">
        <f>IFERROR(__xludf.DUMMYFUNCTION("""COMPUTED_VALUE"""),"B738")</f>
        <v>B738</v>
      </c>
      <c r="C302" s="1" t="str">
        <f>IFERROR(__xludf.DUMMYFUNCTION("""COMPUTED_VALUE"""),"EGGW")</f>
        <v>EGGW</v>
      </c>
      <c r="D302" s="1" t="str">
        <f>IFERROR(__xludf.DUMMYFUNCTION("""COMPUTED_VALUE"""),"LEBL")</f>
        <v>LEBL</v>
      </c>
      <c r="E302" s="1" t="str">
        <f>IFERROR(__xludf.DUMMYFUNCTION("""COMPUTED_VALUE"""),"EIEBF")</f>
        <v>EIEBF</v>
      </c>
      <c r="F302" s="1">
        <f>IFERROR(__xludf.DUMMYFUNCTION("""COMPUTED_VALUE"""),350.0)</f>
        <v>350</v>
      </c>
      <c r="G302" s="7">
        <f>IFERROR(__xludf.DUMMYFUNCTION("""COMPUTED_VALUE"""),0.5173611111111112)</f>
        <v>0.5173611111</v>
      </c>
      <c r="H302" s="1">
        <f>IFERROR(__xludf.DUMMYFUNCTION("""COMPUTED_VALUE"""),18.0)</f>
        <v>18</v>
      </c>
      <c r="I302" s="7">
        <f>IFERROR(__xludf.DUMMYFUNCTION("""COMPUTED_VALUE"""),0.59375)</f>
        <v>0.59375</v>
      </c>
      <c r="J302" s="1" t="str">
        <f>IFERROR(__xludf.DUMMYFUNCTION("""COMPUTED_VALUE"""),"D")</f>
        <v>D</v>
      </c>
      <c r="K302" s="1">
        <f>IFERROR(__xludf.DUMMYFUNCTION("""COMPUTED_VALUE"""),184.0)</f>
        <v>184</v>
      </c>
      <c r="L302" s="7">
        <f>IFERROR(__xludf.DUMMYFUNCTION("""COMPUTED_VALUE"""),0.07638888888888884)</f>
        <v>0.07638888889</v>
      </c>
      <c r="M302" s="7">
        <f>IFERROR(__xludf.DUMMYFUNCTION("""COMPUTED_VALUE"""),0.05118055555555551)</f>
        <v>0.05118055556</v>
      </c>
      <c r="O302" s="9">
        <f>IFERROR(__xludf.DUMMYFUNCTION("""COMPUTED_VALUE"""),1019.5166666666657)</f>
        <v>1019.516667</v>
      </c>
      <c r="P302" s="1" t="str">
        <f>IFERROR(__xludf.DUMMYFUNCTION("""COMPUTED_VALUE"""),"RYR")</f>
        <v>RYR</v>
      </c>
      <c r="Q302" s="1" t="str">
        <f>IFERROR(__xludf.DUMMYFUNCTION("""COMPUTED_VALUE"""),"ECAC")</f>
        <v>ECAC</v>
      </c>
    </row>
    <row r="303">
      <c r="A303" s="1" t="str">
        <f>IFERROR(__xludf.DUMMYFUNCTION("""COMPUTED_VALUE"""),"KLM93Z")</f>
        <v>KLM93Z</v>
      </c>
      <c r="B303" s="1" t="str">
        <f>IFERROR(__xludf.DUMMYFUNCTION("""COMPUTED_VALUE"""),"B739")</f>
        <v>B739</v>
      </c>
      <c r="C303" s="1" t="str">
        <f>IFERROR(__xludf.DUMMYFUNCTION("""COMPUTED_VALUE"""),"EHAM")</f>
        <v>EHAM</v>
      </c>
      <c r="D303" s="1" t="str">
        <f>IFERROR(__xludf.DUMMYFUNCTION("""COMPUTED_VALUE"""),"LEBL")</f>
        <v>LEBL</v>
      </c>
      <c r="E303" s="1" t="str">
        <f>IFERROR(__xludf.DUMMYFUNCTION("""COMPUTED_VALUE"""),"PHBXT")</f>
        <v>PHBXT</v>
      </c>
      <c r="F303" s="1">
        <f>IFERROR(__xludf.DUMMYFUNCTION("""COMPUTED_VALUE"""),350.0)</f>
        <v>350</v>
      </c>
      <c r="G303" s="7">
        <f>IFERROR(__xludf.DUMMYFUNCTION("""COMPUTED_VALUE"""),0.5194444444444445)</f>
        <v>0.5194444444</v>
      </c>
      <c r="H303" s="1">
        <f>IFERROR(__xludf.DUMMYFUNCTION("""COMPUTED_VALUE"""),14.0)</f>
        <v>14</v>
      </c>
      <c r="I303" s="7">
        <f>IFERROR(__xludf.DUMMYFUNCTION("""COMPUTED_VALUE"""),0.59375)</f>
        <v>0.59375</v>
      </c>
      <c r="J303" s="1" t="str">
        <f>IFERROR(__xludf.DUMMYFUNCTION("""COMPUTED_VALUE"""),"D")</f>
        <v>D</v>
      </c>
      <c r="K303" s="1">
        <f>IFERROR(__xludf.DUMMYFUNCTION("""COMPUTED_VALUE"""),183.0)</f>
        <v>183</v>
      </c>
      <c r="L303" s="7">
        <f>IFERROR(__xludf.DUMMYFUNCTION("""COMPUTED_VALUE"""),0.07430555555555551)</f>
        <v>0.07430555556</v>
      </c>
      <c r="M303" s="7">
        <f>IFERROR(__xludf.DUMMYFUNCTION("""COMPUTED_VALUE"""),0.051874999999999956)</f>
        <v>0.051875</v>
      </c>
      <c r="O303" s="9">
        <f>IFERROR(__xludf.DUMMYFUNCTION("""COMPUTED_VALUE"""),1033.3499999999992)</f>
        <v>1033.35</v>
      </c>
      <c r="P303" s="1" t="str">
        <f>IFERROR(__xludf.DUMMYFUNCTION("""COMPUTED_VALUE"""),"KLM")</f>
        <v>KLM</v>
      </c>
      <c r="Q303" s="1" t="str">
        <f>IFERROR(__xludf.DUMMYFUNCTION("""COMPUTED_VALUE"""),"ECAC")</f>
        <v>ECAC</v>
      </c>
    </row>
    <row r="304">
      <c r="A304" s="1" t="str">
        <f>IFERROR(__xludf.DUMMYFUNCTION("""COMPUTED_VALUE"""),"RYR1DC")</f>
        <v>RYR1DC</v>
      </c>
      <c r="B304" s="1" t="str">
        <f>IFERROR(__xludf.DUMMYFUNCTION("""COMPUTED_VALUE"""),"B738")</f>
        <v>B738</v>
      </c>
      <c r="C304" s="1" t="str">
        <f>IFERROR(__xludf.DUMMYFUNCTION("""COMPUTED_VALUE"""),"LEMH")</f>
        <v>LEMH</v>
      </c>
      <c r="D304" s="1" t="str">
        <f>IFERROR(__xludf.DUMMYFUNCTION("""COMPUTED_VALUE"""),"LEBL")</f>
        <v>LEBL</v>
      </c>
      <c r="E304" s="1" t="str">
        <f>IFERROR(__xludf.DUMMYFUNCTION("""COMPUTED_VALUE"""),"EIDPI")</f>
        <v>EIDPI</v>
      </c>
      <c r="F304" s="1">
        <f>IFERROR(__xludf.DUMMYFUNCTION("""COMPUTED_VALUE"""),180.0)</f>
        <v>180</v>
      </c>
      <c r="G304" s="7">
        <f>IFERROR(__xludf.DUMMYFUNCTION("""COMPUTED_VALUE"""),0.5694444444444444)</f>
        <v>0.5694444444</v>
      </c>
      <c r="H304" s="1">
        <f>IFERROR(__xludf.DUMMYFUNCTION("""COMPUTED_VALUE"""),10.0)</f>
        <v>10</v>
      </c>
      <c r="I304" s="7">
        <f>IFERROR(__xludf.DUMMYFUNCTION("""COMPUTED_VALUE"""),0.5972222222222222)</f>
        <v>0.5972222222</v>
      </c>
      <c r="J304" s="1" t="str">
        <f>IFERROR(__xludf.DUMMYFUNCTION("""COMPUTED_VALUE"""),"D")</f>
        <v>D</v>
      </c>
      <c r="K304" s="1">
        <f>IFERROR(__xludf.DUMMYFUNCTION("""COMPUTED_VALUE"""),184.0)</f>
        <v>184</v>
      </c>
      <c r="L304" s="7">
        <f>IFERROR(__xludf.DUMMYFUNCTION("""COMPUTED_VALUE"""),0.02777777777777779)</f>
        <v>0.02777777778</v>
      </c>
      <c r="M304" s="7">
        <f>IFERROR(__xludf.DUMMYFUNCTION("""COMPUTED_VALUE"""),0.008125000000000012)</f>
        <v>0.008125</v>
      </c>
      <c r="O304" s="9">
        <f>IFERROR(__xludf.DUMMYFUNCTION("""COMPUTED_VALUE"""),161.85000000000025)</f>
        <v>161.85</v>
      </c>
      <c r="P304" s="1" t="str">
        <f>IFERROR(__xludf.DUMMYFUNCTION("""COMPUTED_VALUE"""),"RYR")</f>
        <v>RYR</v>
      </c>
      <c r="Q304" s="1" t="str">
        <f>IFERROR(__xludf.DUMMYFUNCTION("""COMPUTED_VALUE"""),"ECAC")</f>
        <v>ECAC</v>
      </c>
    </row>
    <row r="305">
      <c r="A305" s="1" t="str">
        <f>IFERROR(__xludf.DUMMYFUNCTION("""COMPUTED_VALUE"""),"EJU52PZ")</f>
        <v>EJU52PZ</v>
      </c>
      <c r="B305" s="1" t="str">
        <f>IFERROR(__xludf.DUMMYFUNCTION("""COMPUTED_VALUE"""),"A320")</f>
        <v>A320</v>
      </c>
      <c r="C305" s="1" t="str">
        <f>IFERROR(__xludf.DUMMYFUNCTION("""COMPUTED_VALUE"""),"LFLL")</f>
        <v>LFLL</v>
      </c>
      <c r="D305" s="1" t="str">
        <f>IFERROR(__xludf.DUMMYFUNCTION("""COMPUTED_VALUE"""),"LEBL")</f>
        <v>LEBL</v>
      </c>
      <c r="E305" s="1" t="str">
        <f>IFERROR(__xludf.DUMMYFUNCTION("""COMPUTED_VALUE"""),"OEIVD")</f>
        <v>OEIVD</v>
      </c>
      <c r="F305" s="1">
        <f>IFERROR(__xludf.DUMMYFUNCTION("""COMPUTED_VALUE"""),290.0)</f>
        <v>290</v>
      </c>
      <c r="G305" s="7">
        <f>IFERROR(__xludf.DUMMYFUNCTION("""COMPUTED_VALUE"""),0.5444444444444444)</f>
        <v>0.5444444444</v>
      </c>
      <c r="H305" s="1">
        <f>IFERROR(__xludf.DUMMYFUNCTION("""COMPUTED_VALUE"""),9.0)</f>
        <v>9</v>
      </c>
      <c r="I305" s="7">
        <f>IFERROR(__xludf.DUMMYFUNCTION("""COMPUTED_VALUE"""),0.5972222222222222)</f>
        <v>0.5972222222</v>
      </c>
      <c r="J305" s="1" t="str">
        <f>IFERROR(__xludf.DUMMYFUNCTION("""COMPUTED_VALUE"""),"D")</f>
        <v>D</v>
      </c>
      <c r="K305" s="1">
        <f>IFERROR(__xludf.DUMMYFUNCTION("""COMPUTED_VALUE"""),173.0)</f>
        <v>173</v>
      </c>
      <c r="L305" s="7">
        <f>IFERROR(__xludf.DUMMYFUNCTION("""COMPUTED_VALUE"""),0.05277777777777781)</f>
        <v>0.05277777778</v>
      </c>
      <c r="M305" s="7">
        <f>IFERROR(__xludf.DUMMYFUNCTION("""COMPUTED_VALUE"""),0.03381944444444448)</f>
        <v>0.03381944444</v>
      </c>
      <c r="O305" s="9">
        <f>IFERROR(__xludf.DUMMYFUNCTION("""COMPUTED_VALUE"""),673.683333333334)</f>
        <v>673.6833333</v>
      </c>
      <c r="P305" s="1" t="str">
        <f>IFERROR(__xludf.DUMMYFUNCTION("""COMPUTED_VALUE"""),"EJU")</f>
        <v>EJU</v>
      </c>
      <c r="Q305" s="1" t="str">
        <f>IFERROR(__xludf.DUMMYFUNCTION("""COMPUTED_VALUE"""),"ECAC")</f>
        <v>ECAC</v>
      </c>
    </row>
    <row r="306">
      <c r="A306" s="1" t="str">
        <f>IFERROR(__xludf.DUMMYFUNCTION("""COMPUTED_VALUE"""),"VLG3TG")</f>
        <v>VLG3TG</v>
      </c>
      <c r="B306" s="1" t="str">
        <f>IFERROR(__xludf.DUMMYFUNCTION("""COMPUTED_VALUE"""),"A320")</f>
        <v>A320</v>
      </c>
      <c r="C306" s="1" t="str">
        <f>IFERROR(__xludf.DUMMYFUNCTION("""COMPUTED_VALUE"""),"EDDV")</f>
        <v>EDDV</v>
      </c>
      <c r="D306" s="1" t="str">
        <f>IFERROR(__xludf.DUMMYFUNCTION("""COMPUTED_VALUE"""),"LEBL")</f>
        <v>LEBL</v>
      </c>
      <c r="E306" s="1" t="str">
        <f>IFERROR(__xludf.DUMMYFUNCTION("""COMPUTED_VALUE"""),"ECNFK")</f>
        <v>ECNFK</v>
      </c>
      <c r="F306" s="1">
        <f>IFERROR(__xludf.DUMMYFUNCTION("""COMPUTED_VALUE"""),370.0)</f>
        <v>370</v>
      </c>
      <c r="G306" s="7">
        <f>IFERROR(__xludf.DUMMYFUNCTION("""COMPUTED_VALUE"""),0.5173611111111112)</f>
        <v>0.5173611111</v>
      </c>
      <c r="H306" s="1">
        <f>IFERROR(__xludf.DUMMYFUNCTION("""COMPUTED_VALUE"""),10.0)</f>
        <v>10</v>
      </c>
      <c r="I306" s="7">
        <f>IFERROR(__xludf.DUMMYFUNCTION("""COMPUTED_VALUE"""),0.5972222222222222)</f>
        <v>0.5972222222</v>
      </c>
      <c r="J306" s="1" t="str">
        <f>IFERROR(__xludf.DUMMYFUNCTION("""COMPUTED_VALUE"""),"D")</f>
        <v>D</v>
      </c>
      <c r="K306" s="1">
        <f>IFERROR(__xludf.DUMMYFUNCTION("""COMPUTED_VALUE"""),173.0)</f>
        <v>173</v>
      </c>
      <c r="L306" s="7">
        <f>IFERROR(__xludf.DUMMYFUNCTION("""COMPUTED_VALUE"""),0.07986111111111105)</f>
        <v>0.07986111111</v>
      </c>
      <c r="M306" s="7">
        <f>IFERROR(__xludf.DUMMYFUNCTION("""COMPUTED_VALUE"""),0.06020833333333327)</f>
        <v>0.06020833333</v>
      </c>
      <c r="O306" s="9">
        <f>IFERROR(__xludf.DUMMYFUNCTION("""COMPUTED_VALUE"""),1199.3499999999988)</f>
        <v>1199.35</v>
      </c>
      <c r="P306" s="1" t="str">
        <f>IFERROR(__xludf.DUMMYFUNCTION("""COMPUTED_VALUE"""),"VLG")</f>
        <v>VLG</v>
      </c>
      <c r="Q306" s="1" t="str">
        <f>IFERROR(__xludf.DUMMYFUNCTION("""COMPUTED_VALUE"""),"ECAC")</f>
        <v>ECAC</v>
      </c>
    </row>
    <row r="307">
      <c r="A307" s="1" t="str">
        <f>IFERROR(__xludf.DUMMYFUNCTION("""COMPUTED_VALUE"""),"RYR996Z")</f>
        <v>RYR996Z</v>
      </c>
      <c r="B307" s="1" t="str">
        <f>IFERROR(__xludf.DUMMYFUNCTION("""COMPUTED_VALUE"""),"B738")</f>
        <v>B738</v>
      </c>
      <c r="C307" s="1" t="str">
        <f>IFERROR(__xludf.DUMMYFUNCTION("""COMPUTED_VALUE"""),"LEST")</f>
        <v>LEST</v>
      </c>
      <c r="D307" s="1" t="str">
        <f>IFERROR(__xludf.DUMMYFUNCTION("""COMPUTED_VALUE"""),"LEBL")</f>
        <v>LEBL</v>
      </c>
      <c r="E307" s="1" t="str">
        <f>IFERROR(__xludf.DUMMYFUNCTION("""COMPUTED_VALUE"""),"EIDWC")</f>
        <v>EIDWC</v>
      </c>
      <c r="F307" s="1">
        <f>IFERROR(__xludf.DUMMYFUNCTION("""COMPUTED_VALUE"""),320.0)</f>
        <v>320</v>
      </c>
      <c r="G307" s="7">
        <f>IFERROR(__xludf.DUMMYFUNCTION("""COMPUTED_VALUE"""),0.5381944444444444)</f>
        <v>0.5381944444</v>
      </c>
      <c r="H307" s="1">
        <f>IFERROR(__xludf.DUMMYFUNCTION("""COMPUTED_VALUE"""),15.0)</f>
        <v>15</v>
      </c>
      <c r="I307" s="7">
        <f>IFERROR(__xludf.DUMMYFUNCTION("""COMPUTED_VALUE"""),0.5972222222222222)</f>
        <v>0.5972222222</v>
      </c>
      <c r="J307" s="1" t="str">
        <f>IFERROR(__xludf.DUMMYFUNCTION("""COMPUTED_VALUE"""),"D")</f>
        <v>D</v>
      </c>
      <c r="K307" s="1">
        <f>IFERROR(__xludf.DUMMYFUNCTION("""COMPUTED_VALUE"""),184.0)</f>
        <v>184</v>
      </c>
      <c r="L307" s="7">
        <f>IFERROR(__xludf.DUMMYFUNCTION("""COMPUTED_VALUE"""),0.05902777777777779)</f>
        <v>0.05902777778</v>
      </c>
      <c r="M307" s="7">
        <f>IFERROR(__xludf.DUMMYFUNCTION("""COMPUTED_VALUE"""),0.03590277777777779)</f>
        <v>0.03590277778</v>
      </c>
      <c r="O307" s="9">
        <f>IFERROR(__xludf.DUMMYFUNCTION("""COMPUTED_VALUE"""),715.1833333333336)</f>
        <v>715.1833333</v>
      </c>
      <c r="P307" s="1" t="str">
        <f>IFERROR(__xludf.DUMMYFUNCTION("""COMPUTED_VALUE"""),"RYR")</f>
        <v>RYR</v>
      </c>
      <c r="Q307" s="1" t="str">
        <f>IFERROR(__xludf.DUMMYFUNCTION("""COMPUTED_VALUE"""),"ECAC")</f>
        <v>ECAC</v>
      </c>
    </row>
    <row r="308">
      <c r="A308" s="1" t="str">
        <f>IFERROR(__xludf.DUMMYFUNCTION("""COMPUTED_VALUE"""),"VLG213Q")</f>
        <v>VLG213Q</v>
      </c>
      <c r="B308" s="1" t="str">
        <f>IFERROR(__xludf.DUMMYFUNCTION("""COMPUTED_VALUE"""),"A21N")</f>
        <v>A21N</v>
      </c>
      <c r="C308" s="1" t="str">
        <f>IFERROR(__xludf.DUMMYFUNCTION("""COMPUTED_VALUE"""),"LEMH")</f>
        <v>LEMH</v>
      </c>
      <c r="D308" s="1" t="str">
        <f>IFERROR(__xludf.DUMMYFUNCTION("""COMPUTED_VALUE"""),"LEBL")</f>
        <v>LEBL</v>
      </c>
      <c r="E308" s="1" t="str">
        <f>IFERROR(__xludf.DUMMYFUNCTION("""COMPUTED_VALUE"""),"ECNYE")</f>
        <v>ECNYE</v>
      </c>
      <c r="F308" s="1">
        <f>IFERROR(__xludf.DUMMYFUNCTION("""COMPUTED_VALUE"""),180.0)</f>
        <v>180</v>
      </c>
      <c r="G308" s="7">
        <f>IFERROR(__xludf.DUMMYFUNCTION("""COMPUTED_VALUE"""),0.56875)</f>
        <v>0.56875</v>
      </c>
      <c r="H308" s="1">
        <f>IFERROR(__xludf.DUMMYFUNCTION("""COMPUTED_VALUE"""),9.0)</f>
        <v>9</v>
      </c>
      <c r="I308" s="7">
        <f>IFERROR(__xludf.DUMMYFUNCTION("""COMPUTED_VALUE"""),0.6006944444444444)</f>
        <v>0.6006944444</v>
      </c>
      <c r="J308" s="1" t="str">
        <f>IFERROR(__xludf.DUMMYFUNCTION("""COMPUTED_VALUE"""),"D")</f>
        <v>D</v>
      </c>
      <c r="K308" s="1">
        <f>IFERROR(__xludf.DUMMYFUNCTION("""COMPUTED_VALUE"""),200.0)</f>
        <v>200</v>
      </c>
      <c r="L308" s="7">
        <f>IFERROR(__xludf.DUMMYFUNCTION("""COMPUTED_VALUE"""),0.03194444444444444)</f>
        <v>0.03194444444</v>
      </c>
      <c r="M308" s="7">
        <f>IFERROR(__xludf.DUMMYFUNCTION("""COMPUTED_VALUE"""),0.012986111111111106)</f>
        <v>0.01298611111</v>
      </c>
      <c r="O308" s="9">
        <f>IFERROR(__xludf.DUMMYFUNCTION("""COMPUTED_VALUE"""),258.6833333333332)</f>
        <v>258.6833333</v>
      </c>
      <c r="P308" s="1" t="str">
        <f>IFERROR(__xludf.DUMMYFUNCTION("""COMPUTED_VALUE"""),"VLG")</f>
        <v>VLG</v>
      </c>
      <c r="Q308" s="1" t="str">
        <f>IFERROR(__xludf.DUMMYFUNCTION("""COMPUTED_VALUE"""),"ECAC")</f>
        <v>ECAC</v>
      </c>
    </row>
    <row r="309">
      <c r="A309" s="1" t="str">
        <f>IFERROR(__xludf.DUMMYFUNCTION("""COMPUTED_VALUE"""),"EWG9TP")</f>
        <v>EWG9TP</v>
      </c>
      <c r="B309" s="1" t="str">
        <f>IFERROR(__xludf.DUMMYFUNCTION("""COMPUTED_VALUE"""),"A320")</f>
        <v>A320</v>
      </c>
      <c r="C309" s="1" t="str">
        <f>IFERROR(__xludf.DUMMYFUNCTION("""COMPUTED_VALUE"""),"EDDL")</f>
        <v>EDDL</v>
      </c>
      <c r="D309" s="1" t="str">
        <f>IFERROR(__xludf.DUMMYFUNCTION("""COMPUTED_VALUE"""),"LEBL")</f>
        <v>LEBL</v>
      </c>
      <c r="E309" s="1" t="str">
        <f>IFERROR(__xludf.DUMMYFUNCTION("""COMPUTED_VALUE"""),"9HSWJ")</f>
        <v>9HSWJ</v>
      </c>
      <c r="F309" s="1">
        <f>IFERROR(__xludf.DUMMYFUNCTION("""COMPUTED_VALUE"""),350.0)</f>
        <v>350</v>
      </c>
      <c r="G309" s="7">
        <f>IFERROR(__xludf.DUMMYFUNCTION("""COMPUTED_VALUE"""),0.525)</f>
        <v>0.525</v>
      </c>
      <c r="H309" s="1">
        <f>IFERROR(__xludf.DUMMYFUNCTION("""COMPUTED_VALUE"""),11.0)</f>
        <v>11</v>
      </c>
      <c r="I309" s="7">
        <f>IFERROR(__xludf.DUMMYFUNCTION("""COMPUTED_VALUE"""),0.6006944444444444)</f>
        <v>0.6006944444</v>
      </c>
      <c r="J309" s="1" t="str">
        <f>IFERROR(__xludf.DUMMYFUNCTION("""COMPUTED_VALUE"""),"D")</f>
        <v>D</v>
      </c>
      <c r="K309" s="1">
        <f>IFERROR(__xludf.DUMMYFUNCTION("""COMPUTED_VALUE"""),173.0)</f>
        <v>173</v>
      </c>
      <c r="L309" s="7">
        <f>IFERROR(__xludf.DUMMYFUNCTION("""COMPUTED_VALUE"""),0.0756944444444444)</f>
        <v>0.07569444444</v>
      </c>
      <c r="M309" s="7">
        <f>IFERROR(__xludf.DUMMYFUNCTION("""COMPUTED_VALUE"""),0.05534722222222217)</f>
        <v>0.05534722222</v>
      </c>
      <c r="O309" s="9">
        <f>IFERROR(__xludf.DUMMYFUNCTION("""COMPUTED_VALUE"""),1102.5166666666657)</f>
        <v>1102.516667</v>
      </c>
      <c r="P309" s="1" t="str">
        <f>IFERROR(__xludf.DUMMYFUNCTION("""COMPUTED_VALUE"""),"EWG")</f>
        <v>EWG</v>
      </c>
      <c r="Q309" s="1" t="str">
        <f>IFERROR(__xludf.DUMMYFUNCTION("""COMPUTED_VALUE"""),"ECAC")</f>
        <v>ECAC</v>
      </c>
    </row>
    <row r="310">
      <c r="A310" s="1" t="str">
        <f>IFERROR(__xludf.DUMMYFUNCTION("""COMPUTED_VALUE"""),"VLG90AB")</f>
        <v>VLG90AB</v>
      </c>
      <c r="B310" s="1" t="str">
        <f>IFERROR(__xludf.DUMMYFUNCTION("""COMPUTED_VALUE"""),"A321")</f>
        <v>A321</v>
      </c>
      <c r="C310" s="1" t="str">
        <f>IFERROR(__xludf.DUMMYFUNCTION("""COMPUTED_VALUE"""),"EDDB")</f>
        <v>EDDB</v>
      </c>
      <c r="D310" s="1" t="str">
        <f>IFERROR(__xludf.DUMMYFUNCTION("""COMPUTED_VALUE"""),"LEBL")</f>
        <v>LEBL</v>
      </c>
      <c r="E310" s="1" t="str">
        <f>IFERROR(__xludf.DUMMYFUNCTION("""COMPUTED_VALUE"""),"ECMJR")</f>
        <v>ECMJR</v>
      </c>
      <c r="F310" s="1">
        <f>IFERROR(__xludf.DUMMYFUNCTION("""COMPUTED_VALUE"""),350.0)</f>
        <v>350</v>
      </c>
      <c r="G310" s="7">
        <f>IFERROR(__xludf.DUMMYFUNCTION("""COMPUTED_VALUE"""),0.5166666666666667)</f>
        <v>0.5166666667</v>
      </c>
      <c r="H310" s="1">
        <f>IFERROR(__xludf.DUMMYFUNCTION("""COMPUTED_VALUE"""),9.0)</f>
        <v>9</v>
      </c>
      <c r="I310" s="7">
        <f>IFERROR(__xludf.DUMMYFUNCTION("""COMPUTED_VALUE"""),0.6006944444444444)</f>
        <v>0.6006944444</v>
      </c>
      <c r="J310" s="1" t="str">
        <f>IFERROR(__xludf.DUMMYFUNCTION("""COMPUTED_VALUE"""),"D")</f>
        <v>D</v>
      </c>
      <c r="K310" s="1">
        <f>IFERROR(__xludf.DUMMYFUNCTION("""COMPUTED_VALUE"""),207.0)</f>
        <v>207</v>
      </c>
      <c r="L310" s="7">
        <f>IFERROR(__xludf.DUMMYFUNCTION("""COMPUTED_VALUE"""),0.0840277777777777)</f>
        <v>0.08402777778</v>
      </c>
      <c r="M310" s="7">
        <f>IFERROR(__xludf.DUMMYFUNCTION("""COMPUTED_VALUE"""),0.06506944444444436)</f>
        <v>0.06506944444</v>
      </c>
      <c r="O310" s="9">
        <f>IFERROR(__xludf.DUMMYFUNCTION("""COMPUTED_VALUE"""),1296.1833333333318)</f>
        <v>1296.183333</v>
      </c>
      <c r="P310" s="1" t="str">
        <f>IFERROR(__xludf.DUMMYFUNCTION("""COMPUTED_VALUE"""),"VLG")</f>
        <v>VLG</v>
      </c>
      <c r="Q310" s="1" t="str">
        <f>IFERROR(__xludf.DUMMYFUNCTION("""COMPUTED_VALUE"""),"ECAC")</f>
        <v>ECAC</v>
      </c>
    </row>
    <row r="311">
      <c r="A311" s="1" t="str">
        <f>IFERROR(__xludf.DUMMYFUNCTION("""COMPUTED_VALUE"""),"VLG71YZ")</f>
        <v>VLG71YZ</v>
      </c>
      <c r="B311" s="1" t="str">
        <f>IFERROR(__xludf.DUMMYFUNCTION("""COMPUTED_VALUE"""),"A320")</f>
        <v>A320</v>
      </c>
      <c r="C311" s="1" t="str">
        <f>IFERROR(__xludf.DUMMYFUNCTION("""COMPUTED_VALUE"""),"LEIB")</f>
        <v>LEIB</v>
      </c>
      <c r="D311" s="1" t="str">
        <f>IFERROR(__xludf.DUMMYFUNCTION("""COMPUTED_VALUE"""),"LEBL")</f>
        <v>LEBL</v>
      </c>
      <c r="E311" s="1" t="str">
        <f>IFERROR(__xludf.DUMMYFUNCTION("""COMPUTED_VALUE"""),"ECKDX")</f>
        <v>ECKDX</v>
      </c>
      <c r="F311" s="1">
        <f>IFERROR(__xludf.DUMMYFUNCTION("""COMPUTED_VALUE"""),180.0)</f>
        <v>180</v>
      </c>
      <c r="G311" s="7">
        <f>IFERROR(__xludf.DUMMYFUNCTION("""COMPUTED_VALUE"""),0.5666666666666667)</f>
        <v>0.5666666667</v>
      </c>
      <c r="H311" s="1">
        <f>IFERROR(__xludf.DUMMYFUNCTION("""COMPUTED_VALUE"""),10.0)</f>
        <v>10</v>
      </c>
      <c r="I311" s="7">
        <f>IFERROR(__xludf.DUMMYFUNCTION("""COMPUTED_VALUE"""),0.6041666666666666)</f>
        <v>0.6041666667</v>
      </c>
      <c r="J311" s="1" t="str">
        <f>IFERROR(__xludf.DUMMYFUNCTION("""COMPUTED_VALUE"""),"D")</f>
        <v>D</v>
      </c>
      <c r="K311" s="1">
        <f>IFERROR(__xludf.DUMMYFUNCTION("""COMPUTED_VALUE"""),173.0)</f>
        <v>173</v>
      </c>
      <c r="L311" s="7">
        <f>IFERROR(__xludf.DUMMYFUNCTION("""COMPUTED_VALUE"""),0.03749999999999998)</f>
        <v>0.0375</v>
      </c>
      <c r="M311" s="7">
        <f>IFERROR(__xludf.DUMMYFUNCTION("""COMPUTED_VALUE"""),0.0178472222222222)</f>
        <v>0.01784722222</v>
      </c>
      <c r="O311" s="9">
        <f>IFERROR(__xludf.DUMMYFUNCTION("""COMPUTED_VALUE"""),355.5166666666662)</f>
        <v>355.5166667</v>
      </c>
      <c r="P311" s="1" t="str">
        <f>IFERROR(__xludf.DUMMYFUNCTION("""COMPUTED_VALUE"""),"VLG")</f>
        <v>VLG</v>
      </c>
      <c r="Q311" s="1" t="str">
        <f>IFERROR(__xludf.DUMMYFUNCTION("""COMPUTED_VALUE"""),"ECAC")</f>
        <v>ECAC</v>
      </c>
    </row>
    <row r="312">
      <c r="A312" s="1" t="str">
        <f>IFERROR(__xludf.DUMMYFUNCTION("""COMPUTED_VALUE"""),"VLG45UC")</f>
        <v>VLG45UC</v>
      </c>
      <c r="B312" s="1" t="str">
        <f>IFERROR(__xludf.DUMMYFUNCTION("""COMPUTED_VALUE"""),"A320")</f>
        <v>A320</v>
      </c>
      <c r="C312" s="1" t="str">
        <f>IFERROR(__xludf.DUMMYFUNCTION("""COMPUTED_VALUE"""),"LEJR")</f>
        <v>LEJR</v>
      </c>
      <c r="D312" s="1" t="str">
        <f>IFERROR(__xludf.DUMMYFUNCTION("""COMPUTED_VALUE"""),"LEBL")</f>
        <v>LEBL</v>
      </c>
      <c r="E312" s="1" t="str">
        <f>IFERROR(__xludf.DUMMYFUNCTION("""COMPUTED_VALUE"""),"ECJTQ")</f>
        <v>ECJTQ</v>
      </c>
      <c r="F312" s="1">
        <f>IFERROR(__xludf.DUMMYFUNCTION("""COMPUTED_VALUE"""),340.0)</f>
        <v>340</v>
      </c>
      <c r="G312" s="7">
        <f>IFERROR(__xludf.DUMMYFUNCTION("""COMPUTED_VALUE"""),0.5395833333333333)</f>
        <v>0.5395833333</v>
      </c>
      <c r="H312" s="1">
        <f>IFERROR(__xludf.DUMMYFUNCTION("""COMPUTED_VALUE"""),7.0)</f>
        <v>7</v>
      </c>
      <c r="I312" s="7">
        <f>IFERROR(__xludf.DUMMYFUNCTION("""COMPUTED_VALUE"""),0.6041666666666666)</f>
        <v>0.6041666667</v>
      </c>
      <c r="J312" s="1" t="str">
        <f>IFERROR(__xludf.DUMMYFUNCTION("""COMPUTED_VALUE"""),"D")</f>
        <v>D</v>
      </c>
      <c r="K312" s="1">
        <f>IFERROR(__xludf.DUMMYFUNCTION("""COMPUTED_VALUE"""),173.0)</f>
        <v>173</v>
      </c>
      <c r="L312" s="7">
        <f>IFERROR(__xludf.DUMMYFUNCTION("""COMPUTED_VALUE"""),0.06458333333333333)</f>
        <v>0.06458333333</v>
      </c>
      <c r="M312" s="7">
        <f>IFERROR(__xludf.DUMMYFUNCTION("""COMPUTED_VALUE"""),0.04701388888888888)</f>
        <v>0.04701388889</v>
      </c>
      <c r="O312" s="9">
        <f>IFERROR(__xludf.DUMMYFUNCTION("""COMPUTED_VALUE"""),936.5166666666665)</f>
        <v>936.5166667</v>
      </c>
      <c r="P312" s="1" t="str">
        <f>IFERROR(__xludf.DUMMYFUNCTION("""COMPUTED_VALUE"""),"VLG")</f>
        <v>VLG</v>
      </c>
      <c r="Q312" s="1" t="str">
        <f>IFERROR(__xludf.DUMMYFUNCTION("""COMPUTED_VALUE"""),"ECAC")</f>
        <v>ECAC</v>
      </c>
    </row>
    <row r="313">
      <c r="A313" s="1" t="str">
        <f>IFERROR(__xludf.DUMMYFUNCTION("""COMPUTED_VALUE"""),"VLG80YY")</f>
        <v>VLG80YY</v>
      </c>
      <c r="B313" s="1" t="str">
        <f>IFERROR(__xludf.DUMMYFUNCTION("""COMPUTED_VALUE"""),"A320")</f>
        <v>A320</v>
      </c>
      <c r="C313" s="1" t="str">
        <f>IFERROR(__xludf.DUMMYFUNCTION("""COMPUTED_VALUE"""),"LOWW")</f>
        <v>LOWW</v>
      </c>
      <c r="D313" s="1" t="str">
        <f>IFERROR(__xludf.DUMMYFUNCTION("""COMPUTED_VALUE"""),"LEBL")</f>
        <v>LEBL</v>
      </c>
      <c r="E313" s="1" t="str">
        <f>IFERROR(__xludf.DUMMYFUNCTION("""COMPUTED_VALUE"""),"ECOFU")</f>
        <v>ECOFU</v>
      </c>
      <c r="F313" s="1">
        <f>IFERROR(__xludf.DUMMYFUNCTION("""COMPUTED_VALUE"""),350.0)</f>
        <v>350</v>
      </c>
      <c r="G313" s="7">
        <f>IFERROR(__xludf.DUMMYFUNCTION("""COMPUTED_VALUE"""),0.5368055555555555)</f>
        <v>0.5368055556</v>
      </c>
      <c r="H313" s="1">
        <f>IFERROR(__xludf.DUMMYFUNCTION("""COMPUTED_VALUE"""),10.0)</f>
        <v>10</v>
      </c>
      <c r="I313" s="7">
        <f>IFERROR(__xludf.DUMMYFUNCTION("""COMPUTED_VALUE"""),0.6076388888888888)</f>
        <v>0.6076388889</v>
      </c>
      <c r="J313" s="1" t="str">
        <f>IFERROR(__xludf.DUMMYFUNCTION("""COMPUTED_VALUE"""),"D")</f>
        <v>D</v>
      </c>
      <c r="K313" s="1">
        <f>IFERROR(__xludf.DUMMYFUNCTION("""COMPUTED_VALUE"""),173.0)</f>
        <v>173</v>
      </c>
      <c r="L313" s="7">
        <f>IFERROR(__xludf.DUMMYFUNCTION("""COMPUTED_VALUE"""),0.0708333333333333)</f>
        <v>0.07083333333</v>
      </c>
      <c r="M313" s="7">
        <f>IFERROR(__xludf.DUMMYFUNCTION("""COMPUTED_VALUE"""),0.05118055555555552)</f>
        <v>0.05118055556</v>
      </c>
      <c r="O313" s="9">
        <f>IFERROR(__xludf.DUMMYFUNCTION("""COMPUTED_VALUE"""),1019.5166666666661)</f>
        <v>1019.516667</v>
      </c>
      <c r="P313" s="1" t="str">
        <f>IFERROR(__xludf.DUMMYFUNCTION("""COMPUTED_VALUE"""),"VLG")</f>
        <v>VLG</v>
      </c>
      <c r="Q313" s="1" t="str">
        <f>IFERROR(__xludf.DUMMYFUNCTION("""COMPUTED_VALUE"""),"ECAC")</f>
        <v>ECAC</v>
      </c>
    </row>
    <row r="314">
      <c r="A314" s="1" t="str">
        <f>IFERROR(__xludf.DUMMYFUNCTION("""COMPUTED_VALUE"""),"ALE04")</f>
        <v>ALE04</v>
      </c>
      <c r="B314" s="1" t="str">
        <f>IFERROR(__xludf.DUMMYFUNCTION("""COMPUTED_VALUE"""),"PC24")</f>
        <v>PC24</v>
      </c>
      <c r="C314" s="1" t="str">
        <f>IFERROR(__xludf.DUMMYFUNCTION("""COMPUTED_VALUE"""),"LEPA")</f>
        <v>LEPA</v>
      </c>
      <c r="D314" s="1" t="str">
        <f>IFERROR(__xludf.DUMMYFUNCTION("""COMPUTED_VALUE"""),"LEBL")</f>
        <v>LEBL</v>
      </c>
      <c r="E314" s="1" t="str">
        <f>IFERROR(__xludf.DUMMYFUNCTION("""COMPUTED_VALUE"""),"9HAPX")</f>
        <v>9HAPX</v>
      </c>
      <c r="F314" s="1">
        <f>IFERROR(__xludf.DUMMYFUNCTION("""COMPUTED_VALUE"""),180.0)</f>
        <v>180</v>
      </c>
      <c r="G314" s="7">
        <f>IFERROR(__xludf.DUMMYFUNCTION("""COMPUTED_VALUE"""),0.5972222222222222)</f>
        <v>0.5972222222</v>
      </c>
      <c r="H314" s="1">
        <f>IFERROR(__xludf.DUMMYFUNCTION("""COMPUTED_VALUE"""),20.0)</f>
        <v>20</v>
      </c>
      <c r="I314" s="7">
        <f>IFERROR(__xludf.DUMMYFUNCTION("""COMPUTED_VALUE"""),0.6111111111111112)</f>
        <v>0.6111111111</v>
      </c>
      <c r="J314" s="1" t="str">
        <f>IFERROR(__xludf.DUMMYFUNCTION("""COMPUTED_VALUE"""),"F")</f>
        <v>F</v>
      </c>
      <c r="K314" s="1">
        <f>IFERROR(__xludf.DUMMYFUNCTION("""COMPUTED_VALUE"""),8.0)</f>
        <v>8</v>
      </c>
      <c r="L314" s="7">
        <f>IFERROR(__xludf.DUMMYFUNCTION("""COMPUTED_VALUE"""),0.01388888888888895)</f>
        <v>0.01388888889</v>
      </c>
      <c r="M314" s="7">
        <f>IFERROR(__xludf.DUMMYFUNCTION("""COMPUTED_VALUE"""),6.245004513516506E-17)</f>
        <v>0</v>
      </c>
      <c r="O314" s="9">
        <f>IFERROR(__xludf.DUMMYFUNCTION("""COMPUTED_VALUE"""),2.6978419498391304E-13)</f>
        <v>0</v>
      </c>
      <c r="P314" s="1" t="str">
        <f>IFERROR(__xludf.DUMMYFUNCTION("""COMPUTED_VALUE"""),"ALE")</f>
        <v>ALE</v>
      </c>
      <c r="Q314" s="1" t="str">
        <f>IFERROR(__xludf.DUMMYFUNCTION("""COMPUTED_VALUE"""),"ECAC")</f>
        <v>ECAC</v>
      </c>
    </row>
    <row r="315">
      <c r="A315" s="1" t="str">
        <f>IFERROR(__xludf.DUMMYFUNCTION("""COMPUTED_VALUE"""),"VLG8YF")</f>
        <v>VLG8YF</v>
      </c>
      <c r="B315" s="1" t="str">
        <f>IFERROR(__xludf.DUMMYFUNCTION("""COMPUTED_VALUE"""),"A321")</f>
        <v>A321</v>
      </c>
      <c r="C315" s="1" t="str">
        <f>IFERROR(__xludf.DUMMYFUNCTION("""COMPUTED_VALUE"""),"LPPT")</f>
        <v>LPPT</v>
      </c>
      <c r="D315" s="1" t="str">
        <f>IFERROR(__xludf.DUMMYFUNCTION("""COMPUTED_VALUE"""),"LEBL")</f>
        <v>LEBL</v>
      </c>
      <c r="E315" s="1" t="str">
        <f>IFERROR(__xludf.DUMMYFUNCTION("""COMPUTED_VALUE"""),"ECMHS")</f>
        <v>ECMHS</v>
      </c>
      <c r="F315" s="1">
        <f>IFERROR(__xludf.DUMMYFUNCTION("""COMPUTED_VALUE"""),340.0)</f>
        <v>340</v>
      </c>
      <c r="G315" s="7">
        <f>IFERROR(__xludf.DUMMYFUNCTION("""COMPUTED_VALUE"""),0.5520833333333334)</f>
        <v>0.5520833333</v>
      </c>
      <c r="H315" s="1">
        <f>IFERROR(__xludf.DUMMYFUNCTION("""COMPUTED_VALUE"""),15.0)</f>
        <v>15</v>
      </c>
      <c r="I315" s="7">
        <f>IFERROR(__xludf.DUMMYFUNCTION("""COMPUTED_VALUE"""),0.6145833333333334)</f>
        <v>0.6145833333</v>
      </c>
      <c r="J315" s="1" t="str">
        <f>IFERROR(__xludf.DUMMYFUNCTION("""COMPUTED_VALUE"""),"D")</f>
        <v>D</v>
      </c>
      <c r="K315" s="1">
        <f>IFERROR(__xludf.DUMMYFUNCTION("""COMPUTED_VALUE"""),207.0)</f>
        <v>207</v>
      </c>
      <c r="L315" s="7">
        <f>IFERROR(__xludf.DUMMYFUNCTION("""COMPUTED_VALUE"""),0.0625)</f>
        <v>0.0625</v>
      </c>
      <c r="M315" s="7">
        <f>IFERROR(__xludf.DUMMYFUNCTION("""COMPUTED_VALUE"""),0.039375)</f>
        <v>0.039375</v>
      </c>
      <c r="O315" s="9">
        <f>IFERROR(__xludf.DUMMYFUNCTION("""COMPUTED_VALUE"""),784.35)</f>
        <v>784.35</v>
      </c>
      <c r="P315" s="1" t="str">
        <f>IFERROR(__xludf.DUMMYFUNCTION("""COMPUTED_VALUE"""),"VLG")</f>
        <v>VLG</v>
      </c>
      <c r="Q315" s="1" t="str">
        <f>IFERROR(__xludf.DUMMYFUNCTION("""COMPUTED_VALUE"""),"ECAC")</f>
        <v>ECAC</v>
      </c>
    </row>
    <row r="316">
      <c r="A316" s="1" t="str">
        <f>IFERROR(__xludf.DUMMYFUNCTION("""COMPUTED_VALUE"""),"IBE26RZ")</f>
        <v>IBE26RZ</v>
      </c>
      <c r="B316" s="1" t="str">
        <f>IFERROR(__xludf.DUMMYFUNCTION("""COMPUTED_VALUE"""),"A332")</f>
        <v>A332</v>
      </c>
      <c r="C316" s="1" t="str">
        <f>IFERROR(__xludf.DUMMYFUNCTION("""COMPUTED_VALUE"""),"KLAX")</f>
        <v>KLAX</v>
      </c>
      <c r="D316" s="1" t="str">
        <f>IFERROR(__xludf.DUMMYFUNCTION("""COMPUTED_VALUE"""),"LEBL")</f>
        <v>LEBL</v>
      </c>
      <c r="E316" s="1" t="str">
        <f>IFERROR(__xludf.DUMMYFUNCTION("""COMPUTED_VALUE"""),"ECNRH")</f>
        <v>ECNRH</v>
      </c>
      <c r="F316" s="1">
        <f>IFERROR(__xludf.DUMMYFUNCTION("""COMPUTED_VALUE"""),410.0)</f>
        <v>410</v>
      </c>
      <c r="G316" s="7">
        <f>IFERROR(__xludf.DUMMYFUNCTION("""COMPUTED_VALUE"""),0.18194444444444444)</f>
        <v>0.1819444444</v>
      </c>
      <c r="H316" s="1">
        <f>IFERROR(__xludf.DUMMYFUNCTION("""COMPUTED_VALUE"""),22.0)</f>
        <v>22</v>
      </c>
      <c r="I316" s="7">
        <f>IFERROR(__xludf.DUMMYFUNCTION("""COMPUTED_VALUE"""),0.6145833333333334)</f>
        <v>0.6145833333</v>
      </c>
      <c r="J316" s="1" t="str">
        <f>IFERROR(__xludf.DUMMYFUNCTION("""COMPUTED_VALUE"""),"B")</f>
        <v>B</v>
      </c>
      <c r="K316" s="1">
        <f>IFERROR(__xludf.DUMMYFUNCTION("""COMPUTED_VALUE"""),281.0)</f>
        <v>281</v>
      </c>
      <c r="L316" s="7">
        <f>IFERROR(__xludf.DUMMYFUNCTION("""COMPUTED_VALUE"""),0.4326388888888889)</f>
        <v>0.4326388889</v>
      </c>
      <c r="M316" s="7">
        <f>IFERROR(__xludf.DUMMYFUNCTION("""COMPUTED_VALUE"""),0.4046527777777778)</f>
        <v>0.4046527778</v>
      </c>
      <c r="O316" s="9">
        <f>IFERROR(__xludf.DUMMYFUNCTION("""COMPUTED_VALUE"""),8740.500000000002)</f>
        <v>8740.5</v>
      </c>
      <c r="P316" s="1" t="str">
        <f>IFERROR(__xludf.DUMMYFUNCTION("""COMPUTED_VALUE"""),"IBE")</f>
        <v>IBE</v>
      </c>
      <c r="Q316" s="1" t="str">
        <f>IFERROR(__xludf.DUMMYFUNCTION("""COMPUTED_VALUE"""),"NO ECAC")</f>
        <v>NO ECAC</v>
      </c>
    </row>
    <row r="317">
      <c r="A317" s="1" t="str">
        <f>IFERROR(__xludf.DUMMYFUNCTION("""COMPUTED_VALUE"""),"AEA32MG")</f>
        <v>AEA32MG</v>
      </c>
      <c r="B317" s="1" t="str">
        <f>IFERROR(__xludf.DUMMYFUNCTION("""COMPUTED_VALUE"""),"B789")</f>
        <v>B789</v>
      </c>
      <c r="C317" s="1" t="str">
        <f>IFERROR(__xludf.DUMMYFUNCTION("""COMPUTED_VALUE"""),"LEMD")</f>
        <v>LEMD</v>
      </c>
      <c r="D317" s="1" t="str">
        <f>IFERROR(__xludf.DUMMYFUNCTION("""COMPUTED_VALUE"""),"LEBL")</f>
        <v>LEBL</v>
      </c>
      <c r="E317" s="1" t="str">
        <f>IFERROR(__xludf.DUMMYFUNCTION("""COMPUTED_VALUE"""),"ECNCY")</f>
        <v>ECNCY</v>
      </c>
      <c r="F317" s="1">
        <f>IFERROR(__xludf.DUMMYFUNCTION("""COMPUTED_VALUE"""),280.0)</f>
        <v>280</v>
      </c>
      <c r="G317" s="7">
        <f>IFERROR(__xludf.DUMMYFUNCTION("""COMPUTED_VALUE"""),0.5833333333333334)</f>
        <v>0.5833333333</v>
      </c>
      <c r="H317" s="1">
        <f>IFERROR(__xludf.DUMMYFUNCTION("""COMPUTED_VALUE"""),20.0)</f>
        <v>20</v>
      </c>
      <c r="I317" s="7">
        <f>IFERROR(__xludf.DUMMYFUNCTION("""COMPUTED_VALUE"""),0.6215277777777778)</f>
        <v>0.6215277778</v>
      </c>
      <c r="J317" s="1" t="str">
        <f>IFERROR(__xludf.DUMMYFUNCTION("""COMPUTED_VALUE"""),"B")</f>
        <v>B</v>
      </c>
      <c r="K317" s="1">
        <f>IFERROR(__xludf.DUMMYFUNCTION("""COMPUTED_VALUE"""),284.0)</f>
        <v>284</v>
      </c>
      <c r="L317" s="7">
        <f>IFERROR(__xludf.DUMMYFUNCTION("""COMPUTED_VALUE"""),0.03819444444444442)</f>
        <v>0.03819444444</v>
      </c>
      <c r="M317" s="7">
        <f>IFERROR(__xludf.DUMMYFUNCTION("""COMPUTED_VALUE"""),0.011597222222222196)</f>
        <v>0.01159722222</v>
      </c>
      <c r="O317" s="9">
        <f>IFERROR(__xludf.DUMMYFUNCTION("""COMPUTED_VALUE"""),250.49999999999943)</f>
        <v>250.5</v>
      </c>
      <c r="P317" s="1" t="str">
        <f>IFERROR(__xludf.DUMMYFUNCTION("""COMPUTED_VALUE"""),"AEA")</f>
        <v>AEA</v>
      </c>
      <c r="Q317" s="1" t="str">
        <f>IFERROR(__xludf.DUMMYFUNCTION("""COMPUTED_VALUE"""),"ECAC")</f>
        <v>ECAC</v>
      </c>
    </row>
    <row r="318">
      <c r="A318" s="1" t="str">
        <f>IFERROR(__xludf.DUMMYFUNCTION("""COMPUTED_VALUE"""),"RYR6851")</f>
        <v>RYR6851</v>
      </c>
      <c r="B318" s="1" t="str">
        <f>IFERROR(__xludf.DUMMYFUNCTION("""COMPUTED_VALUE"""),"B738")</f>
        <v>B738</v>
      </c>
      <c r="C318" s="1" t="str">
        <f>IFERROR(__xludf.DUMMYFUNCTION("""COMPUTED_VALUE"""),"LIRF")</f>
        <v>LIRF</v>
      </c>
      <c r="D318" s="1" t="str">
        <f>IFERROR(__xludf.DUMMYFUNCTION("""COMPUTED_VALUE"""),"LEBL")</f>
        <v>LEBL</v>
      </c>
      <c r="E318" s="1" t="str">
        <f>IFERROR(__xludf.DUMMYFUNCTION("""COMPUTED_VALUE"""),"9HQEN")</f>
        <v>9HQEN</v>
      </c>
      <c r="F318" s="1">
        <f>IFERROR(__xludf.DUMMYFUNCTION("""COMPUTED_VALUE"""),330.0)</f>
        <v>330</v>
      </c>
      <c r="G318" s="7">
        <f>IFERROR(__xludf.DUMMYFUNCTION("""COMPUTED_VALUE"""),0.5715277777777777)</f>
        <v>0.5715277778</v>
      </c>
      <c r="H318" s="1">
        <f>IFERROR(__xludf.DUMMYFUNCTION("""COMPUTED_VALUE"""),13.0)</f>
        <v>13</v>
      </c>
      <c r="I318" s="7">
        <f>IFERROR(__xludf.DUMMYFUNCTION("""COMPUTED_VALUE"""),0.6215277777777778)</f>
        <v>0.6215277778</v>
      </c>
      <c r="J318" s="1" t="str">
        <f>IFERROR(__xludf.DUMMYFUNCTION("""COMPUTED_VALUE"""),"D")</f>
        <v>D</v>
      </c>
      <c r="K318" s="1">
        <f>IFERROR(__xludf.DUMMYFUNCTION("""COMPUTED_VALUE"""),184.0)</f>
        <v>184</v>
      </c>
      <c r="L318" s="7">
        <f>IFERROR(__xludf.DUMMYFUNCTION("""COMPUTED_VALUE"""),0.050000000000000044)</f>
        <v>0.05</v>
      </c>
      <c r="M318" s="7">
        <f>IFERROR(__xludf.DUMMYFUNCTION("""COMPUTED_VALUE"""),0.028263888888888932)</f>
        <v>0.02826388889</v>
      </c>
      <c r="O318" s="9">
        <f>IFERROR(__xludf.DUMMYFUNCTION("""COMPUTED_VALUE"""),563.0166666666676)</f>
        <v>563.0166667</v>
      </c>
      <c r="P318" s="1" t="str">
        <f>IFERROR(__xludf.DUMMYFUNCTION("""COMPUTED_VALUE"""),"RYR")</f>
        <v>RYR</v>
      </c>
      <c r="Q318" s="1" t="str">
        <f>IFERROR(__xludf.DUMMYFUNCTION("""COMPUTED_VALUE"""),"ECAC")</f>
        <v>ECAC</v>
      </c>
    </row>
    <row r="319">
      <c r="A319" s="1" t="str">
        <f>IFERROR(__xludf.DUMMYFUNCTION("""COMPUTED_VALUE"""),"VLG57ZG")</f>
        <v>VLG57ZG</v>
      </c>
      <c r="B319" s="1" t="str">
        <f>IFERROR(__xludf.DUMMYFUNCTION("""COMPUTED_VALUE"""),"A321")</f>
        <v>A321</v>
      </c>
      <c r="C319" s="1" t="str">
        <f>IFERROR(__xludf.DUMMYFUNCTION("""COMPUTED_VALUE"""),"LFPO")</f>
        <v>LFPO</v>
      </c>
      <c r="D319" s="1" t="str">
        <f>IFERROR(__xludf.DUMMYFUNCTION("""COMPUTED_VALUE"""),"LEBL")</f>
        <v>LEBL</v>
      </c>
      <c r="E319" s="1" t="str">
        <f>IFERROR(__xludf.DUMMYFUNCTION("""COMPUTED_VALUE"""),"ECMPV")</f>
        <v>ECMPV</v>
      </c>
      <c r="F319" s="1">
        <f>IFERROR(__xludf.DUMMYFUNCTION("""COMPUTED_VALUE"""),350.0)</f>
        <v>350</v>
      </c>
      <c r="G319" s="7">
        <f>IFERROR(__xludf.DUMMYFUNCTION("""COMPUTED_VALUE"""),0.5680555555555555)</f>
        <v>0.5680555556</v>
      </c>
      <c r="H319" s="1">
        <f>IFERROR(__xludf.DUMMYFUNCTION("""COMPUTED_VALUE"""),13.0)</f>
        <v>13</v>
      </c>
      <c r="I319" s="7">
        <f>IFERROR(__xludf.DUMMYFUNCTION("""COMPUTED_VALUE"""),0.6215277777777778)</f>
        <v>0.6215277778</v>
      </c>
      <c r="J319" s="1" t="str">
        <f>IFERROR(__xludf.DUMMYFUNCTION("""COMPUTED_VALUE"""),"D")</f>
        <v>D</v>
      </c>
      <c r="K319" s="1">
        <f>IFERROR(__xludf.DUMMYFUNCTION("""COMPUTED_VALUE"""),207.0)</f>
        <v>207</v>
      </c>
      <c r="L319" s="7">
        <f>IFERROR(__xludf.DUMMYFUNCTION("""COMPUTED_VALUE"""),0.053472222222222254)</f>
        <v>0.05347222222</v>
      </c>
      <c r="M319" s="7">
        <f>IFERROR(__xludf.DUMMYFUNCTION("""COMPUTED_VALUE"""),0.031736111111111145)</f>
        <v>0.03173611111</v>
      </c>
      <c r="O319" s="9">
        <f>IFERROR(__xludf.DUMMYFUNCTION("""COMPUTED_VALUE"""),632.183333333334)</f>
        <v>632.1833333</v>
      </c>
      <c r="P319" s="1" t="str">
        <f>IFERROR(__xludf.DUMMYFUNCTION("""COMPUTED_VALUE"""),"VLG")</f>
        <v>VLG</v>
      </c>
      <c r="Q319" s="1" t="str">
        <f>IFERROR(__xludf.DUMMYFUNCTION("""COMPUTED_VALUE"""),"ECAC")</f>
        <v>ECAC</v>
      </c>
    </row>
    <row r="320">
      <c r="A320" s="1" t="str">
        <f>IFERROR(__xludf.DUMMYFUNCTION("""COMPUTED_VALUE"""),"VLG1AL")</f>
        <v>VLG1AL</v>
      </c>
      <c r="B320" s="1" t="str">
        <f>IFERROR(__xludf.DUMMYFUNCTION("""COMPUTED_VALUE"""),"A320")</f>
        <v>A320</v>
      </c>
      <c r="C320" s="1" t="str">
        <f>IFERROR(__xludf.DUMMYFUNCTION("""COMPUTED_VALUE"""),"EBBR")</f>
        <v>EBBR</v>
      </c>
      <c r="D320" s="1" t="str">
        <f>IFERROR(__xludf.DUMMYFUNCTION("""COMPUTED_VALUE"""),"LEBL")</f>
        <v>LEBL</v>
      </c>
      <c r="E320" s="1" t="str">
        <f>IFERROR(__xludf.DUMMYFUNCTION("""COMPUTED_VALUE"""),"ECKRH")</f>
        <v>ECKRH</v>
      </c>
      <c r="F320" s="1">
        <f>IFERROR(__xludf.DUMMYFUNCTION("""COMPUTED_VALUE"""),370.0)</f>
        <v>370</v>
      </c>
      <c r="G320" s="7">
        <f>IFERROR(__xludf.DUMMYFUNCTION("""COMPUTED_VALUE"""),0.5527777777777778)</f>
        <v>0.5527777778</v>
      </c>
      <c r="H320" s="1">
        <f>IFERROR(__xludf.DUMMYFUNCTION("""COMPUTED_VALUE"""),11.0)</f>
        <v>11</v>
      </c>
      <c r="I320" s="7">
        <f>IFERROR(__xludf.DUMMYFUNCTION("""COMPUTED_VALUE"""),0.625)</f>
        <v>0.625</v>
      </c>
      <c r="J320" s="1" t="str">
        <f>IFERROR(__xludf.DUMMYFUNCTION("""COMPUTED_VALUE"""),"D")</f>
        <v>D</v>
      </c>
      <c r="K320" s="1">
        <f>IFERROR(__xludf.DUMMYFUNCTION("""COMPUTED_VALUE"""),173.0)</f>
        <v>173</v>
      </c>
      <c r="L320" s="7">
        <f>IFERROR(__xludf.DUMMYFUNCTION("""COMPUTED_VALUE"""),0.07222222222222219)</f>
        <v>0.07222222222</v>
      </c>
      <c r="M320" s="7">
        <f>IFERROR(__xludf.DUMMYFUNCTION("""COMPUTED_VALUE"""),0.05187499999999996)</f>
        <v>0.051875</v>
      </c>
      <c r="O320" s="9">
        <f>IFERROR(__xludf.DUMMYFUNCTION("""COMPUTED_VALUE"""),1033.3499999999995)</f>
        <v>1033.35</v>
      </c>
      <c r="P320" s="1" t="str">
        <f>IFERROR(__xludf.DUMMYFUNCTION("""COMPUTED_VALUE"""),"VLG")</f>
        <v>VLG</v>
      </c>
      <c r="Q320" s="1" t="str">
        <f>IFERROR(__xludf.DUMMYFUNCTION("""COMPUTED_VALUE"""),"ECAC")</f>
        <v>ECAC</v>
      </c>
    </row>
    <row r="321">
      <c r="A321" s="1" t="str">
        <f>IFERROR(__xludf.DUMMYFUNCTION("""COMPUTED_VALUE"""),"TAP1034")</f>
        <v>TAP1034</v>
      </c>
      <c r="B321" s="1" t="str">
        <f>IFERROR(__xludf.DUMMYFUNCTION("""COMPUTED_VALUE"""),"A320")</f>
        <v>A320</v>
      </c>
      <c r="C321" s="1" t="str">
        <f>IFERROR(__xludf.DUMMYFUNCTION("""COMPUTED_VALUE"""),"LPPT")</f>
        <v>LPPT</v>
      </c>
      <c r="D321" s="1" t="str">
        <f>IFERROR(__xludf.DUMMYFUNCTION("""COMPUTED_VALUE"""),"LEBL")</f>
        <v>LEBL</v>
      </c>
      <c r="E321" s="1" t="str">
        <f>IFERROR(__xludf.DUMMYFUNCTION("""COMPUTED_VALUE"""),"CSTNJ")</f>
        <v>CSTNJ</v>
      </c>
      <c r="F321" s="1">
        <f>IFERROR(__xludf.DUMMYFUNCTION("""COMPUTED_VALUE"""),340.0)</f>
        <v>340</v>
      </c>
      <c r="G321" s="7">
        <f>IFERROR(__xludf.DUMMYFUNCTION("""COMPUTED_VALUE"""),0.5541666666666667)</f>
        <v>0.5541666667</v>
      </c>
      <c r="H321" s="1">
        <f>IFERROR(__xludf.DUMMYFUNCTION("""COMPUTED_VALUE"""),13.0)</f>
        <v>13</v>
      </c>
      <c r="I321" s="7">
        <f>IFERROR(__xludf.DUMMYFUNCTION("""COMPUTED_VALUE"""),0.625)</f>
        <v>0.625</v>
      </c>
      <c r="J321" s="1" t="str">
        <f>IFERROR(__xludf.DUMMYFUNCTION("""COMPUTED_VALUE"""),"D")</f>
        <v>D</v>
      </c>
      <c r="K321" s="1">
        <f>IFERROR(__xludf.DUMMYFUNCTION("""COMPUTED_VALUE"""),173.0)</f>
        <v>173</v>
      </c>
      <c r="L321" s="7">
        <f>IFERROR(__xludf.DUMMYFUNCTION("""COMPUTED_VALUE"""),0.0708333333333333)</f>
        <v>0.07083333333</v>
      </c>
      <c r="M321" s="7">
        <f>IFERROR(__xludf.DUMMYFUNCTION("""COMPUTED_VALUE"""),0.049097222222222195)</f>
        <v>0.04909722222</v>
      </c>
      <c r="O321" s="9">
        <f>IFERROR(__xludf.DUMMYFUNCTION("""COMPUTED_VALUE"""),978.0166666666662)</f>
        <v>978.0166667</v>
      </c>
      <c r="P321" s="1" t="str">
        <f>IFERROR(__xludf.DUMMYFUNCTION("""COMPUTED_VALUE"""),"TAP")</f>
        <v>TAP</v>
      </c>
      <c r="Q321" s="1" t="str">
        <f>IFERROR(__xludf.DUMMYFUNCTION("""COMPUTED_VALUE"""),"ECAC")</f>
        <v>ECAC</v>
      </c>
    </row>
    <row r="322">
      <c r="A322" s="1" t="str">
        <f>IFERROR(__xludf.DUMMYFUNCTION("""COMPUTED_VALUE"""),"BBG252")</f>
        <v>BBG252</v>
      </c>
      <c r="B322" s="1" t="str">
        <f>IFERROR(__xludf.DUMMYFUNCTION("""COMPUTED_VALUE"""),"A320")</f>
        <v>A320</v>
      </c>
      <c r="C322" s="1" t="str">
        <f>IFERROR(__xludf.DUMMYFUNCTION("""COMPUTED_VALUE"""),"LLBG")</f>
        <v>LLBG</v>
      </c>
      <c r="D322" s="1" t="str">
        <f>IFERROR(__xludf.DUMMYFUNCTION("""COMPUTED_VALUE"""),"LEBL")</f>
        <v>LEBL</v>
      </c>
      <c r="E322" s="1" t="str">
        <f>IFERROR(__xludf.DUMMYFUNCTION("""COMPUTED_VALUE"""),"5BDDO")</f>
        <v>5BDDO</v>
      </c>
      <c r="F322" s="1">
        <f>IFERROR(__xludf.DUMMYFUNCTION("""COMPUTED_VALUE"""),360.0)</f>
        <v>360</v>
      </c>
      <c r="G322" s="7">
        <f>IFERROR(__xludf.DUMMYFUNCTION("""COMPUTED_VALUE"""),0.4701388888888889)</f>
        <v>0.4701388889</v>
      </c>
      <c r="H322" s="1">
        <f>IFERROR(__xludf.DUMMYFUNCTION("""COMPUTED_VALUE"""),15.0)</f>
        <v>15</v>
      </c>
      <c r="I322" s="7">
        <f>IFERROR(__xludf.DUMMYFUNCTION("""COMPUTED_VALUE"""),0.6284722222222222)</f>
        <v>0.6284722222</v>
      </c>
      <c r="J322" s="1" t="str">
        <f>IFERROR(__xludf.DUMMYFUNCTION("""COMPUTED_VALUE"""),"D")</f>
        <v>D</v>
      </c>
      <c r="K322" s="1">
        <f>IFERROR(__xludf.DUMMYFUNCTION("""COMPUTED_VALUE"""),173.0)</f>
        <v>173</v>
      </c>
      <c r="L322" s="7">
        <f>IFERROR(__xludf.DUMMYFUNCTION("""COMPUTED_VALUE"""),0.15833333333333333)</f>
        <v>0.1583333333</v>
      </c>
      <c r="M322" s="7">
        <f>IFERROR(__xludf.DUMMYFUNCTION("""COMPUTED_VALUE"""),0.13520833333333335)</f>
        <v>0.1352083333</v>
      </c>
      <c r="O322" s="9">
        <f>IFERROR(__xludf.DUMMYFUNCTION("""COMPUTED_VALUE"""),2693.35)</f>
        <v>2693.35</v>
      </c>
      <c r="P322" s="1" t="str">
        <f>IFERROR(__xludf.DUMMYFUNCTION("""COMPUTED_VALUE"""),"BBG")</f>
        <v>BBG</v>
      </c>
      <c r="Q322" s="1" t="str">
        <f>IFERROR(__xludf.DUMMYFUNCTION("""COMPUTED_VALUE"""),"NO ECAC")</f>
        <v>NO ECAC</v>
      </c>
    </row>
    <row r="323">
      <c r="A323" s="1" t="str">
        <f>IFERROR(__xludf.DUMMYFUNCTION("""COMPUTED_VALUE"""),"VLG7PM")</f>
        <v>VLG7PM</v>
      </c>
      <c r="B323" s="1" t="str">
        <f>IFERROR(__xludf.DUMMYFUNCTION("""COMPUTED_VALUE"""),"A321")</f>
        <v>A321</v>
      </c>
      <c r="C323" s="1" t="str">
        <f>IFERROR(__xludf.DUMMYFUNCTION("""COMPUTED_VALUE"""),"LIPZ")</f>
        <v>LIPZ</v>
      </c>
      <c r="D323" s="1" t="str">
        <f>IFERROR(__xludf.DUMMYFUNCTION("""COMPUTED_VALUE"""),"LEBL")</f>
        <v>LEBL</v>
      </c>
      <c r="E323" s="1" t="str">
        <f>IFERROR(__xludf.DUMMYFUNCTION("""COMPUTED_VALUE"""),"ECMHA")</f>
        <v>ECMHA</v>
      </c>
      <c r="F323" s="1">
        <f>IFERROR(__xludf.DUMMYFUNCTION("""COMPUTED_VALUE"""),350.0)</f>
        <v>350</v>
      </c>
      <c r="G323" s="7">
        <f>IFERROR(__xludf.DUMMYFUNCTION("""COMPUTED_VALUE"""),0.5736111111111111)</f>
        <v>0.5736111111</v>
      </c>
      <c r="H323" s="1">
        <f>IFERROR(__xludf.DUMMYFUNCTION("""COMPUTED_VALUE"""),11.0)</f>
        <v>11</v>
      </c>
      <c r="I323" s="7">
        <f>IFERROR(__xludf.DUMMYFUNCTION("""COMPUTED_VALUE"""),0.6284722222222222)</f>
        <v>0.6284722222</v>
      </c>
      <c r="J323" s="1" t="str">
        <f>IFERROR(__xludf.DUMMYFUNCTION("""COMPUTED_VALUE"""),"D")</f>
        <v>D</v>
      </c>
      <c r="K323" s="1">
        <f>IFERROR(__xludf.DUMMYFUNCTION("""COMPUTED_VALUE"""),207.0)</f>
        <v>207</v>
      </c>
      <c r="L323" s="7">
        <f>IFERROR(__xludf.DUMMYFUNCTION("""COMPUTED_VALUE"""),0.05486111111111114)</f>
        <v>0.05486111111</v>
      </c>
      <c r="M323" s="7">
        <f>IFERROR(__xludf.DUMMYFUNCTION("""COMPUTED_VALUE"""),0.03451388888888891)</f>
        <v>0.03451388889</v>
      </c>
      <c r="O323" s="9">
        <f>IFERROR(__xludf.DUMMYFUNCTION("""COMPUTED_VALUE"""),687.5166666666671)</f>
        <v>687.5166667</v>
      </c>
      <c r="P323" s="1" t="str">
        <f>IFERROR(__xludf.DUMMYFUNCTION("""COMPUTED_VALUE"""),"VLG")</f>
        <v>VLG</v>
      </c>
      <c r="Q323" s="1" t="str">
        <f>IFERROR(__xludf.DUMMYFUNCTION("""COMPUTED_VALUE"""),"ECAC")</f>
        <v>ECAC</v>
      </c>
    </row>
    <row r="324">
      <c r="A324" s="1" t="str">
        <f>IFERROR(__xludf.DUMMYFUNCTION("""COMPUTED_VALUE"""),"THY1FP")</f>
        <v>THY1FP</v>
      </c>
      <c r="B324" s="1" t="str">
        <f>IFERROR(__xludf.DUMMYFUNCTION("""COMPUTED_VALUE"""),"A333")</f>
        <v>A333</v>
      </c>
      <c r="C324" s="1" t="str">
        <f>IFERROR(__xludf.DUMMYFUNCTION("""COMPUTED_VALUE"""),"LTFM")</f>
        <v>LTFM</v>
      </c>
      <c r="D324" s="1" t="str">
        <f>IFERROR(__xludf.DUMMYFUNCTION("""COMPUTED_VALUE"""),"LEBL")</f>
        <v>LEBL</v>
      </c>
      <c r="E324" s="1" t="str">
        <f>IFERROR(__xludf.DUMMYFUNCTION("""COMPUTED_VALUE"""),"TCLOA")</f>
        <v>TCLOA</v>
      </c>
      <c r="F324" s="1">
        <f>IFERROR(__xludf.DUMMYFUNCTION("""COMPUTED_VALUE"""),380.0)</f>
        <v>380</v>
      </c>
      <c r="G324" s="7">
        <f>IFERROR(__xludf.DUMMYFUNCTION("""COMPUTED_VALUE"""),0.5034722222222222)</f>
        <v>0.5034722222</v>
      </c>
      <c r="H324" s="1">
        <f>IFERROR(__xludf.DUMMYFUNCTION("""COMPUTED_VALUE"""),20.0)</f>
        <v>20</v>
      </c>
      <c r="I324" s="7">
        <f>IFERROR(__xludf.DUMMYFUNCTION("""COMPUTED_VALUE"""),0.6284722222222222)</f>
        <v>0.6284722222</v>
      </c>
      <c r="J324" s="1" t="str">
        <f>IFERROR(__xludf.DUMMYFUNCTION("""COMPUTED_VALUE"""),"B")</f>
        <v>B</v>
      </c>
      <c r="K324" s="1">
        <f>IFERROR(__xludf.DUMMYFUNCTION("""COMPUTED_VALUE"""),284.0)</f>
        <v>284</v>
      </c>
      <c r="L324" s="7">
        <f>IFERROR(__xludf.DUMMYFUNCTION("""COMPUTED_VALUE"""),0.125)</f>
        <v>0.125</v>
      </c>
      <c r="M324" s="7">
        <f>IFERROR(__xludf.DUMMYFUNCTION("""COMPUTED_VALUE"""),0.09840277777777778)</f>
        <v>0.09840277778</v>
      </c>
      <c r="O324" s="9">
        <f>IFERROR(__xludf.DUMMYFUNCTION("""COMPUTED_VALUE"""),2125.5)</f>
        <v>2125.5</v>
      </c>
      <c r="P324" s="1" t="str">
        <f>IFERROR(__xludf.DUMMYFUNCTION("""COMPUTED_VALUE"""),"THY")</f>
        <v>THY</v>
      </c>
      <c r="Q324" s="1" t="str">
        <f>IFERROR(__xludf.DUMMYFUNCTION("""COMPUTED_VALUE"""),"ECAC")</f>
        <v>ECAC</v>
      </c>
    </row>
    <row r="325">
      <c r="A325" s="1" t="str">
        <f>IFERROR(__xludf.DUMMYFUNCTION("""COMPUTED_VALUE"""),"EWG7524")</f>
        <v>EWG7524</v>
      </c>
      <c r="B325" s="1" t="str">
        <f>IFERROR(__xludf.DUMMYFUNCTION("""COMPUTED_VALUE"""),"A320")</f>
        <v>A320</v>
      </c>
      <c r="C325" s="1" t="str">
        <f>IFERROR(__xludf.DUMMYFUNCTION("""COMPUTED_VALUE"""),"EDDH")</f>
        <v>EDDH</v>
      </c>
      <c r="D325" s="1" t="str">
        <f>IFERROR(__xludf.DUMMYFUNCTION("""COMPUTED_VALUE"""),"LEBL")</f>
        <v>LEBL</v>
      </c>
      <c r="E325" s="1" t="str">
        <f>IFERROR(__xludf.DUMMYFUNCTION("""COMPUTED_VALUE"""),"9HSWN")</f>
        <v>9HSWN</v>
      </c>
      <c r="F325" s="1">
        <f>IFERROR(__xludf.DUMMYFUNCTION("""COMPUTED_VALUE"""),360.0)</f>
        <v>360</v>
      </c>
      <c r="G325" s="7">
        <f>IFERROR(__xludf.DUMMYFUNCTION("""COMPUTED_VALUE"""),0.5520833333333334)</f>
        <v>0.5520833333</v>
      </c>
      <c r="H325" s="1">
        <f>IFERROR(__xludf.DUMMYFUNCTION("""COMPUTED_VALUE"""),10.0)</f>
        <v>10</v>
      </c>
      <c r="I325" s="7">
        <f>IFERROR(__xludf.DUMMYFUNCTION("""COMPUTED_VALUE"""),0.6319444444444444)</f>
        <v>0.6319444444</v>
      </c>
      <c r="J325" s="1" t="str">
        <f>IFERROR(__xludf.DUMMYFUNCTION("""COMPUTED_VALUE"""),"D")</f>
        <v>D</v>
      </c>
      <c r="K325" s="1">
        <f>IFERROR(__xludf.DUMMYFUNCTION("""COMPUTED_VALUE"""),173.0)</f>
        <v>173</v>
      </c>
      <c r="L325" s="7">
        <f>IFERROR(__xludf.DUMMYFUNCTION("""COMPUTED_VALUE"""),0.07986111111111105)</f>
        <v>0.07986111111</v>
      </c>
      <c r="M325" s="7">
        <f>IFERROR(__xludf.DUMMYFUNCTION("""COMPUTED_VALUE"""),0.06020833333333327)</f>
        <v>0.06020833333</v>
      </c>
      <c r="O325" s="9">
        <f>IFERROR(__xludf.DUMMYFUNCTION("""COMPUTED_VALUE"""),1199.3499999999988)</f>
        <v>1199.35</v>
      </c>
      <c r="P325" s="1" t="str">
        <f>IFERROR(__xludf.DUMMYFUNCTION("""COMPUTED_VALUE"""),"EWG")</f>
        <v>EWG</v>
      </c>
      <c r="Q325" s="1" t="str">
        <f>IFERROR(__xludf.DUMMYFUNCTION("""COMPUTED_VALUE"""),"ECAC")</f>
        <v>ECAC</v>
      </c>
    </row>
    <row r="326">
      <c r="A326" s="1" t="str">
        <f>IFERROR(__xludf.DUMMYFUNCTION("""COMPUTED_VALUE"""),"GES401V")</f>
        <v>GES401V</v>
      </c>
      <c r="B326" s="1" t="str">
        <f>IFERROR(__xludf.DUMMYFUNCTION("""COMPUTED_VALUE"""),"F2TH")</f>
        <v>F2TH</v>
      </c>
      <c r="C326" s="1" t="str">
        <f>IFERROR(__xludf.DUMMYFUNCTION("""COMPUTED_VALUE"""),"LFMN")</f>
        <v>LFMN</v>
      </c>
      <c r="D326" s="1" t="str">
        <f>IFERROR(__xludf.DUMMYFUNCTION("""COMPUTED_VALUE"""),"LEBL")</f>
        <v>LEBL</v>
      </c>
      <c r="E326" s="1" t="str">
        <f>IFERROR(__xludf.DUMMYFUNCTION("""COMPUTED_VALUE"""),"ECLGV")</f>
        <v>ECLGV</v>
      </c>
      <c r="F326" s="1">
        <f>IFERROR(__xludf.DUMMYFUNCTION("""COMPUTED_VALUE"""),300.0)</f>
        <v>300</v>
      </c>
      <c r="G326" s="7">
        <f>IFERROR(__xludf.DUMMYFUNCTION("""COMPUTED_VALUE"""),0.6055555555555555)</f>
        <v>0.6055555556</v>
      </c>
      <c r="H326" s="1">
        <f>IFERROR(__xludf.DUMMYFUNCTION("""COMPUTED_VALUE"""),6.0)</f>
        <v>6</v>
      </c>
      <c r="I326" s="7">
        <f>IFERROR(__xludf.DUMMYFUNCTION("""COMPUTED_VALUE"""),0.6319444444444444)</f>
        <v>0.6319444444</v>
      </c>
      <c r="J326" s="1" t="str">
        <f>IFERROR(__xludf.DUMMYFUNCTION("""COMPUTED_VALUE"""),"E")</f>
        <v>E</v>
      </c>
      <c r="K326" s="1">
        <f>IFERROR(__xludf.DUMMYFUNCTION("""COMPUTED_VALUE"""),10.0)</f>
        <v>10</v>
      </c>
      <c r="L326" s="7">
        <f>IFERROR(__xludf.DUMMYFUNCTION("""COMPUTED_VALUE"""),0.026388888888888906)</f>
        <v>0.02638888889</v>
      </c>
      <c r="M326" s="7">
        <f>IFERROR(__xludf.DUMMYFUNCTION("""COMPUTED_VALUE"""),0.009513888888888905)</f>
        <v>0.009513888889</v>
      </c>
      <c r="O326" s="9">
        <f>IFERROR(__xludf.DUMMYFUNCTION("""COMPUTED_VALUE"""),102.75000000000017)</f>
        <v>102.75</v>
      </c>
      <c r="P326" s="1" t="str">
        <f>IFERROR(__xludf.DUMMYFUNCTION("""COMPUTED_VALUE"""),"GES")</f>
        <v>GES</v>
      </c>
      <c r="Q326" s="1" t="str">
        <f>IFERROR(__xludf.DUMMYFUNCTION("""COMPUTED_VALUE"""),"ECAC")</f>
        <v>ECAC</v>
      </c>
    </row>
    <row r="327">
      <c r="A327" s="1" t="str">
        <f>IFERROR(__xludf.DUMMYFUNCTION("""COMPUTED_VALUE"""),"VLG37CR")</f>
        <v>VLG37CR</v>
      </c>
      <c r="B327" s="1" t="str">
        <f>IFERROR(__xludf.DUMMYFUNCTION("""COMPUTED_VALUE"""),"A320")</f>
        <v>A320</v>
      </c>
      <c r="C327" s="1" t="str">
        <f>IFERROR(__xludf.DUMMYFUNCTION("""COMPUTED_VALUE"""),"LEPA")</f>
        <v>LEPA</v>
      </c>
      <c r="D327" s="1" t="str">
        <f>IFERROR(__xludf.DUMMYFUNCTION("""COMPUTED_VALUE"""),"LEBL")</f>
        <v>LEBL</v>
      </c>
      <c r="E327" s="1" t="str">
        <f>IFERROR(__xludf.DUMMYFUNCTION("""COMPUTED_VALUE"""),"ECMLE")</f>
        <v>ECMLE</v>
      </c>
      <c r="F327" s="1">
        <f>IFERROR(__xludf.DUMMYFUNCTION("""COMPUTED_VALUE"""),180.0)</f>
        <v>180</v>
      </c>
      <c r="G327" s="7">
        <f>IFERROR(__xludf.DUMMYFUNCTION("""COMPUTED_VALUE"""),0.5986111111111111)</f>
        <v>0.5986111111</v>
      </c>
      <c r="H327" s="1">
        <f>IFERROR(__xludf.DUMMYFUNCTION("""COMPUTED_VALUE"""),17.0)</f>
        <v>17</v>
      </c>
      <c r="I327" s="7">
        <f>IFERROR(__xludf.DUMMYFUNCTION("""COMPUTED_VALUE"""),0.6354166666666666)</f>
        <v>0.6354166667</v>
      </c>
      <c r="J327" s="1" t="str">
        <f>IFERROR(__xludf.DUMMYFUNCTION("""COMPUTED_VALUE"""),"D")</f>
        <v>D</v>
      </c>
      <c r="K327" s="1">
        <f>IFERROR(__xludf.DUMMYFUNCTION("""COMPUTED_VALUE"""),173.0)</f>
        <v>173</v>
      </c>
      <c r="L327" s="7">
        <f>IFERROR(__xludf.DUMMYFUNCTION("""COMPUTED_VALUE"""),0.036805555555555536)</f>
        <v>0.03680555556</v>
      </c>
      <c r="M327" s="7">
        <f>IFERROR(__xludf.DUMMYFUNCTION("""COMPUTED_VALUE"""),0.012291666666666645)</f>
        <v>0.01229166667</v>
      </c>
      <c r="O327" s="9">
        <f>IFERROR(__xludf.DUMMYFUNCTION("""COMPUTED_VALUE"""),244.84999999999957)</f>
        <v>244.85</v>
      </c>
      <c r="P327" s="1" t="str">
        <f>IFERROR(__xludf.DUMMYFUNCTION("""COMPUTED_VALUE"""),"VLG")</f>
        <v>VLG</v>
      </c>
      <c r="Q327" s="1" t="str">
        <f>IFERROR(__xludf.DUMMYFUNCTION("""COMPUTED_VALUE"""),"ECAC")</f>
        <v>ECAC</v>
      </c>
    </row>
    <row r="328">
      <c r="A328" s="1" t="str">
        <f>IFERROR(__xludf.DUMMYFUNCTION("""COMPUTED_VALUE"""),"RYR79DL")</f>
        <v>RYR79DL</v>
      </c>
      <c r="B328" s="1" t="str">
        <f>IFERROR(__xludf.DUMMYFUNCTION("""COMPUTED_VALUE"""),"B738")</f>
        <v>B738</v>
      </c>
      <c r="C328" s="1" t="str">
        <f>IFERROR(__xludf.DUMMYFUNCTION("""COMPUTED_VALUE"""),"EBCI")</f>
        <v>EBCI</v>
      </c>
      <c r="D328" s="1" t="str">
        <f>IFERROR(__xludf.DUMMYFUNCTION("""COMPUTED_VALUE"""),"LEBL")</f>
        <v>LEBL</v>
      </c>
      <c r="E328" s="1" t="str">
        <f>IFERROR(__xludf.DUMMYFUNCTION("""COMPUTED_VALUE"""),"EIDWR")</f>
        <v>EIDWR</v>
      </c>
      <c r="F328" s="1">
        <f>IFERROR(__xludf.DUMMYFUNCTION("""COMPUTED_VALUE"""),370.0)</f>
        <v>370</v>
      </c>
      <c r="G328" s="7">
        <f>IFERROR(__xludf.DUMMYFUNCTION("""COMPUTED_VALUE"""),0.5798611111111112)</f>
        <v>0.5798611111</v>
      </c>
      <c r="H328" s="1">
        <f>IFERROR(__xludf.DUMMYFUNCTION("""COMPUTED_VALUE"""),15.0)</f>
        <v>15</v>
      </c>
      <c r="I328" s="7">
        <f>IFERROR(__xludf.DUMMYFUNCTION("""COMPUTED_VALUE"""),0.6388888888888888)</f>
        <v>0.6388888889</v>
      </c>
      <c r="J328" s="1" t="str">
        <f>IFERROR(__xludf.DUMMYFUNCTION("""COMPUTED_VALUE"""),"D")</f>
        <v>D</v>
      </c>
      <c r="K328" s="1">
        <f>IFERROR(__xludf.DUMMYFUNCTION("""COMPUTED_VALUE"""),184.0)</f>
        <v>184</v>
      </c>
      <c r="L328" s="7">
        <f>IFERROR(__xludf.DUMMYFUNCTION("""COMPUTED_VALUE"""),0.05902777777777768)</f>
        <v>0.05902777778</v>
      </c>
      <c r="M328" s="7">
        <f>IFERROR(__xludf.DUMMYFUNCTION("""COMPUTED_VALUE"""),0.03590277777777768)</f>
        <v>0.03590277778</v>
      </c>
      <c r="O328" s="9">
        <f>IFERROR(__xludf.DUMMYFUNCTION("""COMPUTED_VALUE"""),715.1833333333315)</f>
        <v>715.1833333</v>
      </c>
      <c r="P328" s="1" t="str">
        <f>IFERROR(__xludf.DUMMYFUNCTION("""COMPUTED_VALUE"""),"RYR")</f>
        <v>RYR</v>
      </c>
      <c r="Q328" s="1" t="str">
        <f>IFERROR(__xludf.DUMMYFUNCTION("""COMPUTED_VALUE"""),"ECAC")</f>
        <v>ECAC</v>
      </c>
    </row>
    <row r="329">
      <c r="A329" s="1" t="str">
        <f>IFERROR(__xludf.DUMMYFUNCTION("""COMPUTED_VALUE"""),"VLG3521")</f>
        <v>VLG3521</v>
      </c>
      <c r="B329" s="1" t="str">
        <f>IFERROR(__xludf.DUMMYFUNCTION("""COMPUTED_VALUE"""),"A320")</f>
        <v>A320</v>
      </c>
      <c r="C329" s="1" t="str">
        <f>IFERROR(__xludf.DUMMYFUNCTION("""COMPUTED_VALUE"""),"LEIB")</f>
        <v>LEIB</v>
      </c>
      <c r="D329" s="1" t="str">
        <f>IFERROR(__xludf.DUMMYFUNCTION("""COMPUTED_VALUE"""),"LEBL")</f>
        <v>LEBL</v>
      </c>
      <c r="E329" s="1" t="str">
        <f>IFERROR(__xludf.DUMMYFUNCTION("""COMPUTED_VALUE"""),"ECMNZ")</f>
        <v>ECMNZ</v>
      </c>
      <c r="F329" s="1">
        <f>IFERROR(__xludf.DUMMYFUNCTION("""COMPUTED_VALUE"""),180.0)</f>
        <v>180</v>
      </c>
      <c r="G329" s="7">
        <f>IFERROR(__xludf.DUMMYFUNCTION("""COMPUTED_VALUE"""),0.6159722222222223)</f>
        <v>0.6159722222</v>
      </c>
      <c r="H329" s="1">
        <f>IFERROR(__xludf.DUMMYFUNCTION("""COMPUTED_VALUE"""),12.0)</f>
        <v>12</v>
      </c>
      <c r="I329" s="7">
        <f>IFERROR(__xludf.DUMMYFUNCTION("""COMPUTED_VALUE"""),0.6388888888888888)</f>
        <v>0.6388888889</v>
      </c>
      <c r="J329" s="1" t="str">
        <f>IFERROR(__xludf.DUMMYFUNCTION("""COMPUTED_VALUE"""),"D")</f>
        <v>D</v>
      </c>
      <c r="K329" s="1">
        <f>IFERROR(__xludf.DUMMYFUNCTION("""COMPUTED_VALUE"""),173.0)</f>
        <v>173</v>
      </c>
      <c r="L329" s="7">
        <f>IFERROR(__xludf.DUMMYFUNCTION("""COMPUTED_VALUE"""),0.022916666666666585)</f>
        <v>0.02291666667</v>
      </c>
      <c r="M329" s="7">
        <f>IFERROR(__xludf.DUMMYFUNCTION("""COMPUTED_VALUE"""),0.0018749999999999184)</f>
        <v>0.001875</v>
      </c>
      <c r="O329" s="9">
        <f>IFERROR(__xludf.DUMMYFUNCTION("""COMPUTED_VALUE"""),37.349999999998374)</f>
        <v>37.35</v>
      </c>
      <c r="P329" s="1" t="str">
        <f>IFERROR(__xludf.DUMMYFUNCTION("""COMPUTED_VALUE"""),"VLG")</f>
        <v>VLG</v>
      </c>
      <c r="Q329" s="1" t="str">
        <f>IFERROR(__xludf.DUMMYFUNCTION("""COMPUTED_VALUE"""),"ECAC")</f>
        <v>ECAC</v>
      </c>
    </row>
    <row r="330">
      <c r="A330" s="1" t="str">
        <f>IFERROR(__xludf.DUMMYFUNCTION("""COMPUTED_VALUE"""),"VLG1EB")</f>
        <v>VLG1EB</v>
      </c>
      <c r="B330" s="1" t="str">
        <f>IFERROR(__xludf.DUMMYFUNCTION("""COMPUTED_VALUE"""),"A320")</f>
        <v>A320</v>
      </c>
      <c r="C330" s="1" t="str">
        <f>IFERROR(__xludf.DUMMYFUNCTION("""COMPUTED_VALUE"""),"LEAL")</f>
        <v>LEAL</v>
      </c>
      <c r="D330" s="1" t="str">
        <f>IFERROR(__xludf.DUMMYFUNCTION("""COMPUTED_VALUE"""),"LEBL")</f>
        <v>LEBL</v>
      </c>
      <c r="E330" s="1" t="str">
        <f>IFERROR(__xludf.DUMMYFUNCTION("""COMPUTED_VALUE"""),"ECMAO")</f>
        <v>ECMAO</v>
      </c>
      <c r="F330" s="1">
        <f>IFERROR(__xludf.DUMMYFUNCTION("""COMPUTED_VALUE"""),280.0)</f>
        <v>280</v>
      </c>
      <c r="G330" s="7">
        <f>IFERROR(__xludf.DUMMYFUNCTION("""COMPUTED_VALUE"""),0.6097222222222223)</f>
        <v>0.6097222222</v>
      </c>
      <c r="H330" s="1">
        <f>IFERROR(__xludf.DUMMYFUNCTION("""COMPUTED_VALUE"""),13.0)</f>
        <v>13</v>
      </c>
      <c r="I330" s="7">
        <f>IFERROR(__xludf.DUMMYFUNCTION("""COMPUTED_VALUE"""),0.6423611111111112)</f>
        <v>0.6423611111</v>
      </c>
      <c r="J330" s="1" t="str">
        <f>IFERROR(__xludf.DUMMYFUNCTION("""COMPUTED_VALUE"""),"D")</f>
        <v>D</v>
      </c>
      <c r="K330" s="1">
        <f>IFERROR(__xludf.DUMMYFUNCTION("""COMPUTED_VALUE"""),173.0)</f>
        <v>173</v>
      </c>
      <c r="L330" s="7">
        <f>IFERROR(__xludf.DUMMYFUNCTION("""COMPUTED_VALUE"""),0.032638888888888884)</f>
        <v>0.03263888889</v>
      </c>
      <c r="M330" s="7">
        <f>IFERROR(__xludf.DUMMYFUNCTION("""COMPUTED_VALUE"""),0.010902777777777772)</f>
        <v>0.01090277778</v>
      </c>
      <c r="O330" s="9">
        <f>IFERROR(__xludf.DUMMYFUNCTION("""COMPUTED_VALUE"""),217.1833333333332)</f>
        <v>217.1833333</v>
      </c>
      <c r="P330" s="1" t="str">
        <f>IFERROR(__xludf.DUMMYFUNCTION("""COMPUTED_VALUE"""),"VLG")</f>
        <v>VLG</v>
      </c>
      <c r="Q330" s="1" t="str">
        <f>IFERROR(__xludf.DUMMYFUNCTION("""COMPUTED_VALUE"""),"ECAC")</f>
        <v>ECAC</v>
      </c>
    </row>
    <row r="331">
      <c r="A331" s="1" t="str">
        <f>IFERROR(__xludf.DUMMYFUNCTION("""COMPUTED_VALUE"""),"BAW480N")</f>
        <v>BAW480N</v>
      </c>
      <c r="B331" s="1" t="str">
        <f>IFERROR(__xludf.DUMMYFUNCTION("""COMPUTED_VALUE"""),"A21N")</f>
        <v>A21N</v>
      </c>
      <c r="C331" s="1" t="str">
        <f>IFERROR(__xludf.DUMMYFUNCTION("""COMPUTED_VALUE"""),"EGLL")</f>
        <v>EGLL</v>
      </c>
      <c r="D331" s="1" t="str">
        <f>IFERROR(__xludf.DUMMYFUNCTION("""COMPUTED_VALUE"""),"LEBL")</f>
        <v>LEBL</v>
      </c>
      <c r="E331" s="1" t="str">
        <f>IFERROR(__xludf.DUMMYFUNCTION("""COMPUTED_VALUE"""),"GTNEA")</f>
        <v>GTNEA</v>
      </c>
      <c r="F331" s="1">
        <f>IFERROR(__xludf.DUMMYFUNCTION("""COMPUTED_VALUE"""),370.0)</f>
        <v>370</v>
      </c>
      <c r="G331" s="7">
        <f>IFERROR(__xludf.DUMMYFUNCTION("""COMPUTED_VALUE"""),0.5770833333333333)</f>
        <v>0.5770833333</v>
      </c>
      <c r="H331" s="1">
        <f>IFERROR(__xludf.DUMMYFUNCTION("""COMPUTED_VALUE"""),22.0)</f>
        <v>22</v>
      </c>
      <c r="I331" s="7">
        <f>IFERROR(__xludf.DUMMYFUNCTION("""COMPUTED_VALUE"""),0.6423611111111112)</f>
        <v>0.6423611111</v>
      </c>
      <c r="J331" s="1" t="str">
        <f>IFERROR(__xludf.DUMMYFUNCTION("""COMPUTED_VALUE"""),"D")</f>
        <v>D</v>
      </c>
      <c r="K331" s="1">
        <f>IFERROR(__xludf.DUMMYFUNCTION("""COMPUTED_VALUE"""),200.0)</f>
        <v>200</v>
      </c>
      <c r="L331" s="7">
        <f>IFERROR(__xludf.DUMMYFUNCTION("""COMPUTED_VALUE"""),0.06527777777777788)</f>
        <v>0.06527777778</v>
      </c>
      <c r="M331" s="7">
        <f>IFERROR(__xludf.DUMMYFUNCTION("""COMPUTED_VALUE"""),0.037291666666666765)</f>
        <v>0.03729166667</v>
      </c>
      <c r="O331" s="9">
        <f>IFERROR(__xludf.DUMMYFUNCTION("""COMPUTED_VALUE"""),742.850000000002)</f>
        <v>742.85</v>
      </c>
      <c r="P331" s="1" t="str">
        <f>IFERROR(__xludf.DUMMYFUNCTION("""COMPUTED_VALUE"""),"BAW")</f>
        <v>BAW</v>
      </c>
      <c r="Q331" s="1" t="str">
        <f>IFERROR(__xludf.DUMMYFUNCTION("""COMPUTED_VALUE"""),"ECAC")</f>
        <v>ECAC</v>
      </c>
    </row>
    <row r="332">
      <c r="A332" s="1" t="str">
        <f>IFERROR(__xludf.DUMMYFUNCTION("""COMPUTED_VALUE"""),"VLG2FA")</f>
        <v>VLG2FA</v>
      </c>
      <c r="B332" s="1" t="str">
        <f>IFERROR(__xludf.DUMMYFUNCTION("""COMPUTED_VALUE"""),"A321")</f>
        <v>A321</v>
      </c>
      <c r="C332" s="1" t="str">
        <f>IFERROR(__xludf.DUMMYFUNCTION("""COMPUTED_VALUE"""),"LEAM")</f>
        <v>LEAM</v>
      </c>
      <c r="D332" s="1" t="str">
        <f>IFERROR(__xludf.DUMMYFUNCTION("""COMPUTED_VALUE"""),"LEBL")</f>
        <v>LEBL</v>
      </c>
      <c r="E332" s="1" t="str">
        <f>IFERROR(__xludf.DUMMYFUNCTION("""COMPUTED_VALUE"""),"ECMQL")</f>
        <v>ECMQL</v>
      </c>
      <c r="F332" s="1">
        <f>IFERROR(__xludf.DUMMYFUNCTION("""COMPUTED_VALUE"""),340.0)</f>
        <v>340</v>
      </c>
      <c r="G332" s="7">
        <f>IFERROR(__xludf.DUMMYFUNCTION("""COMPUTED_VALUE"""),0.6)</f>
        <v>0.6</v>
      </c>
      <c r="H332" s="1">
        <f>IFERROR(__xludf.DUMMYFUNCTION("""COMPUTED_VALUE"""),5.0)</f>
        <v>5</v>
      </c>
      <c r="I332" s="7">
        <f>IFERROR(__xludf.DUMMYFUNCTION("""COMPUTED_VALUE"""),0.6423611111111112)</f>
        <v>0.6423611111</v>
      </c>
      <c r="J332" s="1" t="str">
        <f>IFERROR(__xludf.DUMMYFUNCTION("""COMPUTED_VALUE"""),"D")</f>
        <v>D</v>
      </c>
      <c r="K332" s="1">
        <f>IFERROR(__xludf.DUMMYFUNCTION("""COMPUTED_VALUE"""),207.0)</f>
        <v>207</v>
      </c>
      <c r="L332" s="7">
        <f>IFERROR(__xludf.DUMMYFUNCTION("""COMPUTED_VALUE"""),0.04236111111111118)</f>
        <v>0.04236111111</v>
      </c>
      <c r="M332" s="7">
        <f>IFERROR(__xludf.DUMMYFUNCTION("""COMPUTED_VALUE"""),0.026180555555555624)</f>
        <v>0.02618055556</v>
      </c>
      <c r="O332" s="9">
        <f>IFERROR(__xludf.DUMMYFUNCTION("""COMPUTED_VALUE"""),521.516666666668)</f>
        <v>521.5166667</v>
      </c>
      <c r="P332" s="1" t="str">
        <f>IFERROR(__xludf.DUMMYFUNCTION("""COMPUTED_VALUE"""),"VLG")</f>
        <v>VLG</v>
      </c>
      <c r="Q332" s="1" t="str">
        <f>IFERROR(__xludf.DUMMYFUNCTION("""COMPUTED_VALUE"""),"ECAC")</f>
        <v>ECAC</v>
      </c>
    </row>
    <row r="333">
      <c r="A333" s="1" t="str">
        <f>IFERROR(__xludf.DUMMYFUNCTION("""COMPUTED_VALUE"""),"DNA411")</f>
        <v>DNA411</v>
      </c>
      <c r="B333" s="1" t="str">
        <f>IFERROR(__xludf.DUMMYFUNCTION("""COMPUTED_VALUE"""),"A320")</f>
        <v>A320</v>
      </c>
      <c r="C333" s="1" t="str">
        <f>IFERROR(__xludf.DUMMYFUNCTION("""COMPUTED_VALUE"""),"LRBC")</f>
        <v>LRBC</v>
      </c>
      <c r="D333" s="1" t="str">
        <f>IFERROR(__xludf.DUMMYFUNCTION("""COMPUTED_VALUE"""),"LEBL")</f>
        <v>LEBL</v>
      </c>
      <c r="E333" s="1" t="str">
        <f>IFERROR(__xludf.DUMMYFUNCTION("""COMPUTED_VALUE"""),"YRJUL")</f>
        <v>YRJUL</v>
      </c>
      <c r="F333" s="1">
        <f>IFERROR(__xludf.DUMMYFUNCTION("""COMPUTED_VALUE"""),350.0)</f>
        <v>350</v>
      </c>
      <c r="G333" s="7">
        <f>IFERROR(__xludf.DUMMYFUNCTION("""COMPUTED_VALUE"""),0.5402777777777777)</f>
        <v>0.5402777778</v>
      </c>
      <c r="H333" s="1">
        <f>IFERROR(__xludf.DUMMYFUNCTION("""COMPUTED_VALUE"""),10.0)</f>
        <v>10</v>
      </c>
      <c r="I333" s="7">
        <f>IFERROR(__xludf.DUMMYFUNCTION("""COMPUTED_VALUE"""),0.6458333333333334)</f>
        <v>0.6458333333</v>
      </c>
      <c r="J333" s="1" t="str">
        <f>IFERROR(__xludf.DUMMYFUNCTION("""COMPUTED_VALUE"""),"D")</f>
        <v>D</v>
      </c>
      <c r="K333" s="1">
        <f>IFERROR(__xludf.DUMMYFUNCTION("""COMPUTED_VALUE"""),173.0)</f>
        <v>173</v>
      </c>
      <c r="L333" s="7">
        <f>IFERROR(__xludf.DUMMYFUNCTION("""COMPUTED_VALUE"""),0.10555555555555562)</f>
        <v>0.1055555556</v>
      </c>
      <c r="M333" s="7">
        <f>IFERROR(__xludf.DUMMYFUNCTION("""COMPUTED_VALUE"""),0.08590277777777784)</f>
        <v>0.08590277778</v>
      </c>
      <c r="O333" s="9">
        <f>IFERROR(__xludf.DUMMYFUNCTION("""COMPUTED_VALUE"""),1711.1833333333348)</f>
        <v>1711.183333</v>
      </c>
      <c r="P333" s="1" t="str">
        <f>IFERROR(__xludf.DUMMYFUNCTION("""COMPUTED_VALUE"""),"DNA")</f>
        <v>DNA</v>
      </c>
      <c r="Q333" s="1" t="str">
        <f>IFERROR(__xludf.DUMMYFUNCTION("""COMPUTED_VALUE"""),"NO ECAC")</f>
        <v>NO ECAC</v>
      </c>
    </row>
    <row r="334">
      <c r="A334" s="1" t="str">
        <f>IFERROR(__xludf.DUMMYFUNCTION("""COMPUTED_VALUE"""),"RYR4596")</f>
        <v>RYR4596</v>
      </c>
      <c r="B334" s="1" t="str">
        <f>IFERROR(__xludf.DUMMYFUNCTION("""COMPUTED_VALUE"""),"B738")</f>
        <v>B738</v>
      </c>
      <c r="C334" s="1" t="str">
        <f>IFERROR(__xludf.DUMMYFUNCTION("""COMPUTED_VALUE"""),"LPPR")</f>
        <v>LPPR</v>
      </c>
      <c r="D334" s="1" t="str">
        <f>IFERROR(__xludf.DUMMYFUNCTION("""COMPUTED_VALUE"""),"LEBL")</f>
        <v>LEBL</v>
      </c>
      <c r="E334" s="1" t="str">
        <f>IFERROR(__xludf.DUMMYFUNCTION("""COMPUTED_VALUE"""),"EIEBL")</f>
        <v>EIEBL</v>
      </c>
      <c r="F334" s="1">
        <f>IFERROR(__xludf.DUMMYFUNCTION("""COMPUTED_VALUE"""),320.0)</f>
        <v>320</v>
      </c>
      <c r="G334" s="7">
        <f>IFERROR(__xludf.DUMMYFUNCTION("""COMPUTED_VALUE"""),0.5868055555555556)</f>
        <v>0.5868055556</v>
      </c>
      <c r="H334" s="1">
        <f>IFERROR(__xludf.DUMMYFUNCTION("""COMPUTED_VALUE"""),15.0)</f>
        <v>15</v>
      </c>
      <c r="I334" s="7">
        <f>IFERROR(__xludf.DUMMYFUNCTION("""COMPUTED_VALUE"""),0.6458333333333334)</f>
        <v>0.6458333333</v>
      </c>
      <c r="J334" s="1" t="str">
        <f>IFERROR(__xludf.DUMMYFUNCTION("""COMPUTED_VALUE"""),"D")</f>
        <v>D</v>
      </c>
      <c r="K334" s="1">
        <f>IFERROR(__xludf.DUMMYFUNCTION("""COMPUTED_VALUE"""),184.0)</f>
        <v>184</v>
      </c>
      <c r="L334" s="7">
        <f>IFERROR(__xludf.DUMMYFUNCTION("""COMPUTED_VALUE"""),0.05902777777777779)</f>
        <v>0.05902777778</v>
      </c>
      <c r="M334" s="7">
        <f>IFERROR(__xludf.DUMMYFUNCTION("""COMPUTED_VALUE"""),0.03590277777777779)</f>
        <v>0.03590277778</v>
      </c>
      <c r="O334" s="9">
        <f>IFERROR(__xludf.DUMMYFUNCTION("""COMPUTED_VALUE"""),715.1833333333336)</f>
        <v>715.1833333</v>
      </c>
      <c r="P334" s="1" t="str">
        <f>IFERROR(__xludf.DUMMYFUNCTION("""COMPUTED_VALUE"""),"RYR")</f>
        <v>RYR</v>
      </c>
      <c r="Q334" s="1" t="str">
        <f>IFERROR(__xludf.DUMMYFUNCTION("""COMPUTED_VALUE"""),"ECAC")</f>
        <v>ECAC</v>
      </c>
    </row>
    <row r="335">
      <c r="A335" s="1" t="str">
        <f>IFERROR(__xludf.DUMMYFUNCTION("""COMPUTED_VALUE"""),"SWR1958")</f>
        <v>SWR1958</v>
      </c>
      <c r="B335" s="1" t="str">
        <f>IFERROR(__xludf.DUMMYFUNCTION("""COMPUTED_VALUE"""),"A321")</f>
        <v>A321</v>
      </c>
      <c r="C335" s="1" t="str">
        <f>IFERROR(__xludf.DUMMYFUNCTION("""COMPUTED_VALUE"""),"LSZH")</f>
        <v>LSZH</v>
      </c>
      <c r="D335" s="1" t="str">
        <f>IFERROR(__xludf.DUMMYFUNCTION("""COMPUTED_VALUE"""),"LEBL")</f>
        <v>LEBL</v>
      </c>
      <c r="E335" s="1" t="str">
        <f>IFERROR(__xludf.DUMMYFUNCTION("""COMPUTED_VALUE"""),"HBIOH")</f>
        <v>HBIOH</v>
      </c>
      <c r="F335" s="1">
        <f>IFERROR(__xludf.DUMMYFUNCTION("""COMPUTED_VALUE"""),330.0)</f>
        <v>330</v>
      </c>
      <c r="G335" s="7">
        <f>IFERROR(__xludf.DUMMYFUNCTION("""COMPUTED_VALUE"""),0.5923611111111111)</f>
        <v>0.5923611111</v>
      </c>
      <c r="H335" s="1">
        <f>IFERROR(__xludf.DUMMYFUNCTION("""COMPUTED_VALUE"""),13.0)</f>
        <v>13</v>
      </c>
      <c r="I335" s="7">
        <f>IFERROR(__xludf.DUMMYFUNCTION("""COMPUTED_VALUE"""),0.6458333333333334)</f>
        <v>0.6458333333</v>
      </c>
      <c r="J335" s="1" t="str">
        <f>IFERROR(__xludf.DUMMYFUNCTION("""COMPUTED_VALUE"""),"D")</f>
        <v>D</v>
      </c>
      <c r="K335" s="1">
        <f>IFERROR(__xludf.DUMMYFUNCTION("""COMPUTED_VALUE"""),207.0)</f>
        <v>207</v>
      </c>
      <c r="L335" s="7">
        <f>IFERROR(__xludf.DUMMYFUNCTION("""COMPUTED_VALUE"""),0.053472222222222254)</f>
        <v>0.05347222222</v>
      </c>
      <c r="M335" s="7">
        <f>IFERROR(__xludf.DUMMYFUNCTION("""COMPUTED_VALUE"""),0.031736111111111145)</f>
        <v>0.03173611111</v>
      </c>
      <c r="O335" s="9">
        <f>IFERROR(__xludf.DUMMYFUNCTION("""COMPUTED_VALUE"""),632.183333333334)</f>
        <v>632.1833333</v>
      </c>
      <c r="P335" s="1" t="str">
        <f>IFERROR(__xludf.DUMMYFUNCTION("""COMPUTED_VALUE"""),"SWR")</f>
        <v>SWR</v>
      </c>
      <c r="Q335" s="1" t="str">
        <f>IFERROR(__xludf.DUMMYFUNCTION("""COMPUTED_VALUE"""),"ECAC")</f>
        <v>ECAC</v>
      </c>
    </row>
    <row r="336">
      <c r="A336" s="1" t="str">
        <f>IFERROR(__xludf.DUMMYFUNCTION("""COMPUTED_VALUE"""),"DLH03H")</f>
        <v>DLH03H</v>
      </c>
      <c r="B336" s="1" t="str">
        <f>IFERROR(__xludf.DUMMYFUNCTION("""COMPUTED_VALUE"""),"BCS3")</f>
        <v>BCS3</v>
      </c>
      <c r="C336" s="1" t="str">
        <f>IFERROR(__xludf.DUMMYFUNCTION("""COMPUTED_VALUE"""),"EDDM")</f>
        <v>EDDM</v>
      </c>
      <c r="D336" s="1" t="str">
        <f>IFERROR(__xludf.DUMMYFUNCTION("""COMPUTED_VALUE"""),"LEBL")</f>
        <v>LEBL</v>
      </c>
      <c r="E336" s="1" t="str">
        <f>IFERROR(__xludf.DUMMYFUNCTION("""COMPUTED_VALUE"""),"YLABR")</f>
        <v>YLABR</v>
      </c>
      <c r="F336" s="1">
        <f>IFERROR(__xludf.DUMMYFUNCTION("""COMPUTED_VALUE"""),350.0)</f>
        <v>350</v>
      </c>
      <c r="G336" s="7">
        <f>IFERROR(__xludf.DUMMYFUNCTION("""COMPUTED_VALUE"""),0.58125)</f>
        <v>0.58125</v>
      </c>
      <c r="H336" s="1">
        <f>IFERROR(__xludf.DUMMYFUNCTION("""COMPUTED_VALUE"""),12.0)</f>
        <v>12</v>
      </c>
      <c r="I336" s="7">
        <f>IFERROR(__xludf.DUMMYFUNCTION("""COMPUTED_VALUE"""),0.6493055555555556)</f>
        <v>0.6493055556</v>
      </c>
      <c r="J336" s="1" t="str">
        <f>IFERROR(__xludf.DUMMYFUNCTION("""COMPUTED_VALUE"""),"D")</f>
        <v>D</v>
      </c>
      <c r="K336" s="1">
        <f>IFERROR(__xludf.DUMMYFUNCTION("""COMPUTED_VALUE"""),148.0)</f>
        <v>148</v>
      </c>
      <c r="L336" s="7">
        <f>IFERROR(__xludf.DUMMYFUNCTION("""COMPUTED_VALUE"""),0.06805555555555554)</f>
        <v>0.06805555556</v>
      </c>
      <c r="M336" s="7">
        <f>IFERROR(__xludf.DUMMYFUNCTION("""COMPUTED_VALUE"""),0.04701388888888887)</f>
        <v>0.04701388889</v>
      </c>
      <c r="O336" s="9">
        <f>IFERROR(__xludf.DUMMYFUNCTION("""COMPUTED_VALUE"""),936.5166666666663)</f>
        <v>936.5166667</v>
      </c>
      <c r="P336" s="1" t="str">
        <f>IFERROR(__xludf.DUMMYFUNCTION("""COMPUTED_VALUE"""),"DLH")</f>
        <v>DLH</v>
      </c>
      <c r="Q336" s="1" t="str">
        <f>IFERROR(__xludf.DUMMYFUNCTION("""COMPUTED_VALUE"""),"ECAC")</f>
        <v>ECAC</v>
      </c>
    </row>
    <row r="337">
      <c r="A337" s="1" t="str">
        <f>IFERROR(__xludf.DUMMYFUNCTION("""COMPUTED_VALUE"""),"ABR294")</f>
        <v>ABR294</v>
      </c>
      <c r="B337" s="1" t="str">
        <f>IFERROR(__xludf.DUMMYFUNCTION("""COMPUTED_VALUE"""),"B738")</f>
        <v>B738</v>
      </c>
      <c r="C337" s="1" t="str">
        <f>IFERROR(__xludf.DUMMYFUNCTION("""COMPUTED_VALUE"""),"EDDP")</f>
        <v>EDDP</v>
      </c>
      <c r="D337" s="1" t="str">
        <f>IFERROR(__xludf.DUMMYFUNCTION("""COMPUTED_VALUE"""),"LEBL")</f>
        <v>LEBL</v>
      </c>
      <c r="E337" s="1" t="str">
        <f>IFERROR(__xludf.DUMMYFUNCTION("""COMPUTED_VALUE"""),"EIAZG")</f>
        <v>EIAZG</v>
      </c>
      <c r="F337" s="1">
        <f>IFERROR(__xludf.DUMMYFUNCTION("""COMPUTED_VALUE"""),370.0)</f>
        <v>370</v>
      </c>
      <c r="G337" s="7">
        <f>IFERROR(__xludf.DUMMYFUNCTION("""COMPUTED_VALUE"""),0.5798611111111112)</f>
        <v>0.5798611111</v>
      </c>
      <c r="H337" s="1">
        <f>IFERROR(__xludf.DUMMYFUNCTION("""COMPUTED_VALUE"""),10.0)</f>
        <v>10</v>
      </c>
      <c r="I337" s="7">
        <f>IFERROR(__xludf.DUMMYFUNCTION("""COMPUTED_VALUE"""),0.6527777777777778)</f>
        <v>0.6527777778</v>
      </c>
      <c r="J337" s="1" t="str">
        <f>IFERROR(__xludf.DUMMYFUNCTION("""COMPUTED_VALUE"""),"D")</f>
        <v>D</v>
      </c>
      <c r="K337" s="1">
        <f>IFERROR(__xludf.DUMMYFUNCTION("""COMPUTED_VALUE"""),184.0)</f>
        <v>184</v>
      </c>
      <c r="L337" s="7">
        <f>IFERROR(__xludf.DUMMYFUNCTION("""COMPUTED_VALUE"""),0.07291666666666663)</f>
        <v>0.07291666667</v>
      </c>
      <c r="M337" s="7">
        <f>IFERROR(__xludf.DUMMYFUNCTION("""COMPUTED_VALUE"""),0.05326388888888885)</f>
        <v>0.05326388889</v>
      </c>
      <c r="O337" s="9">
        <f>IFERROR(__xludf.DUMMYFUNCTION("""COMPUTED_VALUE"""),1061.016666666666)</f>
        <v>1061.016667</v>
      </c>
      <c r="P337" s="1" t="str">
        <f>IFERROR(__xludf.DUMMYFUNCTION("""COMPUTED_VALUE"""),"ABR")</f>
        <v>ABR</v>
      </c>
      <c r="Q337" s="1" t="str">
        <f>IFERROR(__xludf.DUMMYFUNCTION("""COMPUTED_VALUE"""),"ECAC")</f>
        <v>ECAC</v>
      </c>
    </row>
    <row r="338">
      <c r="A338" s="1" t="str">
        <f>IFERROR(__xludf.DUMMYFUNCTION("""COMPUTED_VALUE"""),"ULC44")</f>
        <v>ULC44</v>
      </c>
      <c r="B338" s="1" t="str">
        <f>IFERROR(__xludf.DUMMYFUNCTION("""COMPUTED_VALUE"""),"C68A")</f>
        <v>C68A</v>
      </c>
      <c r="C338" s="1" t="str">
        <f>IFERROR(__xludf.DUMMYFUNCTION("""COMPUTED_VALUE"""),"LFTZ")</f>
        <v>LFTZ</v>
      </c>
      <c r="D338" s="1" t="str">
        <f>IFERROR(__xludf.DUMMYFUNCTION("""COMPUTED_VALUE"""),"LEBL")</f>
        <v>LEBL</v>
      </c>
      <c r="E338" s="1" t="str">
        <f>IFERROR(__xludf.DUMMYFUNCTION("""COMPUTED_VALUE"""),"9HAOA")</f>
        <v>9HAOA</v>
      </c>
      <c r="F338" s="1">
        <f>IFERROR(__xludf.DUMMYFUNCTION("""COMPUTED_VALUE"""),290.0)</f>
        <v>290</v>
      </c>
      <c r="G338" s="7">
        <f>IFERROR(__xludf.DUMMYFUNCTION("""COMPUTED_VALUE"""),0.6236111111111111)</f>
        <v>0.6236111111</v>
      </c>
      <c r="H338" s="1">
        <f>IFERROR(__xludf.DUMMYFUNCTION("""COMPUTED_VALUE"""),2.0)</f>
        <v>2</v>
      </c>
      <c r="I338" s="7">
        <f>IFERROR(__xludf.DUMMYFUNCTION("""COMPUTED_VALUE"""),0.65625)</f>
        <v>0.65625</v>
      </c>
      <c r="J338" s="1" t="str">
        <f>IFERROR(__xludf.DUMMYFUNCTION("""COMPUTED_VALUE"""),"F")</f>
        <v>F</v>
      </c>
      <c r="K338" s="1">
        <f>IFERROR(__xludf.DUMMYFUNCTION("""COMPUTED_VALUE"""),9.0)</f>
        <v>9</v>
      </c>
      <c r="L338" s="7">
        <f>IFERROR(__xludf.DUMMYFUNCTION("""COMPUTED_VALUE"""),0.032638888888888884)</f>
        <v>0.03263888889</v>
      </c>
      <c r="M338" s="7">
        <f>IFERROR(__xludf.DUMMYFUNCTION("""COMPUTED_VALUE"""),0.01854166666666666)</f>
        <v>0.01854166667</v>
      </c>
      <c r="O338" s="9">
        <f>IFERROR(__xludf.DUMMYFUNCTION("""COMPUTED_VALUE"""),80.09999999999997)</f>
        <v>80.1</v>
      </c>
      <c r="P338" s="1" t="str">
        <f>IFERROR(__xludf.DUMMYFUNCTION("""COMPUTED_VALUE"""),"ULC")</f>
        <v>ULC</v>
      </c>
      <c r="Q338" s="1" t="str">
        <f>IFERROR(__xludf.DUMMYFUNCTION("""COMPUTED_VALUE"""),"NO ECAC")</f>
        <v>NO ECAC</v>
      </c>
    </row>
    <row r="339">
      <c r="A339" s="1" t="str">
        <f>IFERROR(__xludf.DUMMYFUNCTION("""COMPUTED_VALUE"""),"DLH54C")</f>
        <v>DLH54C</v>
      </c>
      <c r="B339" s="1" t="str">
        <f>IFERROR(__xludf.DUMMYFUNCTION("""COMPUTED_VALUE"""),"A321")</f>
        <v>A321</v>
      </c>
      <c r="C339" s="1" t="str">
        <f>IFERROR(__xludf.DUMMYFUNCTION("""COMPUTED_VALUE"""),"EDDF")</f>
        <v>EDDF</v>
      </c>
      <c r="D339" s="1" t="str">
        <f>IFERROR(__xludf.DUMMYFUNCTION("""COMPUTED_VALUE"""),"LEBL")</f>
        <v>LEBL</v>
      </c>
      <c r="E339" s="1" t="str">
        <f>IFERROR(__xludf.DUMMYFUNCTION("""COMPUTED_VALUE"""),"DAISR")</f>
        <v>DAISR</v>
      </c>
      <c r="F339" s="1">
        <f>IFERROR(__xludf.DUMMYFUNCTION("""COMPUTED_VALUE"""),370.0)</f>
        <v>370</v>
      </c>
      <c r="G339" s="7">
        <f>IFERROR(__xludf.DUMMYFUNCTION("""COMPUTED_VALUE"""),0.5993055555555555)</f>
        <v>0.5993055556</v>
      </c>
      <c r="H339" s="1">
        <f>IFERROR(__xludf.DUMMYFUNCTION("""COMPUTED_VALUE"""),14.0)</f>
        <v>14</v>
      </c>
      <c r="I339" s="7">
        <f>IFERROR(__xludf.DUMMYFUNCTION("""COMPUTED_VALUE"""),0.65625)</f>
        <v>0.65625</v>
      </c>
      <c r="J339" s="1" t="str">
        <f>IFERROR(__xludf.DUMMYFUNCTION("""COMPUTED_VALUE"""),"D")</f>
        <v>D</v>
      </c>
      <c r="K339" s="1">
        <f>IFERROR(__xludf.DUMMYFUNCTION("""COMPUTED_VALUE"""),207.0)</f>
        <v>207</v>
      </c>
      <c r="L339" s="7">
        <f>IFERROR(__xludf.DUMMYFUNCTION("""COMPUTED_VALUE"""),0.056944444444444464)</f>
        <v>0.05694444444</v>
      </c>
      <c r="M339" s="7">
        <f>IFERROR(__xludf.DUMMYFUNCTION("""COMPUTED_VALUE"""),0.034513888888888906)</f>
        <v>0.03451388889</v>
      </c>
      <c r="O339" s="9">
        <f>IFERROR(__xludf.DUMMYFUNCTION("""COMPUTED_VALUE"""),687.5166666666671)</f>
        <v>687.5166667</v>
      </c>
      <c r="P339" s="1" t="str">
        <f>IFERROR(__xludf.DUMMYFUNCTION("""COMPUTED_VALUE"""),"DLH")</f>
        <v>DLH</v>
      </c>
      <c r="Q339" s="1" t="str">
        <f>IFERROR(__xludf.DUMMYFUNCTION("""COMPUTED_VALUE"""),"ECAC")</f>
        <v>ECAC</v>
      </c>
    </row>
    <row r="340">
      <c r="A340" s="1" t="str">
        <f>IFERROR(__xludf.DUMMYFUNCTION("""COMPUTED_VALUE"""),"VLG97CV")</f>
        <v>VLG97CV</v>
      </c>
      <c r="B340" s="1" t="str">
        <f>IFERROR(__xludf.DUMMYFUNCTION("""COMPUTED_VALUE"""),"A320")</f>
        <v>A320</v>
      </c>
      <c r="C340" s="1" t="str">
        <f>IFERROR(__xludf.DUMMYFUNCTION("""COMPUTED_VALUE"""),"EGKK")</f>
        <v>EGKK</v>
      </c>
      <c r="D340" s="1" t="str">
        <f>IFERROR(__xludf.DUMMYFUNCTION("""COMPUTED_VALUE"""),"LEBL")</f>
        <v>LEBL</v>
      </c>
      <c r="E340" s="1" t="str">
        <f>IFERROR(__xludf.DUMMYFUNCTION("""COMPUTED_VALUE"""),"ECOKH")</f>
        <v>ECOKH</v>
      </c>
      <c r="F340" s="1">
        <f>IFERROR(__xludf.DUMMYFUNCTION("""COMPUTED_VALUE"""),370.0)</f>
        <v>370</v>
      </c>
      <c r="G340" s="7">
        <f>IFERROR(__xludf.DUMMYFUNCTION("""COMPUTED_VALUE"""),0.5979166666666667)</f>
        <v>0.5979166667</v>
      </c>
      <c r="H340" s="1">
        <f>IFERROR(__xludf.DUMMYFUNCTION("""COMPUTED_VALUE"""),20.0)</f>
        <v>20</v>
      </c>
      <c r="I340" s="7">
        <f>IFERROR(__xludf.DUMMYFUNCTION("""COMPUTED_VALUE"""),0.6597222222222222)</f>
        <v>0.6597222222</v>
      </c>
      <c r="J340" s="1" t="str">
        <f>IFERROR(__xludf.DUMMYFUNCTION("""COMPUTED_VALUE"""),"D")</f>
        <v>D</v>
      </c>
      <c r="K340" s="1">
        <f>IFERROR(__xludf.DUMMYFUNCTION("""COMPUTED_VALUE"""),173.0)</f>
        <v>173</v>
      </c>
      <c r="L340" s="7">
        <f>IFERROR(__xludf.DUMMYFUNCTION("""COMPUTED_VALUE"""),0.06180555555555556)</f>
        <v>0.06180555556</v>
      </c>
      <c r="M340" s="7">
        <f>IFERROR(__xludf.DUMMYFUNCTION("""COMPUTED_VALUE"""),0.035208333333333335)</f>
        <v>0.03520833333</v>
      </c>
      <c r="O340" s="9">
        <f>IFERROR(__xludf.DUMMYFUNCTION("""COMPUTED_VALUE"""),701.35)</f>
        <v>701.35</v>
      </c>
      <c r="P340" s="1" t="str">
        <f>IFERROR(__xludf.DUMMYFUNCTION("""COMPUTED_VALUE"""),"VLG")</f>
        <v>VLG</v>
      </c>
      <c r="Q340" s="1" t="str">
        <f>IFERROR(__xludf.DUMMYFUNCTION("""COMPUTED_VALUE"""),"ECAC")</f>
        <v>ECAC</v>
      </c>
    </row>
    <row r="341">
      <c r="A341" s="1" t="str">
        <f>IFERROR(__xludf.DUMMYFUNCTION("""COMPUTED_VALUE"""),"EJU59AT")</f>
        <v>EJU59AT</v>
      </c>
      <c r="B341" s="1" t="str">
        <f>IFERROR(__xludf.DUMMYFUNCTION("""COMPUTED_VALUE"""),"A319")</f>
        <v>A319</v>
      </c>
      <c r="C341" s="1" t="str">
        <f>IFERROR(__xludf.DUMMYFUNCTION("""COMPUTED_VALUE"""),"EDDB")</f>
        <v>EDDB</v>
      </c>
      <c r="D341" s="1" t="str">
        <f>IFERROR(__xludf.DUMMYFUNCTION("""COMPUTED_VALUE"""),"LEBL")</f>
        <v>LEBL</v>
      </c>
      <c r="E341" s="1" t="str">
        <f>IFERROR(__xludf.DUMMYFUNCTION("""COMPUTED_VALUE"""),"OELKC")</f>
        <v>OELKC</v>
      </c>
      <c r="F341" s="1">
        <f>IFERROR(__xludf.DUMMYFUNCTION("""COMPUTED_VALUE"""),370.0)</f>
        <v>370</v>
      </c>
      <c r="G341" s="7">
        <f>IFERROR(__xludf.DUMMYFUNCTION("""COMPUTED_VALUE"""),0.5777777777777777)</f>
        <v>0.5777777778</v>
      </c>
      <c r="H341" s="1">
        <f>IFERROR(__xludf.DUMMYFUNCTION("""COMPUTED_VALUE"""),7.0)</f>
        <v>7</v>
      </c>
      <c r="I341" s="7">
        <f>IFERROR(__xludf.DUMMYFUNCTION("""COMPUTED_VALUE"""),0.6597222222222222)</f>
        <v>0.6597222222</v>
      </c>
      <c r="J341" s="1" t="str">
        <f>IFERROR(__xludf.DUMMYFUNCTION("""COMPUTED_VALUE"""),"D")</f>
        <v>D</v>
      </c>
      <c r="K341" s="1">
        <f>IFERROR(__xludf.DUMMYFUNCTION("""COMPUTED_VALUE"""),144.0)</f>
        <v>144</v>
      </c>
      <c r="L341" s="7">
        <f>IFERROR(__xludf.DUMMYFUNCTION("""COMPUTED_VALUE"""),0.08194444444444449)</f>
        <v>0.08194444444</v>
      </c>
      <c r="M341" s="7">
        <f>IFERROR(__xludf.DUMMYFUNCTION("""COMPUTED_VALUE"""),0.06437500000000004)</f>
        <v>0.064375</v>
      </c>
      <c r="O341" s="9">
        <f>IFERROR(__xludf.DUMMYFUNCTION("""COMPUTED_VALUE"""),1282.3500000000008)</f>
        <v>1282.35</v>
      </c>
      <c r="P341" s="1" t="str">
        <f>IFERROR(__xludf.DUMMYFUNCTION("""COMPUTED_VALUE"""),"EJU")</f>
        <v>EJU</v>
      </c>
      <c r="Q341" s="1" t="str">
        <f>IFERROR(__xludf.DUMMYFUNCTION("""COMPUTED_VALUE"""),"ECAC")</f>
        <v>ECAC</v>
      </c>
    </row>
    <row r="342">
      <c r="A342" s="1" t="str">
        <f>IFERROR(__xludf.DUMMYFUNCTION("""COMPUTED_VALUE"""),"VLG4CT")</f>
        <v>VLG4CT</v>
      </c>
      <c r="B342" s="1" t="str">
        <f>IFERROR(__xludf.DUMMYFUNCTION("""COMPUTED_VALUE"""),"A320")</f>
        <v>A320</v>
      </c>
      <c r="C342" s="1" t="str">
        <f>IFERROR(__xludf.DUMMYFUNCTION("""COMPUTED_VALUE"""),"LSZH")</f>
        <v>LSZH</v>
      </c>
      <c r="D342" s="1" t="str">
        <f>IFERROR(__xludf.DUMMYFUNCTION("""COMPUTED_VALUE"""),"LEBL")</f>
        <v>LEBL</v>
      </c>
      <c r="E342" s="1" t="str">
        <f>IFERROR(__xludf.DUMMYFUNCTION("""COMPUTED_VALUE"""),"ECMBE")</f>
        <v>ECMBE</v>
      </c>
      <c r="F342" s="1">
        <f>IFERROR(__xludf.DUMMYFUNCTION("""COMPUTED_VALUE"""),350.0)</f>
        <v>350</v>
      </c>
      <c r="G342" s="7">
        <f>IFERROR(__xludf.DUMMYFUNCTION("""COMPUTED_VALUE"""),0.6083333333333333)</f>
        <v>0.6083333333</v>
      </c>
      <c r="H342" s="1">
        <f>IFERROR(__xludf.DUMMYFUNCTION("""COMPUTED_VALUE"""),11.0)</f>
        <v>11</v>
      </c>
      <c r="I342" s="7">
        <f>IFERROR(__xludf.DUMMYFUNCTION("""COMPUTED_VALUE"""),0.6597222222222222)</f>
        <v>0.6597222222</v>
      </c>
      <c r="J342" s="1" t="str">
        <f>IFERROR(__xludf.DUMMYFUNCTION("""COMPUTED_VALUE"""),"D")</f>
        <v>D</v>
      </c>
      <c r="K342" s="1">
        <f>IFERROR(__xludf.DUMMYFUNCTION("""COMPUTED_VALUE"""),173.0)</f>
        <v>173</v>
      </c>
      <c r="L342" s="7">
        <f>IFERROR(__xludf.DUMMYFUNCTION("""COMPUTED_VALUE"""),0.05138888888888893)</f>
        <v>0.05138888889</v>
      </c>
      <c r="M342" s="7">
        <f>IFERROR(__xludf.DUMMYFUNCTION("""COMPUTED_VALUE"""),0.031041666666666703)</f>
        <v>0.03104166667</v>
      </c>
      <c r="O342" s="9">
        <f>IFERROR(__xludf.DUMMYFUNCTION("""COMPUTED_VALUE"""),618.3500000000007)</f>
        <v>618.35</v>
      </c>
      <c r="P342" s="1" t="str">
        <f>IFERROR(__xludf.DUMMYFUNCTION("""COMPUTED_VALUE"""),"VLG")</f>
        <v>VLG</v>
      </c>
      <c r="Q342" s="1" t="str">
        <f>IFERROR(__xludf.DUMMYFUNCTION("""COMPUTED_VALUE"""),"ECAC")</f>
        <v>ECAC</v>
      </c>
    </row>
    <row r="343">
      <c r="A343" s="1" t="str">
        <f>IFERROR(__xludf.DUMMYFUNCTION("""COMPUTED_VALUE"""),"IBE04VH")</f>
        <v>IBE04VH</v>
      </c>
      <c r="B343" s="1" t="str">
        <f>IFERROR(__xludf.DUMMYFUNCTION("""COMPUTED_VALUE"""),"A321")</f>
        <v>A321</v>
      </c>
      <c r="C343" s="1" t="str">
        <f>IFERROR(__xludf.DUMMYFUNCTION("""COMPUTED_VALUE"""),"LEMD")</f>
        <v>LEMD</v>
      </c>
      <c r="D343" s="1" t="str">
        <f>IFERROR(__xludf.DUMMYFUNCTION("""COMPUTED_VALUE"""),"LEBL")</f>
        <v>LEBL</v>
      </c>
      <c r="E343" s="1" t="str">
        <f>IFERROR(__xludf.DUMMYFUNCTION("""COMPUTED_VALUE"""),"ECHUH")</f>
        <v>ECHUH</v>
      </c>
      <c r="F343" s="1">
        <f>IFERROR(__xludf.DUMMYFUNCTION("""COMPUTED_VALUE"""),280.0)</f>
        <v>280</v>
      </c>
      <c r="G343" s="7">
        <f>IFERROR(__xludf.DUMMYFUNCTION("""COMPUTED_VALUE"""),0.6034722222222222)</f>
        <v>0.6034722222</v>
      </c>
      <c r="H343" s="1">
        <f>IFERROR(__xludf.DUMMYFUNCTION("""COMPUTED_VALUE"""),16.0)</f>
        <v>16</v>
      </c>
      <c r="I343" s="7">
        <f>IFERROR(__xludf.DUMMYFUNCTION("""COMPUTED_VALUE"""),0.6631944444444444)</f>
        <v>0.6631944444</v>
      </c>
      <c r="J343" s="1" t="str">
        <f>IFERROR(__xludf.DUMMYFUNCTION("""COMPUTED_VALUE"""),"D")</f>
        <v>D</v>
      </c>
      <c r="K343" s="1">
        <f>IFERROR(__xludf.DUMMYFUNCTION("""COMPUTED_VALUE"""),207.0)</f>
        <v>207</v>
      </c>
      <c r="L343" s="7">
        <f>IFERROR(__xludf.DUMMYFUNCTION("""COMPUTED_VALUE"""),0.05972222222222223)</f>
        <v>0.05972222222</v>
      </c>
      <c r="M343" s="7">
        <f>IFERROR(__xludf.DUMMYFUNCTION("""COMPUTED_VALUE"""),0.03590277777777778)</f>
        <v>0.03590277778</v>
      </c>
      <c r="O343" s="9">
        <f>IFERROR(__xludf.DUMMYFUNCTION("""COMPUTED_VALUE"""),715.1833333333334)</f>
        <v>715.1833333</v>
      </c>
      <c r="P343" s="1" t="str">
        <f>IFERROR(__xludf.DUMMYFUNCTION("""COMPUTED_VALUE"""),"IBE")</f>
        <v>IBE</v>
      </c>
      <c r="Q343" s="1" t="str">
        <f>IFERROR(__xludf.DUMMYFUNCTION("""COMPUTED_VALUE"""),"ECAC")</f>
        <v>ECAC</v>
      </c>
    </row>
    <row r="344">
      <c r="A344" s="1" t="str">
        <f>IFERROR(__xludf.DUMMYFUNCTION("""COMPUTED_VALUE"""),"AIZ271")</f>
        <v>AIZ271</v>
      </c>
      <c r="B344" s="1" t="str">
        <f>IFERROR(__xludf.DUMMYFUNCTION("""COMPUTED_VALUE"""),"A21N")</f>
        <v>A21N</v>
      </c>
      <c r="C344" s="1" t="str">
        <f>IFERROR(__xludf.DUMMYFUNCTION("""COMPUTED_VALUE"""),"LLBG")</f>
        <v>LLBG</v>
      </c>
      <c r="D344" s="1" t="str">
        <f>IFERROR(__xludf.DUMMYFUNCTION("""COMPUTED_VALUE"""),"LEBL")</f>
        <v>LEBL</v>
      </c>
      <c r="E344" s="1" t="str">
        <f>IFERROR(__xludf.DUMMYFUNCTION("""COMPUTED_VALUE"""),"4XAGK")</f>
        <v>4XAGK</v>
      </c>
      <c r="F344" s="1">
        <f>IFERROR(__xludf.DUMMYFUNCTION("""COMPUTED_VALUE"""),350.0)</f>
        <v>350</v>
      </c>
      <c r="G344" s="7">
        <f>IFERROR(__xludf.DUMMYFUNCTION("""COMPUTED_VALUE"""),0.5076388888888889)</f>
        <v>0.5076388889</v>
      </c>
      <c r="H344" s="1">
        <f>IFERROR(__xludf.DUMMYFUNCTION("""COMPUTED_VALUE"""),15.0)</f>
        <v>15</v>
      </c>
      <c r="I344" s="7">
        <f>IFERROR(__xludf.DUMMYFUNCTION("""COMPUTED_VALUE"""),0.6666666666666666)</f>
        <v>0.6666666667</v>
      </c>
      <c r="J344" s="1" t="str">
        <f>IFERROR(__xludf.DUMMYFUNCTION("""COMPUTED_VALUE"""),"D")</f>
        <v>D</v>
      </c>
      <c r="K344" s="1">
        <f>IFERROR(__xludf.DUMMYFUNCTION("""COMPUTED_VALUE"""),200.0)</f>
        <v>200</v>
      </c>
      <c r="L344" s="7">
        <f>IFERROR(__xludf.DUMMYFUNCTION("""COMPUTED_VALUE"""),0.15902777777777777)</f>
        <v>0.1590277778</v>
      </c>
      <c r="M344" s="7">
        <f>IFERROR(__xludf.DUMMYFUNCTION("""COMPUTED_VALUE"""),0.1359027777777778)</f>
        <v>0.1359027778</v>
      </c>
      <c r="O344" s="9">
        <f>IFERROR(__xludf.DUMMYFUNCTION("""COMPUTED_VALUE"""),2707.1833333333334)</f>
        <v>2707.183333</v>
      </c>
      <c r="P344" s="1" t="str">
        <f>IFERROR(__xludf.DUMMYFUNCTION("""COMPUTED_VALUE"""),"AIZ")</f>
        <v>AIZ</v>
      </c>
      <c r="Q344" s="1" t="str">
        <f>IFERROR(__xludf.DUMMYFUNCTION("""COMPUTED_VALUE"""),"NO ECAC")</f>
        <v>NO ECAC</v>
      </c>
    </row>
    <row r="345">
      <c r="A345" s="1" t="str">
        <f>IFERROR(__xludf.DUMMYFUNCTION("""COMPUTED_VALUE"""),"VLG3707")</f>
        <v>VLG3707</v>
      </c>
      <c r="B345" s="1" t="str">
        <f>IFERROR(__xludf.DUMMYFUNCTION("""COMPUTED_VALUE"""),"A321")</f>
        <v>A321</v>
      </c>
      <c r="C345" s="1" t="str">
        <f>IFERROR(__xludf.DUMMYFUNCTION("""COMPUTED_VALUE"""),"LEMH")</f>
        <v>LEMH</v>
      </c>
      <c r="D345" s="1" t="str">
        <f>IFERROR(__xludf.DUMMYFUNCTION("""COMPUTED_VALUE"""),"LEBL")</f>
        <v>LEBL</v>
      </c>
      <c r="E345" s="1" t="str">
        <f>IFERROR(__xludf.DUMMYFUNCTION("""COMPUTED_VALUE"""),"ECMMH")</f>
        <v>ECMMH</v>
      </c>
      <c r="F345" s="1">
        <f>IFERROR(__xludf.DUMMYFUNCTION("""COMPUTED_VALUE"""),180.0)</f>
        <v>180</v>
      </c>
      <c r="G345" s="7">
        <f>IFERROR(__xludf.DUMMYFUNCTION("""COMPUTED_VALUE"""),0.6590277777777778)</f>
        <v>0.6590277778</v>
      </c>
      <c r="H345" s="1">
        <f>IFERROR(__xludf.DUMMYFUNCTION("""COMPUTED_VALUE"""),10.0)</f>
        <v>10</v>
      </c>
      <c r="I345" s="7">
        <f>IFERROR(__xludf.DUMMYFUNCTION("""COMPUTED_VALUE"""),0.6736111111111112)</f>
        <v>0.6736111111</v>
      </c>
      <c r="J345" s="1" t="str">
        <f>IFERROR(__xludf.DUMMYFUNCTION("""COMPUTED_VALUE"""),"D")</f>
        <v>D</v>
      </c>
      <c r="K345" s="1">
        <f>IFERROR(__xludf.DUMMYFUNCTION("""COMPUTED_VALUE"""),207.0)</f>
        <v>207</v>
      </c>
      <c r="L345" s="7">
        <f>IFERROR(__xludf.DUMMYFUNCTION("""COMPUTED_VALUE"""),0.014583333333333393)</f>
        <v>0.01458333333</v>
      </c>
      <c r="M345" s="7">
        <f>IFERROR(__xludf.DUMMYFUNCTION("""COMPUTED_VALUE"""),0.0076388888888889485)</f>
        <v>0.007638888889</v>
      </c>
      <c r="O345" s="9">
        <f>IFERROR(__xludf.DUMMYFUNCTION("""COMPUTED_VALUE"""),152.16666666666785)</f>
        <v>152.1666667</v>
      </c>
      <c r="P345" s="1" t="str">
        <f>IFERROR(__xludf.DUMMYFUNCTION("""COMPUTED_VALUE"""),"VLG")</f>
        <v>VLG</v>
      </c>
      <c r="Q345" s="1" t="str">
        <f>IFERROR(__xludf.DUMMYFUNCTION("""COMPUTED_VALUE"""),"ECAC")</f>
        <v>ECAC</v>
      </c>
    </row>
    <row r="346">
      <c r="A346" s="1" t="str">
        <f>IFERROR(__xludf.DUMMYFUNCTION("""COMPUTED_VALUE"""),"AFR88WR")</f>
        <v>AFR88WR</v>
      </c>
      <c r="B346" s="1" t="str">
        <f>IFERROR(__xludf.DUMMYFUNCTION("""COMPUTED_VALUE"""),"A321")</f>
        <v>A321</v>
      </c>
      <c r="C346" s="1" t="str">
        <f>IFERROR(__xludf.DUMMYFUNCTION("""COMPUTED_VALUE"""),"LFPG")</f>
        <v>LFPG</v>
      </c>
      <c r="D346" s="1" t="str">
        <f>IFERROR(__xludf.DUMMYFUNCTION("""COMPUTED_VALUE"""),"LEBL")</f>
        <v>LEBL</v>
      </c>
      <c r="E346" s="1" t="str">
        <f>IFERROR(__xludf.DUMMYFUNCTION("""COMPUTED_VALUE"""),"FGTAQ")</f>
        <v>FGTAQ</v>
      </c>
      <c r="F346" s="1">
        <f>IFERROR(__xludf.DUMMYFUNCTION("""COMPUTED_VALUE"""),370.0)</f>
        <v>370</v>
      </c>
      <c r="G346" s="7">
        <f>IFERROR(__xludf.DUMMYFUNCTION("""COMPUTED_VALUE"""),0.6215277777777778)</f>
        <v>0.6215277778</v>
      </c>
      <c r="H346" s="1">
        <f>IFERROR(__xludf.DUMMYFUNCTION("""COMPUTED_VALUE"""),15.0)</f>
        <v>15</v>
      </c>
      <c r="I346" s="7">
        <f>IFERROR(__xludf.DUMMYFUNCTION("""COMPUTED_VALUE"""),0.6736111111111112)</f>
        <v>0.6736111111</v>
      </c>
      <c r="J346" s="1" t="str">
        <f>IFERROR(__xludf.DUMMYFUNCTION("""COMPUTED_VALUE"""),"D")</f>
        <v>D</v>
      </c>
      <c r="K346" s="1">
        <f>IFERROR(__xludf.DUMMYFUNCTION("""COMPUTED_VALUE"""),207.0)</f>
        <v>207</v>
      </c>
      <c r="L346" s="7">
        <f>IFERROR(__xludf.DUMMYFUNCTION("""COMPUTED_VALUE"""),0.05208333333333337)</f>
        <v>0.05208333333</v>
      </c>
      <c r="M346" s="7">
        <f>IFERROR(__xludf.DUMMYFUNCTION("""COMPUTED_VALUE"""),0.02895833333333337)</f>
        <v>0.02895833333</v>
      </c>
      <c r="O346" s="9">
        <f>IFERROR(__xludf.DUMMYFUNCTION("""COMPUTED_VALUE"""),576.8500000000008)</f>
        <v>576.85</v>
      </c>
      <c r="P346" s="1" t="str">
        <f>IFERROR(__xludf.DUMMYFUNCTION("""COMPUTED_VALUE"""),"AFR")</f>
        <v>AFR</v>
      </c>
      <c r="Q346" s="1" t="str">
        <f>IFERROR(__xludf.DUMMYFUNCTION("""COMPUTED_VALUE"""),"ECAC")</f>
        <v>ECAC</v>
      </c>
    </row>
    <row r="347">
      <c r="A347" s="1" t="str">
        <f>IFERROR(__xludf.DUMMYFUNCTION("""COMPUTED_VALUE"""),"AEA62AA")</f>
        <v>AEA62AA</v>
      </c>
      <c r="B347" s="1" t="str">
        <f>IFERROR(__xludf.DUMMYFUNCTION("""COMPUTED_VALUE"""),"B738")</f>
        <v>B738</v>
      </c>
      <c r="C347" s="1" t="str">
        <f>IFERROR(__xludf.DUMMYFUNCTION("""COMPUTED_VALUE"""),"LEPA")</f>
        <v>LEPA</v>
      </c>
      <c r="D347" s="1" t="str">
        <f>IFERROR(__xludf.DUMMYFUNCTION("""COMPUTED_VALUE"""),"LEBL")</f>
        <v>LEBL</v>
      </c>
      <c r="E347" s="1" t="str">
        <f>IFERROR(__xludf.DUMMYFUNCTION("""COMPUTED_VALUE"""),"ECLQX")</f>
        <v>ECLQX</v>
      </c>
      <c r="F347" s="1">
        <f>IFERROR(__xludf.DUMMYFUNCTION("""COMPUTED_VALUE"""),180.0)</f>
        <v>180</v>
      </c>
      <c r="G347" s="7">
        <f>IFERROR(__xludf.DUMMYFUNCTION("""COMPUTED_VALUE"""),0.6555555555555556)</f>
        <v>0.6555555556</v>
      </c>
      <c r="H347" s="1">
        <f>IFERROR(__xludf.DUMMYFUNCTION("""COMPUTED_VALUE"""),17.0)</f>
        <v>17</v>
      </c>
      <c r="I347" s="7">
        <f>IFERROR(__xludf.DUMMYFUNCTION("""COMPUTED_VALUE"""),0.6736111111111112)</f>
        <v>0.6736111111</v>
      </c>
      <c r="J347" s="1" t="str">
        <f>IFERROR(__xludf.DUMMYFUNCTION("""COMPUTED_VALUE"""),"D")</f>
        <v>D</v>
      </c>
      <c r="K347" s="1">
        <f>IFERROR(__xludf.DUMMYFUNCTION("""COMPUTED_VALUE"""),184.0)</f>
        <v>184</v>
      </c>
      <c r="L347" s="7">
        <f>IFERROR(__xludf.DUMMYFUNCTION("""COMPUTED_VALUE"""),0.018055555555555602)</f>
        <v>0.01805555556</v>
      </c>
      <c r="M347" s="7">
        <f>IFERROR(__xludf.DUMMYFUNCTION("""COMPUTED_VALUE"""),0.006250000000000047)</f>
        <v>0.00625</v>
      </c>
      <c r="O347" s="9">
        <f>IFERROR(__xludf.DUMMYFUNCTION("""COMPUTED_VALUE"""),124.50000000000094)</f>
        <v>124.5</v>
      </c>
      <c r="P347" s="1" t="str">
        <f>IFERROR(__xludf.DUMMYFUNCTION("""COMPUTED_VALUE"""),"AEA")</f>
        <v>AEA</v>
      </c>
      <c r="Q347" s="1" t="str">
        <f>IFERROR(__xludf.DUMMYFUNCTION("""COMPUTED_VALUE"""),"ECAC")</f>
        <v>ECAC</v>
      </c>
    </row>
    <row r="348">
      <c r="A348" s="1" t="str">
        <f>IFERROR(__xludf.DUMMYFUNCTION("""COMPUTED_VALUE"""),"SAS1811")</f>
        <v>SAS1811</v>
      </c>
      <c r="B348" s="1" t="str">
        <f>IFERROR(__xludf.DUMMYFUNCTION("""COMPUTED_VALUE"""),"A20N")</f>
        <v>A20N</v>
      </c>
      <c r="C348" s="1" t="str">
        <f>IFERROR(__xludf.DUMMYFUNCTION("""COMPUTED_VALUE"""),"ESSA")</f>
        <v>ESSA</v>
      </c>
      <c r="D348" s="1" t="str">
        <f>IFERROR(__xludf.DUMMYFUNCTION("""COMPUTED_VALUE"""),"LEBL")</f>
        <v>LEBL</v>
      </c>
      <c r="E348" s="1" t="str">
        <f>IFERROR(__xludf.DUMMYFUNCTION("""COMPUTED_VALUE"""),"SEROX")</f>
        <v>SEROX</v>
      </c>
      <c r="F348" s="1">
        <f>IFERROR(__xludf.DUMMYFUNCTION("""COMPUTED_VALUE"""),390.0)</f>
        <v>390</v>
      </c>
      <c r="G348" s="7">
        <f>IFERROR(__xludf.DUMMYFUNCTION("""COMPUTED_VALUE"""),0.5486111111111112)</f>
        <v>0.5486111111</v>
      </c>
      <c r="H348" s="1">
        <f>IFERROR(__xludf.DUMMYFUNCTION("""COMPUTED_VALUE"""),15.0)</f>
        <v>15</v>
      </c>
      <c r="I348" s="7">
        <f>IFERROR(__xludf.DUMMYFUNCTION("""COMPUTED_VALUE"""),0.6770833333333334)</f>
        <v>0.6770833333</v>
      </c>
      <c r="J348" s="1" t="str">
        <f>IFERROR(__xludf.DUMMYFUNCTION("""COMPUTED_VALUE"""),"D")</f>
        <v>D</v>
      </c>
      <c r="K348" s="1">
        <f>IFERROR(__xludf.DUMMYFUNCTION("""COMPUTED_VALUE"""),180.0)</f>
        <v>180</v>
      </c>
      <c r="L348" s="7">
        <f>IFERROR(__xludf.DUMMYFUNCTION("""COMPUTED_VALUE"""),0.1284722222222222)</f>
        <v>0.1284722222</v>
      </c>
      <c r="M348" s="7">
        <f>IFERROR(__xludf.DUMMYFUNCTION("""COMPUTED_VALUE"""),0.1053472222222222)</f>
        <v>0.1053472222</v>
      </c>
      <c r="O348" s="9">
        <f>IFERROR(__xludf.DUMMYFUNCTION("""COMPUTED_VALUE"""),2098.5166666666664)</f>
        <v>2098.516667</v>
      </c>
      <c r="P348" s="1" t="str">
        <f>IFERROR(__xludf.DUMMYFUNCTION("""COMPUTED_VALUE"""),"SAS")</f>
        <v>SAS</v>
      </c>
      <c r="Q348" s="1" t="str">
        <f>IFERROR(__xludf.DUMMYFUNCTION("""COMPUTED_VALUE"""),"ECAC")</f>
        <v>ECAC</v>
      </c>
    </row>
    <row r="349">
      <c r="A349" s="1" t="str">
        <f>IFERROR(__xludf.DUMMYFUNCTION("""COMPUTED_VALUE"""),"VLG42HH")</f>
        <v>VLG42HH</v>
      </c>
      <c r="B349" s="1" t="str">
        <f>IFERROR(__xludf.DUMMYFUNCTION("""COMPUTED_VALUE"""),"A320")</f>
        <v>A320</v>
      </c>
      <c r="C349" s="1" t="str">
        <f>IFERROR(__xludf.DUMMYFUNCTION("""COMPUTED_VALUE"""),"GCFV")</f>
        <v>GCFV</v>
      </c>
      <c r="D349" s="1" t="str">
        <f>IFERROR(__xludf.DUMMYFUNCTION("""COMPUTED_VALUE"""),"LEBL")</f>
        <v>LEBL</v>
      </c>
      <c r="E349" s="1" t="str">
        <f>IFERROR(__xludf.DUMMYFUNCTION("""COMPUTED_VALUE"""),"ECMBS")</f>
        <v>ECMBS</v>
      </c>
      <c r="F349" s="1">
        <f>IFERROR(__xludf.DUMMYFUNCTION("""COMPUTED_VALUE"""),360.0)</f>
        <v>360</v>
      </c>
      <c r="G349" s="7">
        <f>IFERROR(__xludf.DUMMYFUNCTION("""COMPUTED_VALUE"""),0.5576388888888889)</f>
        <v>0.5576388889</v>
      </c>
      <c r="H349" s="1">
        <f>IFERROR(__xludf.DUMMYFUNCTION("""COMPUTED_VALUE"""),10.0)</f>
        <v>10</v>
      </c>
      <c r="I349" s="7">
        <f>IFERROR(__xludf.DUMMYFUNCTION("""COMPUTED_VALUE"""),0.6770833333333334)</f>
        <v>0.6770833333</v>
      </c>
      <c r="J349" s="1" t="str">
        <f>IFERROR(__xludf.DUMMYFUNCTION("""COMPUTED_VALUE"""),"D")</f>
        <v>D</v>
      </c>
      <c r="K349" s="1">
        <f>IFERROR(__xludf.DUMMYFUNCTION("""COMPUTED_VALUE"""),173.0)</f>
        <v>173</v>
      </c>
      <c r="L349" s="7">
        <f>IFERROR(__xludf.DUMMYFUNCTION("""COMPUTED_VALUE"""),0.11944444444444446)</f>
        <v>0.1194444444</v>
      </c>
      <c r="M349" s="7">
        <f>IFERROR(__xludf.DUMMYFUNCTION("""COMPUTED_VALUE"""),0.09979166666666668)</f>
        <v>0.09979166667</v>
      </c>
      <c r="O349" s="9">
        <f>IFERROR(__xludf.DUMMYFUNCTION("""COMPUTED_VALUE"""),1987.8500000000004)</f>
        <v>1987.85</v>
      </c>
      <c r="P349" s="1" t="str">
        <f>IFERROR(__xludf.DUMMYFUNCTION("""COMPUTED_VALUE"""),"VLG")</f>
        <v>VLG</v>
      </c>
      <c r="Q349" s="1" t="str">
        <f>IFERROR(__xludf.DUMMYFUNCTION("""COMPUTED_VALUE"""),"ECAC")</f>
        <v>ECAC</v>
      </c>
    </row>
    <row r="350">
      <c r="A350" s="1" t="str">
        <f>IFERROR(__xludf.DUMMYFUNCTION("""COMPUTED_VALUE"""),"BAW472M")</f>
        <v>BAW472M</v>
      </c>
      <c r="B350" s="1" t="str">
        <f>IFERROR(__xludf.DUMMYFUNCTION("""COMPUTED_VALUE"""),"A21N")</f>
        <v>A21N</v>
      </c>
      <c r="C350" s="1" t="str">
        <f>IFERROR(__xludf.DUMMYFUNCTION("""COMPUTED_VALUE"""),"EGLL")</f>
        <v>EGLL</v>
      </c>
      <c r="D350" s="1" t="str">
        <f>IFERROR(__xludf.DUMMYFUNCTION("""COMPUTED_VALUE"""),"LEBL")</f>
        <v>LEBL</v>
      </c>
      <c r="E350" s="1" t="str">
        <f>IFERROR(__xludf.DUMMYFUNCTION("""COMPUTED_VALUE"""),"GTNEB")</f>
        <v>GTNEB</v>
      </c>
      <c r="F350" s="1">
        <f>IFERROR(__xludf.DUMMYFUNCTION("""COMPUTED_VALUE"""),370.0)</f>
        <v>370</v>
      </c>
      <c r="G350" s="7">
        <f>IFERROR(__xludf.DUMMYFUNCTION("""COMPUTED_VALUE"""),0.6111111111111112)</f>
        <v>0.6111111111</v>
      </c>
      <c r="H350" s="1">
        <f>IFERROR(__xludf.DUMMYFUNCTION("""COMPUTED_VALUE"""),25.0)</f>
        <v>25</v>
      </c>
      <c r="I350" s="7">
        <f>IFERROR(__xludf.DUMMYFUNCTION("""COMPUTED_VALUE"""),0.6805555555555556)</f>
        <v>0.6805555556</v>
      </c>
      <c r="J350" s="1" t="str">
        <f>IFERROR(__xludf.DUMMYFUNCTION("""COMPUTED_VALUE"""),"D")</f>
        <v>D</v>
      </c>
      <c r="K350" s="1">
        <f>IFERROR(__xludf.DUMMYFUNCTION("""COMPUTED_VALUE"""),200.0)</f>
        <v>200</v>
      </c>
      <c r="L350" s="7">
        <f>IFERROR(__xludf.DUMMYFUNCTION("""COMPUTED_VALUE"""),0.06944444444444442)</f>
        <v>0.06944444444</v>
      </c>
      <c r="M350" s="7">
        <f>IFERROR(__xludf.DUMMYFUNCTION("""COMPUTED_VALUE"""),0.03937499999999997)</f>
        <v>0.039375</v>
      </c>
      <c r="O350" s="9">
        <f>IFERROR(__xludf.DUMMYFUNCTION("""COMPUTED_VALUE"""),784.3499999999995)</f>
        <v>784.35</v>
      </c>
      <c r="P350" s="1" t="str">
        <f>IFERROR(__xludf.DUMMYFUNCTION("""COMPUTED_VALUE"""),"BAW")</f>
        <v>BAW</v>
      </c>
      <c r="Q350" s="1" t="str">
        <f>IFERROR(__xludf.DUMMYFUNCTION("""COMPUTED_VALUE"""),"ECAC")</f>
        <v>ECAC</v>
      </c>
    </row>
    <row r="351">
      <c r="A351" s="1" t="str">
        <f>IFERROR(__xludf.DUMMYFUNCTION("""COMPUTED_VALUE"""),"RYR7CT")</f>
        <v>RYR7CT</v>
      </c>
      <c r="B351" s="1" t="str">
        <f>IFERROR(__xludf.DUMMYFUNCTION("""COMPUTED_VALUE"""),"B738")</f>
        <v>B738</v>
      </c>
      <c r="C351" s="1" t="str">
        <f>IFERROR(__xludf.DUMMYFUNCTION("""COMPUTED_VALUE"""),"EGGP")</f>
        <v>EGGP</v>
      </c>
      <c r="D351" s="1" t="str">
        <f>IFERROR(__xludf.DUMMYFUNCTION("""COMPUTED_VALUE"""),"LEBL")</f>
        <v>LEBL</v>
      </c>
      <c r="E351" s="1" t="str">
        <f>IFERROR(__xludf.DUMMYFUNCTION("""COMPUTED_VALUE"""),"EIENM")</f>
        <v>EIENM</v>
      </c>
      <c r="F351" s="1">
        <f>IFERROR(__xludf.DUMMYFUNCTION("""COMPUTED_VALUE"""),370.0)</f>
        <v>370</v>
      </c>
      <c r="G351" s="7">
        <f>IFERROR(__xludf.DUMMYFUNCTION("""COMPUTED_VALUE"""),0.6041666666666666)</f>
        <v>0.6041666667</v>
      </c>
      <c r="H351" s="1">
        <f>IFERROR(__xludf.DUMMYFUNCTION("""COMPUTED_VALUE"""),15.0)</f>
        <v>15</v>
      </c>
      <c r="I351" s="7">
        <f>IFERROR(__xludf.DUMMYFUNCTION("""COMPUTED_VALUE"""),0.6805555555555556)</f>
        <v>0.6805555556</v>
      </c>
      <c r="J351" s="1" t="str">
        <f>IFERROR(__xludf.DUMMYFUNCTION("""COMPUTED_VALUE"""),"D")</f>
        <v>D</v>
      </c>
      <c r="K351" s="1">
        <f>IFERROR(__xludf.DUMMYFUNCTION("""COMPUTED_VALUE"""),184.0)</f>
        <v>184</v>
      </c>
      <c r="L351" s="7">
        <f>IFERROR(__xludf.DUMMYFUNCTION("""COMPUTED_VALUE"""),0.07638888888888895)</f>
        <v>0.07638888889</v>
      </c>
      <c r="M351" s="7">
        <f>IFERROR(__xludf.DUMMYFUNCTION("""COMPUTED_VALUE"""),0.05326388888888895)</f>
        <v>0.05326388889</v>
      </c>
      <c r="O351" s="9">
        <f>IFERROR(__xludf.DUMMYFUNCTION("""COMPUTED_VALUE"""),1061.016666666668)</f>
        <v>1061.016667</v>
      </c>
      <c r="P351" s="1" t="str">
        <f>IFERROR(__xludf.DUMMYFUNCTION("""COMPUTED_VALUE"""),"RYR")</f>
        <v>RYR</v>
      </c>
      <c r="Q351" s="1" t="str">
        <f>IFERROR(__xludf.DUMMYFUNCTION("""COMPUTED_VALUE"""),"ECAC")</f>
        <v>ECAC</v>
      </c>
    </row>
    <row r="352">
      <c r="A352" s="1" t="str">
        <f>IFERROR(__xludf.DUMMYFUNCTION("""COMPUTED_VALUE"""),"VLG3BU")</f>
        <v>VLG3BU</v>
      </c>
      <c r="B352" s="1" t="str">
        <f>IFERROR(__xludf.DUMMYFUNCTION("""COMPUTED_VALUE"""),"A20N")</f>
        <v>A20N</v>
      </c>
      <c r="C352" s="1" t="str">
        <f>IFERROR(__xludf.DUMMYFUNCTION("""COMPUTED_VALUE"""),"EHAM")</f>
        <v>EHAM</v>
      </c>
      <c r="D352" s="1" t="str">
        <f>IFERROR(__xludf.DUMMYFUNCTION("""COMPUTED_VALUE"""),"LEBL")</f>
        <v>LEBL</v>
      </c>
      <c r="E352" s="1" t="str">
        <f>IFERROR(__xludf.DUMMYFUNCTION("""COMPUTED_VALUE"""),"ECNCS")</f>
        <v>ECNCS</v>
      </c>
      <c r="F352" s="1">
        <f>IFERROR(__xludf.DUMMYFUNCTION("""COMPUTED_VALUE"""),390.0)</f>
        <v>390</v>
      </c>
      <c r="G352" s="7">
        <f>IFERROR(__xludf.DUMMYFUNCTION("""COMPUTED_VALUE"""),0.6104166666666667)</f>
        <v>0.6104166667</v>
      </c>
      <c r="H352" s="1">
        <f>IFERROR(__xludf.DUMMYFUNCTION("""COMPUTED_VALUE"""),15.0)</f>
        <v>15</v>
      </c>
      <c r="I352" s="7">
        <f>IFERROR(__xludf.DUMMYFUNCTION("""COMPUTED_VALUE"""),0.6805555555555556)</f>
        <v>0.6805555556</v>
      </c>
      <c r="J352" s="1" t="str">
        <f>IFERROR(__xludf.DUMMYFUNCTION("""COMPUTED_VALUE"""),"D")</f>
        <v>D</v>
      </c>
      <c r="K352" s="1">
        <f>IFERROR(__xludf.DUMMYFUNCTION("""COMPUTED_VALUE"""),180.0)</f>
        <v>180</v>
      </c>
      <c r="L352" s="7">
        <f>IFERROR(__xludf.DUMMYFUNCTION("""COMPUTED_VALUE"""),0.07013888888888886)</f>
        <v>0.07013888889</v>
      </c>
      <c r="M352" s="7">
        <f>IFERROR(__xludf.DUMMYFUNCTION("""COMPUTED_VALUE"""),0.04701388888888886)</f>
        <v>0.04701388889</v>
      </c>
      <c r="O352" s="9">
        <f>IFERROR(__xludf.DUMMYFUNCTION("""COMPUTED_VALUE"""),936.5166666666662)</f>
        <v>936.5166667</v>
      </c>
      <c r="P352" s="1" t="str">
        <f>IFERROR(__xludf.DUMMYFUNCTION("""COMPUTED_VALUE"""),"VLG")</f>
        <v>VLG</v>
      </c>
      <c r="Q352" s="1" t="str">
        <f>IFERROR(__xludf.DUMMYFUNCTION("""COMPUTED_VALUE"""),"ECAC")</f>
        <v>ECAC</v>
      </c>
    </row>
    <row r="353">
      <c r="A353" s="1" t="str">
        <f>IFERROR(__xludf.DUMMYFUNCTION("""COMPUTED_VALUE"""),"RYR90MH")</f>
        <v>RYR90MH</v>
      </c>
      <c r="B353" s="1" t="str">
        <f>IFERROR(__xludf.DUMMYFUNCTION("""COMPUTED_VALUE"""),"B738")</f>
        <v>B738</v>
      </c>
      <c r="C353" s="1" t="str">
        <f>IFERROR(__xludf.DUMMYFUNCTION("""COMPUTED_VALUE"""),"LIRN")</f>
        <v>LIRN</v>
      </c>
      <c r="D353" s="1" t="str">
        <f>IFERROR(__xludf.DUMMYFUNCTION("""COMPUTED_VALUE"""),"LEBL")</f>
        <v>LEBL</v>
      </c>
      <c r="E353" s="1" t="str">
        <f>IFERROR(__xludf.DUMMYFUNCTION("""COMPUTED_VALUE"""),"EIEMA")</f>
        <v>EIEMA</v>
      </c>
      <c r="F353" s="1">
        <f>IFERROR(__xludf.DUMMYFUNCTION("""COMPUTED_VALUE"""),350.0)</f>
        <v>350</v>
      </c>
      <c r="G353" s="7">
        <f>IFERROR(__xludf.DUMMYFUNCTION("""COMPUTED_VALUE"""),0.6138888888888889)</f>
        <v>0.6138888889</v>
      </c>
      <c r="H353" s="1">
        <f>IFERROR(__xludf.DUMMYFUNCTION("""COMPUTED_VALUE"""),14.0)</f>
        <v>14</v>
      </c>
      <c r="I353" s="7">
        <f>IFERROR(__xludf.DUMMYFUNCTION("""COMPUTED_VALUE"""),0.6840277777777778)</f>
        <v>0.6840277778</v>
      </c>
      <c r="J353" s="1" t="str">
        <f>IFERROR(__xludf.DUMMYFUNCTION("""COMPUTED_VALUE"""),"D")</f>
        <v>D</v>
      </c>
      <c r="K353" s="1">
        <f>IFERROR(__xludf.DUMMYFUNCTION("""COMPUTED_VALUE"""),184.0)</f>
        <v>184</v>
      </c>
      <c r="L353" s="7">
        <f>IFERROR(__xludf.DUMMYFUNCTION("""COMPUTED_VALUE"""),0.07013888888888886)</f>
        <v>0.07013888889</v>
      </c>
      <c r="M353" s="7">
        <f>IFERROR(__xludf.DUMMYFUNCTION("""COMPUTED_VALUE"""),0.047708333333333304)</f>
        <v>0.04770833333</v>
      </c>
      <c r="O353" s="9">
        <f>IFERROR(__xludf.DUMMYFUNCTION("""COMPUTED_VALUE"""),950.3499999999995)</f>
        <v>950.35</v>
      </c>
      <c r="P353" s="1" t="str">
        <f>IFERROR(__xludf.DUMMYFUNCTION("""COMPUTED_VALUE"""),"RYR")</f>
        <v>RYR</v>
      </c>
      <c r="Q353" s="1" t="str">
        <f>IFERROR(__xludf.DUMMYFUNCTION("""COMPUTED_VALUE"""),"ECAC")</f>
        <v>ECAC</v>
      </c>
    </row>
    <row r="354">
      <c r="A354" s="1" t="str">
        <f>IFERROR(__xludf.DUMMYFUNCTION("""COMPUTED_VALUE"""),"RYR44YY")</f>
        <v>RYR44YY</v>
      </c>
      <c r="B354" s="1" t="str">
        <f>IFERROR(__xludf.DUMMYFUNCTION("""COMPUTED_VALUE"""),"B738")</f>
        <v>B738</v>
      </c>
      <c r="C354" s="1" t="str">
        <f>IFERROR(__xludf.DUMMYFUNCTION("""COMPUTED_VALUE"""),"EDDB")</f>
        <v>EDDB</v>
      </c>
      <c r="D354" s="1" t="str">
        <f>IFERROR(__xludf.DUMMYFUNCTION("""COMPUTED_VALUE"""),"LEBL")</f>
        <v>LEBL</v>
      </c>
      <c r="E354" s="1" t="str">
        <f>IFERROR(__xludf.DUMMYFUNCTION("""COMPUTED_VALUE"""),"EIEVC")</f>
        <v>EIEVC</v>
      </c>
      <c r="F354" s="1">
        <f>IFERROR(__xludf.DUMMYFUNCTION("""COMPUTED_VALUE"""),370.0)</f>
        <v>370</v>
      </c>
      <c r="G354" s="7">
        <f>IFERROR(__xludf.DUMMYFUNCTION("""COMPUTED_VALUE"""),0.6)</f>
        <v>0.6</v>
      </c>
      <c r="H354" s="1">
        <f>IFERROR(__xludf.DUMMYFUNCTION("""COMPUTED_VALUE"""),9.0)</f>
        <v>9</v>
      </c>
      <c r="I354" s="7">
        <f>IFERROR(__xludf.DUMMYFUNCTION("""COMPUTED_VALUE"""),0.6840277777777778)</f>
        <v>0.6840277778</v>
      </c>
      <c r="J354" s="1" t="str">
        <f>IFERROR(__xludf.DUMMYFUNCTION("""COMPUTED_VALUE"""),"D")</f>
        <v>D</v>
      </c>
      <c r="K354" s="1">
        <f>IFERROR(__xludf.DUMMYFUNCTION("""COMPUTED_VALUE"""),184.0)</f>
        <v>184</v>
      </c>
      <c r="L354" s="7">
        <f>IFERROR(__xludf.DUMMYFUNCTION("""COMPUTED_VALUE"""),0.08402777777777781)</f>
        <v>0.08402777778</v>
      </c>
      <c r="M354" s="7">
        <f>IFERROR(__xludf.DUMMYFUNCTION("""COMPUTED_VALUE"""),0.06506944444444447)</f>
        <v>0.06506944444</v>
      </c>
      <c r="O354" s="9">
        <f>IFERROR(__xludf.DUMMYFUNCTION("""COMPUTED_VALUE"""),1296.1833333333338)</f>
        <v>1296.183333</v>
      </c>
      <c r="P354" s="1" t="str">
        <f>IFERROR(__xludf.DUMMYFUNCTION("""COMPUTED_VALUE"""),"RYR")</f>
        <v>RYR</v>
      </c>
      <c r="Q354" s="1" t="str">
        <f>IFERROR(__xludf.DUMMYFUNCTION("""COMPUTED_VALUE"""),"ECAC")</f>
        <v>ECAC</v>
      </c>
    </row>
    <row r="355">
      <c r="A355" s="1" t="str">
        <f>IFERROR(__xludf.DUMMYFUNCTION("""COMPUTED_VALUE"""),"VLG9PH")</f>
        <v>VLG9PH</v>
      </c>
      <c r="B355" s="1" t="str">
        <f>IFERROR(__xludf.DUMMYFUNCTION("""COMPUTED_VALUE"""),"A319")</f>
        <v>A319</v>
      </c>
      <c r="C355" s="1" t="str">
        <f>IFERROR(__xludf.DUMMYFUNCTION("""COMPUTED_VALUE"""),"LEMH")</f>
        <v>LEMH</v>
      </c>
      <c r="D355" s="1" t="str">
        <f>IFERROR(__xludf.DUMMYFUNCTION("""COMPUTED_VALUE"""),"LEBL")</f>
        <v>LEBL</v>
      </c>
      <c r="E355" s="1" t="str">
        <f>IFERROR(__xludf.DUMMYFUNCTION("""COMPUTED_VALUE"""),"ECMKV")</f>
        <v>ECMKV</v>
      </c>
      <c r="F355" s="1">
        <f>IFERROR(__xludf.DUMMYFUNCTION("""COMPUTED_VALUE"""),180.0)</f>
        <v>180</v>
      </c>
      <c r="G355" s="7">
        <f>IFERROR(__xludf.DUMMYFUNCTION("""COMPUTED_VALUE"""),0.6576388888888889)</f>
        <v>0.6576388889</v>
      </c>
      <c r="H355" s="1">
        <f>IFERROR(__xludf.DUMMYFUNCTION("""COMPUTED_VALUE"""),10.0)</f>
        <v>10</v>
      </c>
      <c r="I355" s="7">
        <f>IFERROR(__xludf.DUMMYFUNCTION("""COMPUTED_VALUE"""),0.6840277777777778)</f>
        <v>0.6840277778</v>
      </c>
      <c r="J355" s="1" t="str">
        <f>IFERROR(__xludf.DUMMYFUNCTION("""COMPUTED_VALUE"""),"D")</f>
        <v>D</v>
      </c>
      <c r="K355" s="1">
        <f>IFERROR(__xludf.DUMMYFUNCTION("""COMPUTED_VALUE"""),144.0)</f>
        <v>144</v>
      </c>
      <c r="L355" s="7">
        <f>IFERROR(__xludf.DUMMYFUNCTION("""COMPUTED_VALUE"""),0.026388888888888906)</f>
        <v>0.02638888889</v>
      </c>
      <c r="M355" s="7">
        <f>IFERROR(__xludf.DUMMYFUNCTION("""COMPUTED_VALUE"""),0.0067361111111111285)</f>
        <v>0.006736111111</v>
      </c>
      <c r="O355" s="9">
        <f>IFERROR(__xludf.DUMMYFUNCTION("""COMPUTED_VALUE"""),134.18333333333368)</f>
        <v>134.1833333</v>
      </c>
      <c r="P355" s="1" t="str">
        <f>IFERROR(__xludf.DUMMYFUNCTION("""COMPUTED_VALUE"""),"VLG")</f>
        <v>VLG</v>
      </c>
      <c r="Q355" s="1" t="str">
        <f>IFERROR(__xludf.DUMMYFUNCTION("""COMPUTED_VALUE"""),"ECAC")</f>
        <v>ECAC</v>
      </c>
    </row>
    <row r="356">
      <c r="A356" s="1" t="str">
        <f>IFERROR(__xludf.DUMMYFUNCTION("""COMPUTED_VALUE"""),"EJU56MW")</f>
        <v>EJU56MW</v>
      </c>
      <c r="B356" s="1" t="str">
        <f>IFERROR(__xludf.DUMMYFUNCTION("""COMPUTED_VALUE"""),"A319")</f>
        <v>A319</v>
      </c>
      <c r="C356" s="1" t="str">
        <f>IFERROR(__xludf.DUMMYFUNCTION("""COMPUTED_VALUE"""),"LFMN")</f>
        <v>LFMN</v>
      </c>
      <c r="D356" s="1" t="str">
        <f>IFERROR(__xludf.DUMMYFUNCTION("""COMPUTED_VALUE"""),"LEBL")</f>
        <v>LEBL</v>
      </c>
      <c r="E356" s="1" t="str">
        <f>IFERROR(__xludf.DUMMYFUNCTION("""COMPUTED_VALUE"""),"OELVG")</f>
        <v>OELVG</v>
      </c>
      <c r="F356" s="1">
        <f>IFERROR(__xludf.DUMMYFUNCTION("""COMPUTED_VALUE"""),290.0)</f>
        <v>290</v>
      </c>
      <c r="G356" s="7">
        <f>IFERROR(__xludf.DUMMYFUNCTION("""COMPUTED_VALUE"""),0.6458333333333334)</f>
        <v>0.6458333333</v>
      </c>
      <c r="H356" s="1">
        <f>IFERROR(__xludf.DUMMYFUNCTION("""COMPUTED_VALUE"""),12.0)</f>
        <v>12</v>
      </c>
      <c r="I356" s="7">
        <f>IFERROR(__xludf.DUMMYFUNCTION("""COMPUTED_VALUE"""),0.6840277777777778)</f>
        <v>0.6840277778</v>
      </c>
      <c r="J356" s="1" t="str">
        <f>IFERROR(__xludf.DUMMYFUNCTION("""COMPUTED_VALUE"""),"D")</f>
        <v>D</v>
      </c>
      <c r="K356" s="1">
        <f>IFERROR(__xludf.DUMMYFUNCTION("""COMPUTED_VALUE"""),144.0)</f>
        <v>144</v>
      </c>
      <c r="L356" s="7">
        <f>IFERROR(__xludf.DUMMYFUNCTION("""COMPUTED_VALUE"""),0.03819444444444442)</f>
        <v>0.03819444444</v>
      </c>
      <c r="M356" s="7">
        <f>IFERROR(__xludf.DUMMYFUNCTION("""COMPUTED_VALUE"""),0.017152777777777753)</f>
        <v>0.01715277778</v>
      </c>
      <c r="O356" s="9">
        <f>IFERROR(__xludf.DUMMYFUNCTION("""COMPUTED_VALUE"""),341.6833333333328)</f>
        <v>341.6833333</v>
      </c>
      <c r="P356" s="1" t="str">
        <f>IFERROR(__xludf.DUMMYFUNCTION("""COMPUTED_VALUE"""),"EJU")</f>
        <v>EJU</v>
      </c>
      <c r="Q356" s="1" t="str">
        <f>IFERROR(__xludf.DUMMYFUNCTION("""COMPUTED_VALUE"""),"ECAC")</f>
        <v>ECAC</v>
      </c>
    </row>
    <row r="357">
      <c r="A357" s="1" t="str">
        <f>IFERROR(__xludf.DUMMYFUNCTION("""COMPUTED_VALUE"""),"VLG4RW")</f>
        <v>VLG4RW</v>
      </c>
      <c r="B357" s="1" t="str">
        <f>IFERROR(__xludf.DUMMYFUNCTION("""COMPUTED_VALUE"""),"A321")</f>
        <v>A321</v>
      </c>
      <c r="C357" s="1" t="str">
        <f>IFERROR(__xludf.DUMMYFUNCTION("""COMPUTED_VALUE"""),"LIRF")</f>
        <v>LIRF</v>
      </c>
      <c r="D357" s="1" t="str">
        <f>IFERROR(__xludf.DUMMYFUNCTION("""COMPUTED_VALUE"""),"LEBL")</f>
        <v>LEBL</v>
      </c>
      <c r="E357" s="1" t="str">
        <f>IFERROR(__xludf.DUMMYFUNCTION("""COMPUTED_VALUE"""),"ECMGY")</f>
        <v>ECMGY</v>
      </c>
      <c r="F357" s="1">
        <f>IFERROR(__xludf.DUMMYFUNCTION("""COMPUTED_VALUE"""),340.0)</f>
        <v>340</v>
      </c>
      <c r="G357" s="7">
        <f>IFERROR(__xludf.DUMMYFUNCTION("""COMPUTED_VALUE"""),0.6416666666666667)</f>
        <v>0.6416666667</v>
      </c>
      <c r="H357" s="1">
        <f>IFERROR(__xludf.DUMMYFUNCTION("""COMPUTED_VALUE"""),14.0)</f>
        <v>14</v>
      </c>
      <c r="I357" s="7">
        <f>IFERROR(__xludf.DUMMYFUNCTION("""COMPUTED_VALUE"""),0.6875)</f>
        <v>0.6875</v>
      </c>
      <c r="J357" s="1" t="str">
        <f>IFERROR(__xludf.DUMMYFUNCTION("""COMPUTED_VALUE"""),"D")</f>
        <v>D</v>
      </c>
      <c r="K357" s="1">
        <f>IFERROR(__xludf.DUMMYFUNCTION("""COMPUTED_VALUE"""),207.0)</f>
        <v>207</v>
      </c>
      <c r="L357" s="7">
        <f>IFERROR(__xludf.DUMMYFUNCTION("""COMPUTED_VALUE"""),0.04583333333333328)</f>
        <v>0.04583333333</v>
      </c>
      <c r="M357" s="7">
        <f>IFERROR(__xludf.DUMMYFUNCTION("""COMPUTED_VALUE"""),0.023402777777777724)</f>
        <v>0.02340277778</v>
      </c>
      <c r="O357" s="9">
        <f>IFERROR(__xludf.DUMMYFUNCTION("""COMPUTED_VALUE"""),466.1833333333323)</f>
        <v>466.1833333</v>
      </c>
      <c r="P357" s="1" t="str">
        <f>IFERROR(__xludf.DUMMYFUNCTION("""COMPUTED_VALUE"""),"VLG")</f>
        <v>VLG</v>
      </c>
      <c r="Q357" s="1" t="str">
        <f>IFERROR(__xludf.DUMMYFUNCTION("""COMPUTED_VALUE"""),"ECAC")</f>
        <v>ECAC</v>
      </c>
    </row>
    <row r="358">
      <c r="A358" s="1" t="str">
        <f>IFERROR(__xludf.DUMMYFUNCTION("""COMPUTED_VALUE"""),"VLG4ZY")</f>
        <v>VLG4ZY</v>
      </c>
      <c r="B358" s="1" t="str">
        <f>IFERROR(__xludf.DUMMYFUNCTION("""COMPUTED_VALUE"""),"A321")</f>
        <v>A321</v>
      </c>
      <c r="C358" s="1" t="str">
        <f>IFERROR(__xludf.DUMMYFUNCTION("""COMPUTED_VALUE"""),"LFRS")</f>
        <v>LFRS</v>
      </c>
      <c r="D358" s="1" t="str">
        <f>IFERROR(__xludf.DUMMYFUNCTION("""COMPUTED_VALUE"""),"LEBL")</f>
        <v>LEBL</v>
      </c>
      <c r="E358" s="1" t="str">
        <f>IFERROR(__xludf.DUMMYFUNCTION("""COMPUTED_VALUE"""),"ECMLM")</f>
        <v>ECMLM</v>
      </c>
      <c r="F358" s="1">
        <f>IFERROR(__xludf.DUMMYFUNCTION("""COMPUTED_VALUE"""),330.0)</f>
        <v>330</v>
      </c>
      <c r="G358" s="7">
        <f>IFERROR(__xludf.DUMMYFUNCTION("""COMPUTED_VALUE"""),0.6527777777777778)</f>
        <v>0.6527777778</v>
      </c>
      <c r="H358" s="1">
        <f>IFERROR(__xludf.DUMMYFUNCTION("""COMPUTED_VALUE"""),10.0)</f>
        <v>10</v>
      </c>
      <c r="I358" s="7">
        <f>IFERROR(__xludf.DUMMYFUNCTION("""COMPUTED_VALUE"""),0.6875)</f>
        <v>0.6875</v>
      </c>
      <c r="J358" s="1" t="str">
        <f>IFERROR(__xludf.DUMMYFUNCTION("""COMPUTED_VALUE"""),"D")</f>
        <v>D</v>
      </c>
      <c r="K358" s="1">
        <f>IFERROR(__xludf.DUMMYFUNCTION("""COMPUTED_VALUE"""),207.0)</f>
        <v>207</v>
      </c>
      <c r="L358" s="7">
        <f>IFERROR(__xludf.DUMMYFUNCTION("""COMPUTED_VALUE"""),0.03472222222222221)</f>
        <v>0.03472222222</v>
      </c>
      <c r="M358" s="7">
        <f>IFERROR(__xludf.DUMMYFUNCTION("""COMPUTED_VALUE"""),0.01506944444444443)</f>
        <v>0.01506944444</v>
      </c>
      <c r="O358" s="9">
        <f>IFERROR(__xludf.DUMMYFUNCTION("""COMPUTED_VALUE"""),300.18333333333305)</f>
        <v>300.1833333</v>
      </c>
      <c r="P358" s="1" t="str">
        <f>IFERROR(__xludf.DUMMYFUNCTION("""COMPUTED_VALUE"""),"VLG")</f>
        <v>VLG</v>
      </c>
      <c r="Q358" s="1" t="str">
        <f>IFERROR(__xludf.DUMMYFUNCTION("""COMPUTED_VALUE"""),"ECAC")</f>
        <v>ECAC</v>
      </c>
    </row>
    <row r="359">
      <c r="A359" s="1" t="str">
        <f>IFERROR(__xludf.DUMMYFUNCTION("""COMPUTED_VALUE"""),"VOE5JR")</f>
        <v>VOE5JR</v>
      </c>
      <c r="B359" s="1" t="str">
        <f>IFERROR(__xludf.DUMMYFUNCTION("""COMPUTED_VALUE"""),"A319")</f>
        <v>A319</v>
      </c>
      <c r="C359" s="1" t="str">
        <f>IFERROR(__xludf.DUMMYFUNCTION("""COMPUTED_VALUE"""),"LEAS")</f>
        <v>LEAS</v>
      </c>
      <c r="D359" s="1" t="str">
        <f>IFERROR(__xludf.DUMMYFUNCTION("""COMPUTED_VALUE"""),"LEBL")</f>
        <v>LEBL</v>
      </c>
      <c r="E359" s="1" t="str">
        <f>IFERROR(__xludf.DUMMYFUNCTION("""COMPUTED_VALUE"""),"ECMUX")</f>
        <v>ECMUX</v>
      </c>
      <c r="F359" s="1">
        <f>IFERROR(__xludf.DUMMYFUNCTION("""COMPUTED_VALUE"""),320.0)</f>
        <v>320</v>
      </c>
      <c r="G359" s="7">
        <f>IFERROR(__xludf.DUMMYFUNCTION("""COMPUTED_VALUE"""),0.6388888888888888)</f>
        <v>0.6388888889</v>
      </c>
      <c r="H359" s="1">
        <f>IFERROR(__xludf.DUMMYFUNCTION("""COMPUTED_VALUE"""),5.0)</f>
        <v>5</v>
      </c>
      <c r="I359" s="7">
        <f>IFERROR(__xludf.DUMMYFUNCTION("""COMPUTED_VALUE"""),0.6909722222222222)</f>
        <v>0.6909722222</v>
      </c>
      <c r="J359" s="1" t="str">
        <f>IFERROR(__xludf.DUMMYFUNCTION("""COMPUTED_VALUE"""),"D")</f>
        <v>D</v>
      </c>
      <c r="K359" s="1">
        <f>IFERROR(__xludf.DUMMYFUNCTION("""COMPUTED_VALUE"""),144.0)</f>
        <v>144</v>
      </c>
      <c r="L359" s="7">
        <f>IFERROR(__xludf.DUMMYFUNCTION("""COMPUTED_VALUE"""),0.05208333333333337)</f>
        <v>0.05208333333</v>
      </c>
      <c r="M359" s="7">
        <f>IFERROR(__xludf.DUMMYFUNCTION("""COMPUTED_VALUE"""),0.03590277777777781)</f>
        <v>0.03590277778</v>
      </c>
      <c r="O359" s="9">
        <f>IFERROR(__xludf.DUMMYFUNCTION("""COMPUTED_VALUE"""),715.183333333334)</f>
        <v>715.1833333</v>
      </c>
      <c r="P359" s="1" t="str">
        <f>IFERROR(__xludf.DUMMYFUNCTION("""COMPUTED_VALUE"""),"VOE")</f>
        <v>VOE</v>
      </c>
      <c r="Q359" s="1" t="str">
        <f>IFERROR(__xludf.DUMMYFUNCTION("""COMPUTED_VALUE"""),"ECAC")</f>
        <v>ECAC</v>
      </c>
    </row>
    <row r="360">
      <c r="A360" s="1" t="str">
        <f>IFERROR(__xludf.DUMMYFUNCTION("""COMPUTED_VALUE"""),"RYR73VE")</f>
        <v>RYR73VE</v>
      </c>
      <c r="B360" s="1" t="str">
        <f>IFERROR(__xludf.DUMMYFUNCTION("""COMPUTED_VALUE"""),"B38M")</f>
        <v>B38M</v>
      </c>
      <c r="C360" s="1" t="str">
        <f>IFERROR(__xludf.DUMMYFUNCTION("""COMPUTED_VALUE"""),"LIEA")</f>
        <v>LIEA</v>
      </c>
      <c r="D360" s="1" t="str">
        <f>IFERROR(__xludf.DUMMYFUNCTION("""COMPUTED_VALUE"""),"LEBL")</f>
        <v>LEBL</v>
      </c>
      <c r="E360" s="1" t="str">
        <f>IFERROR(__xludf.DUMMYFUNCTION("""COMPUTED_VALUE"""),"EIIJM")</f>
        <v>EIIJM</v>
      </c>
      <c r="F360" s="1">
        <f>IFERROR(__xludf.DUMMYFUNCTION("""COMPUTED_VALUE"""),310.0)</f>
        <v>310</v>
      </c>
      <c r="G360" s="7">
        <f>IFERROR(__xludf.DUMMYFUNCTION("""COMPUTED_VALUE"""),0.6527777777777778)</f>
        <v>0.6527777778</v>
      </c>
      <c r="H360" s="1">
        <f>IFERROR(__xludf.DUMMYFUNCTION("""COMPUTED_VALUE"""),10.0)</f>
        <v>10</v>
      </c>
      <c r="I360" s="7">
        <f>IFERROR(__xludf.DUMMYFUNCTION("""COMPUTED_VALUE"""),0.6909722222222222)</f>
        <v>0.6909722222</v>
      </c>
      <c r="J360" s="1" t="str">
        <f>IFERROR(__xludf.DUMMYFUNCTION("""COMPUTED_VALUE"""),"D")</f>
        <v>D</v>
      </c>
      <c r="K360" s="1">
        <f>IFERROR(__xludf.DUMMYFUNCTION("""COMPUTED_VALUE"""),186.0)</f>
        <v>186</v>
      </c>
      <c r="L360" s="7">
        <f>IFERROR(__xludf.DUMMYFUNCTION("""COMPUTED_VALUE"""),0.03819444444444442)</f>
        <v>0.03819444444</v>
      </c>
      <c r="M360" s="7">
        <f>IFERROR(__xludf.DUMMYFUNCTION("""COMPUTED_VALUE"""),0.01854166666666664)</f>
        <v>0.01854166667</v>
      </c>
      <c r="O360" s="9">
        <f>IFERROR(__xludf.DUMMYFUNCTION("""COMPUTED_VALUE"""),369.3499999999995)</f>
        <v>369.35</v>
      </c>
      <c r="P360" s="1" t="str">
        <f>IFERROR(__xludf.DUMMYFUNCTION("""COMPUTED_VALUE"""),"RYR")</f>
        <v>RYR</v>
      </c>
      <c r="Q360" s="1" t="str">
        <f>IFERROR(__xludf.DUMMYFUNCTION("""COMPUTED_VALUE"""),"ECAC")</f>
        <v>ECAC</v>
      </c>
    </row>
    <row r="361">
      <c r="A361" s="1" t="str">
        <f>IFERROR(__xludf.DUMMYFUNCTION("""COMPUTED_VALUE"""),"VLG16XE")</f>
        <v>VLG16XE</v>
      </c>
      <c r="B361" s="1" t="str">
        <f>IFERROR(__xludf.DUMMYFUNCTION("""COMPUTED_VALUE"""),"A321")</f>
        <v>A321</v>
      </c>
      <c r="C361" s="1" t="str">
        <f>IFERROR(__xludf.DUMMYFUNCTION("""COMPUTED_VALUE"""),"EGCC")</f>
        <v>EGCC</v>
      </c>
      <c r="D361" s="1" t="str">
        <f>IFERROR(__xludf.DUMMYFUNCTION("""COMPUTED_VALUE"""),"LEBL")</f>
        <v>LEBL</v>
      </c>
      <c r="E361" s="1" t="str">
        <f>IFERROR(__xludf.DUMMYFUNCTION("""COMPUTED_VALUE"""),"ECMGZ")</f>
        <v>ECMGZ</v>
      </c>
      <c r="F361" s="1">
        <f>IFERROR(__xludf.DUMMYFUNCTION("""COMPUTED_VALUE"""),350.0)</f>
        <v>350</v>
      </c>
      <c r="G361" s="7">
        <f>IFERROR(__xludf.DUMMYFUNCTION("""COMPUTED_VALUE"""),0.6180555555555556)</f>
        <v>0.6180555556</v>
      </c>
      <c r="H361" s="1">
        <f>IFERROR(__xludf.DUMMYFUNCTION("""COMPUTED_VALUE"""),17.0)</f>
        <v>17</v>
      </c>
      <c r="I361" s="7">
        <f>IFERROR(__xludf.DUMMYFUNCTION("""COMPUTED_VALUE"""),0.6909722222222222)</f>
        <v>0.6909722222</v>
      </c>
      <c r="J361" s="1" t="str">
        <f>IFERROR(__xludf.DUMMYFUNCTION("""COMPUTED_VALUE"""),"D")</f>
        <v>D</v>
      </c>
      <c r="K361" s="1">
        <f>IFERROR(__xludf.DUMMYFUNCTION("""COMPUTED_VALUE"""),207.0)</f>
        <v>207</v>
      </c>
      <c r="L361" s="7">
        <f>IFERROR(__xludf.DUMMYFUNCTION("""COMPUTED_VALUE"""),0.07291666666666663)</f>
        <v>0.07291666667</v>
      </c>
      <c r="M361" s="7">
        <f>IFERROR(__xludf.DUMMYFUNCTION("""COMPUTED_VALUE"""),0.04840277777777774)</f>
        <v>0.04840277778</v>
      </c>
      <c r="O361" s="9">
        <f>IFERROR(__xludf.DUMMYFUNCTION("""COMPUTED_VALUE"""),964.1833333333326)</f>
        <v>964.1833333</v>
      </c>
      <c r="P361" s="1" t="str">
        <f>IFERROR(__xludf.DUMMYFUNCTION("""COMPUTED_VALUE"""),"VLG")</f>
        <v>VLG</v>
      </c>
      <c r="Q361" s="1" t="str">
        <f>IFERROR(__xludf.DUMMYFUNCTION("""COMPUTED_VALUE"""),"ECAC")</f>
        <v>ECAC</v>
      </c>
    </row>
    <row r="362">
      <c r="A362" s="1" t="str">
        <f>IFERROR(__xludf.DUMMYFUNCTION("""COMPUTED_VALUE"""),"AAO59")</f>
        <v>AAO59</v>
      </c>
      <c r="B362" s="1" t="str">
        <f>IFERROR(__xludf.DUMMYFUNCTION("""COMPUTED_VALUE"""),"PC12")</f>
        <v>PC12</v>
      </c>
      <c r="C362" s="1" t="str">
        <f>IFERROR(__xludf.DUMMYFUNCTION("""COMPUTED_VALUE"""),"LFML")</f>
        <v>LFML</v>
      </c>
      <c r="D362" s="1" t="str">
        <f>IFERROR(__xludf.DUMMYFUNCTION("""COMPUTED_VALUE"""),"LEBL")</f>
        <v>LEBL</v>
      </c>
      <c r="E362" s="1" t="str">
        <f>IFERROR(__xludf.DUMMYFUNCTION("""COMPUTED_VALUE"""),"OKPCF")</f>
        <v>OKPCF</v>
      </c>
      <c r="F362" s="1">
        <f>IFERROR(__xludf.DUMMYFUNCTION("""COMPUTED_VALUE"""),250.0)</f>
        <v>250</v>
      </c>
      <c r="G362" s="7">
        <f>IFERROR(__xludf.DUMMYFUNCTION("""COMPUTED_VALUE"""),0.65)</f>
        <v>0.65</v>
      </c>
      <c r="H362" s="1">
        <f>IFERROR(__xludf.DUMMYFUNCTION("""COMPUTED_VALUE"""),6.0)</f>
        <v>6</v>
      </c>
      <c r="I362" s="7">
        <f>IFERROR(__xludf.DUMMYFUNCTION("""COMPUTED_VALUE"""),0.6944444444444444)</f>
        <v>0.6944444444</v>
      </c>
      <c r="J362" s="1" t="str">
        <f>IFERROR(__xludf.DUMMYFUNCTION("""COMPUTED_VALUE"""),"F")</f>
        <v>F</v>
      </c>
      <c r="K362" s="1">
        <f>IFERROR(__xludf.DUMMYFUNCTION("""COMPUTED_VALUE"""),8.0)</f>
        <v>8</v>
      </c>
      <c r="L362" s="7">
        <f>IFERROR(__xludf.DUMMYFUNCTION("""COMPUTED_VALUE"""),0.0444444444444444)</f>
        <v>0.04444444444</v>
      </c>
      <c r="M362" s="7">
        <f>IFERROR(__xludf.DUMMYFUNCTION("""COMPUTED_VALUE"""),0.027569444444444396)</f>
        <v>0.02756944444</v>
      </c>
      <c r="O362" s="9">
        <f>IFERROR(__xludf.DUMMYFUNCTION("""COMPUTED_VALUE"""),119.0999999999998)</f>
        <v>119.1</v>
      </c>
      <c r="P362" s="1" t="str">
        <f>IFERROR(__xludf.DUMMYFUNCTION("""COMPUTED_VALUE"""),"AAO")</f>
        <v>AAO</v>
      </c>
      <c r="Q362" s="1" t="str">
        <f>IFERROR(__xludf.DUMMYFUNCTION("""COMPUTED_VALUE"""),"ECAC")</f>
        <v>ECAC</v>
      </c>
    </row>
    <row r="363">
      <c r="A363" s="1" t="str">
        <f>IFERROR(__xludf.DUMMYFUNCTION("""COMPUTED_VALUE"""),"VLG53FY")</f>
        <v>VLG53FY</v>
      </c>
      <c r="B363" s="1" t="str">
        <f>IFERROR(__xludf.DUMMYFUNCTION("""COMPUTED_VALUE"""),"A320")</f>
        <v>A320</v>
      </c>
      <c r="C363" s="1" t="str">
        <f>IFERROR(__xludf.DUMMYFUNCTION("""COMPUTED_VALUE"""),"LFMN")</f>
        <v>LFMN</v>
      </c>
      <c r="D363" s="1" t="str">
        <f>IFERROR(__xludf.DUMMYFUNCTION("""COMPUTED_VALUE"""),"LEBL")</f>
        <v>LEBL</v>
      </c>
      <c r="E363" s="1" t="str">
        <f>IFERROR(__xludf.DUMMYFUNCTION("""COMPUTED_VALUE"""),"ECKDG")</f>
        <v>ECKDG</v>
      </c>
      <c r="F363" s="1">
        <f>IFERROR(__xludf.DUMMYFUNCTION("""COMPUTED_VALUE"""),290.0)</f>
        <v>290</v>
      </c>
      <c r="G363" s="7">
        <f>IFERROR(__xludf.DUMMYFUNCTION("""COMPUTED_VALUE"""),0.6597222222222222)</f>
        <v>0.6597222222</v>
      </c>
      <c r="H363" s="1">
        <f>IFERROR(__xludf.DUMMYFUNCTION("""COMPUTED_VALUE"""),11.0)</f>
        <v>11</v>
      </c>
      <c r="I363" s="7">
        <f>IFERROR(__xludf.DUMMYFUNCTION("""COMPUTED_VALUE"""),0.6944444444444444)</f>
        <v>0.6944444444</v>
      </c>
      <c r="J363" s="1" t="str">
        <f>IFERROR(__xludf.DUMMYFUNCTION("""COMPUTED_VALUE"""),"D")</f>
        <v>D</v>
      </c>
      <c r="K363" s="1">
        <f>IFERROR(__xludf.DUMMYFUNCTION("""COMPUTED_VALUE"""),173.0)</f>
        <v>173</v>
      </c>
      <c r="L363" s="7">
        <f>IFERROR(__xludf.DUMMYFUNCTION("""COMPUTED_VALUE"""),0.03472222222222221)</f>
        <v>0.03472222222</v>
      </c>
      <c r="M363" s="7">
        <f>IFERROR(__xludf.DUMMYFUNCTION("""COMPUTED_VALUE"""),0.014374999999999985)</f>
        <v>0.014375</v>
      </c>
      <c r="O363" s="9">
        <f>IFERROR(__xludf.DUMMYFUNCTION("""COMPUTED_VALUE"""),286.3499999999997)</f>
        <v>286.35</v>
      </c>
      <c r="P363" s="1" t="str">
        <f>IFERROR(__xludf.DUMMYFUNCTION("""COMPUTED_VALUE"""),"VLG")</f>
        <v>VLG</v>
      </c>
      <c r="Q363" s="1" t="str">
        <f>IFERROR(__xludf.DUMMYFUNCTION("""COMPUTED_VALUE"""),"ECAC")</f>
        <v>ECAC</v>
      </c>
    </row>
    <row r="364">
      <c r="A364" s="1" t="str">
        <f>IFERROR(__xludf.DUMMYFUNCTION("""COMPUTED_VALUE"""),"KLM69C")</f>
        <v>KLM69C</v>
      </c>
      <c r="B364" s="1" t="str">
        <f>IFERROR(__xludf.DUMMYFUNCTION("""COMPUTED_VALUE"""),"B738")</f>
        <v>B738</v>
      </c>
      <c r="C364" s="1" t="str">
        <f>IFERROR(__xludf.DUMMYFUNCTION("""COMPUTED_VALUE"""),"EHAM")</f>
        <v>EHAM</v>
      </c>
      <c r="D364" s="1" t="str">
        <f>IFERROR(__xludf.DUMMYFUNCTION("""COMPUTED_VALUE"""),"LEBL")</f>
        <v>LEBL</v>
      </c>
      <c r="E364" s="1" t="str">
        <f>IFERROR(__xludf.DUMMYFUNCTION("""COMPUTED_VALUE"""),"PHBXB")</f>
        <v>PHBXB</v>
      </c>
      <c r="F364" s="1">
        <f>IFERROR(__xludf.DUMMYFUNCTION("""COMPUTED_VALUE"""),410.0)</f>
        <v>410</v>
      </c>
      <c r="G364" s="7">
        <f>IFERROR(__xludf.DUMMYFUNCTION("""COMPUTED_VALUE"""),0.6222222222222222)</f>
        <v>0.6222222222</v>
      </c>
      <c r="H364" s="1">
        <f>IFERROR(__xludf.DUMMYFUNCTION("""COMPUTED_VALUE"""),13.0)</f>
        <v>13</v>
      </c>
      <c r="I364" s="7">
        <f>IFERROR(__xludf.DUMMYFUNCTION("""COMPUTED_VALUE"""),0.6979166666666666)</f>
        <v>0.6979166667</v>
      </c>
      <c r="J364" s="1" t="str">
        <f>IFERROR(__xludf.DUMMYFUNCTION("""COMPUTED_VALUE"""),"D")</f>
        <v>D</v>
      </c>
      <c r="K364" s="1">
        <f>IFERROR(__xludf.DUMMYFUNCTION("""COMPUTED_VALUE"""),184.0)</f>
        <v>184</v>
      </c>
      <c r="L364" s="7">
        <f>IFERROR(__xludf.DUMMYFUNCTION("""COMPUTED_VALUE"""),0.0756944444444444)</f>
        <v>0.07569444444</v>
      </c>
      <c r="M364" s="7">
        <f>IFERROR(__xludf.DUMMYFUNCTION("""COMPUTED_VALUE"""),0.05395833333333329)</f>
        <v>0.05395833333</v>
      </c>
      <c r="O364" s="9">
        <f>IFERROR(__xludf.DUMMYFUNCTION("""COMPUTED_VALUE"""),1074.8499999999992)</f>
        <v>1074.85</v>
      </c>
      <c r="P364" s="1" t="str">
        <f>IFERROR(__xludf.DUMMYFUNCTION("""COMPUTED_VALUE"""),"KLM")</f>
        <v>KLM</v>
      </c>
      <c r="Q364" s="1" t="str">
        <f>IFERROR(__xludf.DUMMYFUNCTION("""COMPUTED_VALUE"""),"ECAC")</f>
        <v>ECAC</v>
      </c>
    </row>
    <row r="365">
      <c r="A365" s="1" t="str">
        <f>IFERROR(__xludf.DUMMYFUNCTION("""COMPUTED_VALUE"""),"EWG75Z")</f>
        <v>EWG75Z</v>
      </c>
      <c r="B365" s="1" t="str">
        <f>IFERROR(__xludf.DUMMYFUNCTION("""COMPUTED_VALUE"""),"A320")</f>
        <v>A320</v>
      </c>
      <c r="C365" s="1" t="str">
        <f>IFERROR(__xludf.DUMMYFUNCTION("""COMPUTED_VALUE"""),"EDDL")</f>
        <v>EDDL</v>
      </c>
      <c r="D365" s="1" t="str">
        <f>IFERROR(__xludf.DUMMYFUNCTION("""COMPUTED_VALUE"""),"LEBL")</f>
        <v>LEBL</v>
      </c>
      <c r="E365" s="1" t="str">
        <f>IFERROR(__xludf.DUMMYFUNCTION("""COMPUTED_VALUE"""),"9HMLO")</f>
        <v>9HMLO</v>
      </c>
      <c r="F365" s="1">
        <f>IFERROR(__xludf.DUMMYFUNCTION("""COMPUTED_VALUE"""),350.0)</f>
        <v>350</v>
      </c>
      <c r="G365" s="7">
        <f>IFERROR(__xludf.DUMMYFUNCTION("""COMPUTED_VALUE"""),0.6083333333333333)</f>
        <v>0.6083333333</v>
      </c>
      <c r="H365" s="1">
        <f>IFERROR(__xludf.DUMMYFUNCTION("""COMPUTED_VALUE"""),11.0)</f>
        <v>11</v>
      </c>
      <c r="I365" s="7">
        <f>IFERROR(__xludf.DUMMYFUNCTION("""COMPUTED_VALUE"""),0.6979166666666666)</f>
        <v>0.6979166667</v>
      </c>
      <c r="J365" s="1" t="str">
        <f>IFERROR(__xludf.DUMMYFUNCTION("""COMPUTED_VALUE"""),"D")</f>
        <v>D</v>
      </c>
      <c r="K365" s="1">
        <f>IFERROR(__xludf.DUMMYFUNCTION("""COMPUTED_VALUE"""),173.0)</f>
        <v>173</v>
      </c>
      <c r="L365" s="7">
        <f>IFERROR(__xludf.DUMMYFUNCTION("""COMPUTED_VALUE"""),0.08958333333333335)</f>
        <v>0.08958333333</v>
      </c>
      <c r="M365" s="7">
        <f>IFERROR(__xludf.DUMMYFUNCTION("""COMPUTED_VALUE"""),0.06923611111111112)</f>
        <v>0.06923611111</v>
      </c>
      <c r="O365" s="9">
        <f>IFERROR(__xludf.DUMMYFUNCTION("""COMPUTED_VALUE"""),1379.1833333333336)</f>
        <v>1379.183333</v>
      </c>
      <c r="P365" s="1" t="str">
        <f>IFERROR(__xludf.DUMMYFUNCTION("""COMPUTED_VALUE"""),"EWG")</f>
        <v>EWG</v>
      </c>
      <c r="Q365" s="1" t="str">
        <f>IFERROR(__xludf.DUMMYFUNCTION("""COMPUTED_VALUE"""),"ECAC")</f>
        <v>ECAC</v>
      </c>
    </row>
    <row r="366">
      <c r="A366" s="1" t="str">
        <f>IFERROR(__xludf.DUMMYFUNCTION("""COMPUTED_VALUE"""),"VLG232C")</f>
        <v>VLG232C</v>
      </c>
      <c r="B366" s="1" t="str">
        <f>IFERROR(__xludf.DUMMYFUNCTION("""COMPUTED_VALUE"""),"A321")</f>
        <v>A321</v>
      </c>
      <c r="C366" s="1" t="str">
        <f>IFERROR(__xludf.DUMMYFUNCTION("""COMPUTED_VALUE"""),"LFPG")</f>
        <v>LFPG</v>
      </c>
      <c r="D366" s="1" t="str">
        <f>IFERROR(__xludf.DUMMYFUNCTION("""COMPUTED_VALUE"""),"LEBL")</f>
        <v>LEBL</v>
      </c>
      <c r="E366" s="1" t="str">
        <f>IFERROR(__xludf.DUMMYFUNCTION("""COMPUTED_VALUE"""),"ECNLV")</f>
        <v>ECNLV</v>
      </c>
      <c r="F366" s="1">
        <f>IFERROR(__xludf.DUMMYFUNCTION("""COMPUTED_VALUE"""),350.0)</f>
        <v>350</v>
      </c>
      <c r="G366" s="7">
        <f>IFERROR(__xludf.DUMMYFUNCTION("""COMPUTED_VALUE"""),0.6458333333333334)</f>
        <v>0.6458333333</v>
      </c>
      <c r="H366" s="1">
        <f>IFERROR(__xludf.DUMMYFUNCTION("""COMPUTED_VALUE"""),25.0)</f>
        <v>25</v>
      </c>
      <c r="I366" s="7">
        <f>IFERROR(__xludf.DUMMYFUNCTION("""COMPUTED_VALUE"""),0.6979166666666666)</f>
        <v>0.6979166667</v>
      </c>
      <c r="J366" s="1" t="str">
        <f>IFERROR(__xludf.DUMMYFUNCTION("""COMPUTED_VALUE"""),"D")</f>
        <v>D</v>
      </c>
      <c r="K366" s="1">
        <f>IFERROR(__xludf.DUMMYFUNCTION("""COMPUTED_VALUE"""),207.0)</f>
        <v>207</v>
      </c>
      <c r="L366" s="7">
        <f>IFERROR(__xludf.DUMMYFUNCTION("""COMPUTED_VALUE"""),0.05208333333333326)</f>
        <v>0.05208333333</v>
      </c>
      <c r="M366" s="7">
        <f>IFERROR(__xludf.DUMMYFUNCTION("""COMPUTED_VALUE"""),0.022013888888888812)</f>
        <v>0.02201388889</v>
      </c>
      <c r="O366" s="9">
        <f>IFERROR(__xludf.DUMMYFUNCTION("""COMPUTED_VALUE"""),438.5166666666652)</f>
        <v>438.5166667</v>
      </c>
      <c r="P366" s="1" t="str">
        <f>IFERROR(__xludf.DUMMYFUNCTION("""COMPUTED_VALUE"""),"VLG")</f>
        <v>VLG</v>
      </c>
      <c r="Q366" s="1" t="str">
        <f>IFERROR(__xludf.DUMMYFUNCTION("""COMPUTED_VALUE"""),"ECAC")</f>
        <v>ECAC</v>
      </c>
    </row>
    <row r="367">
      <c r="A367" s="1" t="str">
        <f>IFERROR(__xludf.DUMMYFUNCTION("""COMPUTED_VALUE"""),"EJU65KC")</f>
        <v>EJU65KC</v>
      </c>
      <c r="B367" s="1" t="str">
        <f>IFERROR(__xludf.DUMMYFUNCTION("""COMPUTED_VALUE"""),"A319")</f>
        <v>A319</v>
      </c>
      <c r="C367" s="1" t="str">
        <f>IFERROR(__xludf.DUMMYFUNCTION("""COMPUTED_VALUE"""),"LIRN")</f>
        <v>LIRN</v>
      </c>
      <c r="D367" s="1" t="str">
        <f>IFERROR(__xludf.DUMMYFUNCTION("""COMPUTED_VALUE"""),"LEBL")</f>
        <v>LEBL</v>
      </c>
      <c r="E367" s="1" t="str">
        <f>IFERROR(__xludf.DUMMYFUNCTION("""COMPUTED_VALUE"""),"OELQU")</f>
        <v>OELQU</v>
      </c>
      <c r="F367" s="1">
        <f>IFERROR(__xludf.DUMMYFUNCTION("""COMPUTED_VALUE"""),340.0)</f>
        <v>340</v>
      </c>
      <c r="G367" s="7">
        <f>IFERROR(__xludf.DUMMYFUNCTION("""COMPUTED_VALUE"""),0.6368055555555555)</f>
        <v>0.6368055556</v>
      </c>
      <c r="H367" s="1">
        <f>IFERROR(__xludf.DUMMYFUNCTION("""COMPUTED_VALUE"""),14.0)</f>
        <v>14</v>
      </c>
      <c r="I367" s="7">
        <f>IFERROR(__xludf.DUMMYFUNCTION("""COMPUTED_VALUE"""),0.7013888888888888)</f>
        <v>0.7013888889</v>
      </c>
      <c r="J367" s="1" t="str">
        <f>IFERROR(__xludf.DUMMYFUNCTION("""COMPUTED_VALUE"""),"D")</f>
        <v>D</v>
      </c>
      <c r="K367" s="1">
        <f>IFERROR(__xludf.DUMMYFUNCTION("""COMPUTED_VALUE"""),144.0)</f>
        <v>144</v>
      </c>
      <c r="L367" s="7">
        <f>IFERROR(__xludf.DUMMYFUNCTION("""COMPUTED_VALUE"""),0.06458333333333333)</f>
        <v>0.06458333333</v>
      </c>
      <c r="M367" s="7">
        <f>IFERROR(__xludf.DUMMYFUNCTION("""COMPUTED_VALUE"""),0.04215277777777777)</f>
        <v>0.04215277778</v>
      </c>
      <c r="O367" s="9">
        <f>IFERROR(__xludf.DUMMYFUNCTION("""COMPUTED_VALUE"""),839.6833333333332)</f>
        <v>839.6833333</v>
      </c>
      <c r="P367" s="1" t="str">
        <f>IFERROR(__xludf.DUMMYFUNCTION("""COMPUTED_VALUE"""),"EJU")</f>
        <v>EJU</v>
      </c>
      <c r="Q367" s="1" t="str">
        <f>IFERROR(__xludf.DUMMYFUNCTION("""COMPUTED_VALUE"""),"ECAC")</f>
        <v>ECAC</v>
      </c>
    </row>
    <row r="368">
      <c r="A368" s="1" t="str">
        <f>IFERROR(__xludf.DUMMYFUNCTION("""COMPUTED_VALUE"""),"NSZ3658")</f>
        <v>NSZ3658</v>
      </c>
      <c r="B368" s="1" t="str">
        <f>IFERROR(__xludf.DUMMYFUNCTION("""COMPUTED_VALUE"""),"B738")</f>
        <v>B738</v>
      </c>
      <c r="C368" s="1" t="str">
        <f>IFERROR(__xludf.DUMMYFUNCTION("""COMPUTED_VALUE"""),"EKCH")</f>
        <v>EKCH</v>
      </c>
      <c r="D368" s="1" t="str">
        <f>IFERROR(__xludf.DUMMYFUNCTION("""COMPUTED_VALUE"""),"LEBL")</f>
        <v>LEBL</v>
      </c>
      <c r="E368" s="1" t="str">
        <f>IFERROR(__xludf.DUMMYFUNCTION("""COMPUTED_VALUE"""),"SERPJ")</f>
        <v>SERPJ</v>
      </c>
      <c r="F368" s="1">
        <f>IFERROR(__xludf.DUMMYFUNCTION("""COMPUTED_VALUE"""),390.0)</f>
        <v>390</v>
      </c>
      <c r="G368" s="7">
        <f>IFERROR(__xludf.DUMMYFUNCTION("""COMPUTED_VALUE"""),0.5972222222222222)</f>
        <v>0.5972222222</v>
      </c>
      <c r="H368" s="1">
        <f>IFERROR(__xludf.DUMMYFUNCTION("""COMPUTED_VALUE"""),10.0)</f>
        <v>10</v>
      </c>
      <c r="I368" s="7">
        <f>IFERROR(__xludf.DUMMYFUNCTION("""COMPUTED_VALUE"""),0.7013888888888888)</f>
        <v>0.7013888889</v>
      </c>
      <c r="J368" s="1" t="str">
        <f>IFERROR(__xludf.DUMMYFUNCTION("""COMPUTED_VALUE"""),"D")</f>
        <v>D</v>
      </c>
      <c r="K368" s="1">
        <f>IFERROR(__xludf.DUMMYFUNCTION("""COMPUTED_VALUE"""),184.0)</f>
        <v>184</v>
      </c>
      <c r="L368" s="7">
        <f>IFERROR(__xludf.DUMMYFUNCTION("""COMPUTED_VALUE"""),0.10416666666666663)</f>
        <v>0.1041666667</v>
      </c>
      <c r="M368" s="7">
        <f>IFERROR(__xludf.DUMMYFUNCTION("""COMPUTED_VALUE"""),0.08451388888888885)</f>
        <v>0.08451388889</v>
      </c>
      <c r="O368" s="9">
        <f>IFERROR(__xludf.DUMMYFUNCTION("""COMPUTED_VALUE"""),1683.516666666666)</f>
        <v>1683.516667</v>
      </c>
      <c r="P368" s="1" t="str">
        <f>IFERROR(__xludf.DUMMYFUNCTION("""COMPUTED_VALUE"""),"NSZ")</f>
        <v>NSZ</v>
      </c>
      <c r="Q368" s="1" t="str">
        <f>IFERROR(__xludf.DUMMYFUNCTION("""COMPUTED_VALUE"""),"ECAC")</f>
        <v>ECAC</v>
      </c>
    </row>
    <row r="369">
      <c r="A369" s="1" t="str">
        <f>IFERROR(__xludf.DUMMYFUNCTION("""COMPUTED_VALUE"""),"RYR1JV")</f>
        <v>RYR1JV</v>
      </c>
      <c r="B369" s="1" t="str">
        <f>IFERROR(__xludf.DUMMYFUNCTION("""COMPUTED_VALUE"""),"B738")</f>
        <v>B738</v>
      </c>
      <c r="C369" s="1" t="str">
        <f>IFERROR(__xludf.DUMMYFUNCTION("""COMPUTED_VALUE"""),"LFOB")</f>
        <v>LFOB</v>
      </c>
      <c r="D369" s="1" t="str">
        <f>IFERROR(__xludf.DUMMYFUNCTION("""COMPUTED_VALUE"""),"LEBL")</f>
        <v>LEBL</v>
      </c>
      <c r="E369" s="1" t="str">
        <f>IFERROR(__xludf.DUMMYFUNCTION("""COMPUTED_VALUE"""),"EIENF")</f>
        <v>EIENF</v>
      </c>
      <c r="F369" s="1">
        <f>IFERROR(__xludf.DUMMYFUNCTION("""COMPUTED_VALUE"""),370.0)</f>
        <v>370</v>
      </c>
      <c r="G369" s="7">
        <f>IFERROR(__xludf.DUMMYFUNCTION("""COMPUTED_VALUE"""),0.6493055555555556)</f>
        <v>0.6493055556</v>
      </c>
      <c r="H369" s="1">
        <f>IFERROR(__xludf.DUMMYFUNCTION("""COMPUTED_VALUE"""),15.0)</f>
        <v>15</v>
      </c>
      <c r="I369" s="7">
        <f>IFERROR(__xludf.DUMMYFUNCTION("""COMPUTED_VALUE"""),0.7048611111111112)</f>
        <v>0.7048611111</v>
      </c>
      <c r="J369" s="1" t="str">
        <f>IFERROR(__xludf.DUMMYFUNCTION("""COMPUTED_VALUE"""),"D")</f>
        <v>D</v>
      </c>
      <c r="K369" s="1">
        <f>IFERROR(__xludf.DUMMYFUNCTION("""COMPUTED_VALUE"""),184.0)</f>
        <v>184</v>
      </c>
      <c r="L369" s="7">
        <f>IFERROR(__xludf.DUMMYFUNCTION("""COMPUTED_VALUE"""),0.05555555555555558)</f>
        <v>0.05555555556</v>
      </c>
      <c r="M369" s="7">
        <f>IFERROR(__xludf.DUMMYFUNCTION("""COMPUTED_VALUE"""),0.03243055555555558)</f>
        <v>0.03243055556</v>
      </c>
      <c r="O369" s="9">
        <f>IFERROR(__xludf.DUMMYFUNCTION("""COMPUTED_VALUE"""),646.0166666666672)</f>
        <v>646.0166667</v>
      </c>
      <c r="P369" s="1" t="str">
        <f>IFERROR(__xludf.DUMMYFUNCTION("""COMPUTED_VALUE"""),"RYR")</f>
        <v>RYR</v>
      </c>
      <c r="Q369" s="1" t="str">
        <f>IFERROR(__xludf.DUMMYFUNCTION("""COMPUTED_VALUE"""),"ECAC")</f>
        <v>ECAC</v>
      </c>
    </row>
    <row r="370">
      <c r="A370" s="1" t="str">
        <f>IFERROR(__xludf.DUMMYFUNCTION("""COMPUTED_VALUE"""),"VLG5QB")</f>
        <v>VLG5QB</v>
      </c>
      <c r="B370" s="1" t="str">
        <f>IFERROR(__xludf.DUMMYFUNCTION("""COMPUTED_VALUE"""),"A320")</f>
        <v>A320</v>
      </c>
      <c r="C370" s="1" t="str">
        <f>IFERROR(__xludf.DUMMYFUNCTION("""COMPUTED_VALUE"""),"LEIB")</f>
        <v>LEIB</v>
      </c>
      <c r="D370" s="1" t="str">
        <f>IFERROR(__xludf.DUMMYFUNCTION("""COMPUTED_VALUE"""),"LEBL")</f>
        <v>LEBL</v>
      </c>
      <c r="E370" s="1" t="str">
        <f>IFERROR(__xludf.DUMMYFUNCTION("""COMPUTED_VALUE"""),"ECODN")</f>
        <v>ECODN</v>
      </c>
      <c r="F370" s="1">
        <f>IFERROR(__xludf.DUMMYFUNCTION("""COMPUTED_VALUE"""),180.0)</f>
        <v>180</v>
      </c>
      <c r="G370" s="7">
        <f>IFERROR(__xludf.DUMMYFUNCTION("""COMPUTED_VALUE"""),0.6673611111111111)</f>
        <v>0.6673611111</v>
      </c>
      <c r="H370" s="1">
        <f>IFERROR(__xludf.DUMMYFUNCTION("""COMPUTED_VALUE"""),12.0)</f>
        <v>12</v>
      </c>
      <c r="I370" s="7">
        <f>IFERROR(__xludf.DUMMYFUNCTION("""COMPUTED_VALUE"""),0.7048611111111112)</f>
        <v>0.7048611111</v>
      </c>
      <c r="J370" s="1" t="str">
        <f>IFERROR(__xludf.DUMMYFUNCTION("""COMPUTED_VALUE"""),"D")</f>
        <v>D</v>
      </c>
      <c r="K370" s="1">
        <f>IFERROR(__xludf.DUMMYFUNCTION("""COMPUTED_VALUE"""),173.0)</f>
        <v>173</v>
      </c>
      <c r="L370" s="7">
        <f>IFERROR(__xludf.DUMMYFUNCTION("""COMPUTED_VALUE"""),0.03750000000000009)</f>
        <v>0.0375</v>
      </c>
      <c r="M370" s="7">
        <f>IFERROR(__xludf.DUMMYFUNCTION("""COMPUTED_VALUE"""),0.016458333333333422)</f>
        <v>0.01645833333</v>
      </c>
      <c r="O370" s="9">
        <f>IFERROR(__xludf.DUMMYFUNCTION("""COMPUTED_VALUE"""),327.8500000000018)</f>
        <v>327.85</v>
      </c>
      <c r="P370" s="1" t="str">
        <f>IFERROR(__xludf.DUMMYFUNCTION("""COMPUTED_VALUE"""),"VLG")</f>
        <v>VLG</v>
      </c>
      <c r="Q370" s="1" t="str">
        <f>IFERROR(__xludf.DUMMYFUNCTION("""COMPUTED_VALUE"""),"ECAC")</f>
        <v>ECAC</v>
      </c>
    </row>
    <row r="371">
      <c r="A371" s="1" t="str">
        <f>IFERROR(__xludf.DUMMYFUNCTION("""COMPUTED_VALUE"""),"VLG88YX")</f>
        <v>VLG88YX</v>
      </c>
      <c r="B371" s="1" t="str">
        <f>IFERROR(__xludf.DUMMYFUNCTION("""COMPUTED_VALUE"""),"A320")</f>
        <v>A320</v>
      </c>
      <c r="C371" s="1" t="str">
        <f>IFERROR(__xludf.DUMMYFUNCTION("""COMPUTED_VALUE"""),"GCXO")</f>
        <v>GCXO</v>
      </c>
      <c r="D371" s="1" t="str">
        <f>IFERROR(__xludf.DUMMYFUNCTION("""COMPUTED_VALUE"""),"LEBL")</f>
        <v>LEBL</v>
      </c>
      <c r="E371" s="1" t="str">
        <f>IFERROR(__xludf.DUMMYFUNCTION("""COMPUTED_VALUE"""),"ECMOG")</f>
        <v>ECMOG</v>
      </c>
      <c r="F371" s="1">
        <f>IFERROR(__xludf.DUMMYFUNCTION("""COMPUTED_VALUE"""),360.0)</f>
        <v>360</v>
      </c>
      <c r="G371" s="7">
        <f>IFERROR(__xludf.DUMMYFUNCTION("""COMPUTED_VALUE"""),0.5888888888888889)</f>
        <v>0.5888888889</v>
      </c>
      <c r="H371" s="1">
        <f>IFERROR(__xludf.DUMMYFUNCTION("""COMPUTED_VALUE"""),8.0)</f>
        <v>8</v>
      </c>
      <c r="I371" s="7">
        <f>IFERROR(__xludf.DUMMYFUNCTION("""COMPUTED_VALUE"""),0.7048611111111112)</f>
        <v>0.7048611111</v>
      </c>
      <c r="J371" s="1" t="str">
        <f>IFERROR(__xludf.DUMMYFUNCTION("""COMPUTED_VALUE"""),"D")</f>
        <v>D</v>
      </c>
      <c r="K371" s="1">
        <f>IFERROR(__xludf.DUMMYFUNCTION("""COMPUTED_VALUE"""),173.0)</f>
        <v>173</v>
      </c>
      <c r="L371" s="7">
        <f>IFERROR(__xludf.DUMMYFUNCTION("""COMPUTED_VALUE"""),0.11597222222222225)</f>
        <v>0.1159722222</v>
      </c>
      <c r="M371" s="7">
        <f>IFERROR(__xludf.DUMMYFUNCTION("""COMPUTED_VALUE"""),0.09770833333333337)</f>
        <v>0.09770833333</v>
      </c>
      <c r="O371" s="9">
        <f>IFERROR(__xludf.DUMMYFUNCTION("""COMPUTED_VALUE"""),1946.3500000000006)</f>
        <v>1946.35</v>
      </c>
      <c r="P371" s="1" t="str">
        <f>IFERROR(__xludf.DUMMYFUNCTION("""COMPUTED_VALUE"""),"VLG")</f>
        <v>VLG</v>
      </c>
      <c r="Q371" s="1" t="str">
        <f>IFERROR(__xludf.DUMMYFUNCTION("""COMPUTED_VALUE"""),"ECAC")</f>
        <v>ECAC</v>
      </c>
    </row>
    <row r="372">
      <c r="A372" s="1" t="str">
        <f>IFERROR(__xludf.DUMMYFUNCTION("""COMPUTED_VALUE"""),"WZZ98")</f>
        <v>WZZ98</v>
      </c>
      <c r="B372" s="1" t="str">
        <f>IFERROR(__xludf.DUMMYFUNCTION("""COMPUTED_VALUE"""),"A21N")</f>
        <v>A21N</v>
      </c>
      <c r="C372" s="1" t="str">
        <f>IFERROR(__xludf.DUMMYFUNCTION("""COMPUTED_VALUE"""),"LHBP")</f>
        <v>LHBP</v>
      </c>
      <c r="D372" s="1" t="str">
        <f>IFERROR(__xludf.DUMMYFUNCTION("""COMPUTED_VALUE"""),"LEBL")</f>
        <v>LEBL</v>
      </c>
      <c r="E372" s="1" t="str">
        <f>IFERROR(__xludf.DUMMYFUNCTION("""COMPUTED_VALUE"""),"HALGN")</f>
        <v>HALGN</v>
      </c>
      <c r="F372" s="1">
        <f>IFERROR(__xludf.DUMMYFUNCTION("""COMPUTED_VALUE"""),350.0)</f>
        <v>350</v>
      </c>
      <c r="G372" s="7">
        <f>IFERROR(__xludf.DUMMYFUNCTION("""COMPUTED_VALUE"""),0.6229166666666667)</f>
        <v>0.6229166667</v>
      </c>
      <c r="H372" s="1">
        <f>IFERROR(__xludf.DUMMYFUNCTION("""COMPUTED_VALUE"""),10.0)</f>
        <v>10</v>
      </c>
      <c r="I372" s="7">
        <f>IFERROR(__xludf.DUMMYFUNCTION("""COMPUTED_VALUE"""),0.7048611111111112)</f>
        <v>0.7048611111</v>
      </c>
      <c r="J372" s="1" t="str">
        <f>IFERROR(__xludf.DUMMYFUNCTION("""COMPUTED_VALUE"""),"D")</f>
        <v>D</v>
      </c>
      <c r="K372" s="1">
        <f>IFERROR(__xludf.DUMMYFUNCTION("""COMPUTED_VALUE"""),200.0)</f>
        <v>200</v>
      </c>
      <c r="L372" s="7">
        <f>IFERROR(__xludf.DUMMYFUNCTION("""COMPUTED_VALUE"""),0.08194444444444449)</f>
        <v>0.08194444444</v>
      </c>
      <c r="M372" s="7">
        <f>IFERROR(__xludf.DUMMYFUNCTION("""COMPUTED_VALUE"""),0.062291666666666703)</f>
        <v>0.06229166667</v>
      </c>
      <c r="O372" s="9">
        <f>IFERROR(__xludf.DUMMYFUNCTION("""COMPUTED_VALUE"""),1240.8500000000008)</f>
        <v>1240.85</v>
      </c>
      <c r="P372" s="1" t="str">
        <f>IFERROR(__xludf.DUMMYFUNCTION("""COMPUTED_VALUE"""),"WZZ")</f>
        <v>WZZ</v>
      </c>
      <c r="Q372" s="1" t="str">
        <f>IFERROR(__xludf.DUMMYFUNCTION("""COMPUTED_VALUE"""),"ECAC")</f>
        <v>ECAC</v>
      </c>
    </row>
    <row r="373">
      <c r="A373" s="1" t="str">
        <f>IFERROR(__xludf.DUMMYFUNCTION("""COMPUTED_VALUE"""),"NJE024U")</f>
        <v>NJE024U</v>
      </c>
      <c r="B373" s="1" t="str">
        <f>IFERROR(__xludf.DUMMYFUNCTION("""COMPUTED_VALUE"""),"CL35")</f>
        <v>CL35</v>
      </c>
      <c r="C373" s="1" t="str">
        <f>IFERROR(__xludf.DUMMYFUNCTION("""COMPUTED_VALUE"""),"EGKB")</f>
        <v>EGKB</v>
      </c>
      <c r="D373" s="1" t="str">
        <f>IFERROR(__xludf.DUMMYFUNCTION("""COMPUTED_VALUE"""),"LEBL")</f>
        <v>LEBL</v>
      </c>
      <c r="E373" s="1" t="str">
        <f>IFERROR(__xludf.DUMMYFUNCTION("""COMPUTED_VALUE"""),"CSCHG")</f>
        <v>CSCHG</v>
      </c>
      <c r="F373" s="1">
        <f>IFERROR(__xludf.DUMMYFUNCTION("""COMPUTED_VALUE"""),350.0)</f>
        <v>350</v>
      </c>
      <c r="G373" s="7">
        <f>IFERROR(__xludf.DUMMYFUNCTION("""COMPUTED_VALUE"""),0.6527777777777778)</f>
        <v>0.6527777778</v>
      </c>
      <c r="H373" s="1">
        <f>IFERROR(__xludf.DUMMYFUNCTION("""COMPUTED_VALUE"""),10.0)</f>
        <v>10</v>
      </c>
      <c r="I373" s="7">
        <f>IFERROR(__xludf.DUMMYFUNCTION("""COMPUTED_VALUE"""),0.7083333333333334)</f>
        <v>0.7083333333</v>
      </c>
      <c r="J373" s="1" t="str">
        <f>IFERROR(__xludf.DUMMYFUNCTION("""COMPUTED_VALUE"""),"E")</f>
        <v>E</v>
      </c>
      <c r="K373" s="1">
        <f>IFERROR(__xludf.DUMMYFUNCTION("""COMPUTED_VALUE"""),9.0)</f>
        <v>9</v>
      </c>
      <c r="L373" s="7">
        <f>IFERROR(__xludf.DUMMYFUNCTION("""COMPUTED_VALUE"""),0.05555555555555558)</f>
        <v>0.05555555556</v>
      </c>
      <c r="M373" s="7">
        <f>IFERROR(__xludf.DUMMYFUNCTION("""COMPUTED_VALUE"""),0.0359027777777778)</f>
        <v>0.03590277778</v>
      </c>
      <c r="O373" s="9">
        <f>IFERROR(__xludf.DUMMYFUNCTION("""COMPUTED_VALUE"""),387.7500000000002)</f>
        <v>387.75</v>
      </c>
      <c r="P373" s="1" t="str">
        <f>IFERROR(__xludf.DUMMYFUNCTION("""COMPUTED_VALUE"""),"NJE")</f>
        <v>NJE</v>
      </c>
      <c r="Q373" s="1" t="str">
        <f>IFERROR(__xludf.DUMMYFUNCTION("""COMPUTED_VALUE"""),"NO ECAC")</f>
        <v>NO ECAC</v>
      </c>
    </row>
    <row r="374">
      <c r="A374" s="1" t="str">
        <f>IFERROR(__xludf.DUMMYFUNCTION("""COMPUTED_VALUE"""),"WZZ671")</f>
        <v>WZZ671</v>
      </c>
      <c r="B374" s="1" t="str">
        <f>IFERROR(__xludf.DUMMYFUNCTION("""COMPUTED_VALUE"""),"A21N")</f>
        <v>A21N</v>
      </c>
      <c r="C374" s="1" t="str">
        <f>IFERROR(__xludf.DUMMYFUNCTION("""COMPUTED_VALUE"""),"EPWA")</f>
        <v>EPWA</v>
      </c>
      <c r="D374" s="1" t="str">
        <f>IFERROR(__xludf.DUMMYFUNCTION("""COMPUTED_VALUE"""),"LEBL")</f>
        <v>LEBL</v>
      </c>
      <c r="E374" s="1" t="str">
        <f>IFERROR(__xludf.DUMMYFUNCTION("""COMPUTED_VALUE"""),"9HWDP")</f>
        <v>9HWDP</v>
      </c>
      <c r="F374" s="1">
        <f>IFERROR(__xludf.DUMMYFUNCTION("""COMPUTED_VALUE"""),360.0)</f>
        <v>360</v>
      </c>
      <c r="G374" s="7">
        <f>IFERROR(__xludf.DUMMYFUNCTION("""COMPUTED_VALUE"""),0.5972222222222222)</f>
        <v>0.5972222222</v>
      </c>
      <c r="H374" s="1">
        <f>IFERROR(__xludf.DUMMYFUNCTION("""COMPUTED_VALUE"""),21.0)</f>
        <v>21</v>
      </c>
      <c r="I374" s="7">
        <f>IFERROR(__xludf.DUMMYFUNCTION("""COMPUTED_VALUE"""),0.7083333333333334)</f>
        <v>0.7083333333</v>
      </c>
      <c r="J374" s="1" t="str">
        <f>IFERROR(__xludf.DUMMYFUNCTION("""COMPUTED_VALUE"""),"D")</f>
        <v>D</v>
      </c>
      <c r="K374" s="1">
        <f>IFERROR(__xludf.DUMMYFUNCTION("""COMPUTED_VALUE"""),200.0)</f>
        <v>200</v>
      </c>
      <c r="L374" s="7">
        <f>IFERROR(__xludf.DUMMYFUNCTION("""COMPUTED_VALUE"""),0.11111111111111116)</f>
        <v>0.1111111111</v>
      </c>
      <c r="M374" s="7">
        <f>IFERROR(__xludf.DUMMYFUNCTION("""COMPUTED_VALUE"""),0.08381944444444449)</f>
        <v>0.08381944444</v>
      </c>
      <c r="O374" s="9">
        <f>IFERROR(__xludf.DUMMYFUNCTION("""COMPUTED_VALUE"""),1669.683333333334)</f>
        <v>1669.683333</v>
      </c>
      <c r="P374" s="1" t="str">
        <f>IFERROR(__xludf.DUMMYFUNCTION("""COMPUTED_VALUE"""),"WZZ")</f>
        <v>WZZ</v>
      </c>
      <c r="Q374" s="1" t="str">
        <f>IFERROR(__xludf.DUMMYFUNCTION("""COMPUTED_VALUE"""),"ECAC")</f>
        <v>ECAC</v>
      </c>
    </row>
    <row r="375">
      <c r="A375" s="1" t="str">
        <f>IFERROR(__xludf.DUMMYFUNCTION("""COMPUTED_VALUE"""),"RYR2WJ")</f>
        <v>RYR2WJ</v>
      </c>
      <c r="B375" s="1" t="str">
        <f>IFERROR(__xludf.DUMMYFUNCTION("""COMPUTED_VALUE"""),"B38M")</f>
        <v>B38M</v>
      </c>
      <c r="C375" s="1" t="str">
        <f>IFERROR(__xludf.DUMMYFUNCTION("""COMPUTED_VALUE"""),"EDDK")</f>
        <v>EDDK</v>
      </c>
      <c r="D375" s="1" t="str">
        <f>IFERROR(__xludf.DUMMYFUNCTION("""COMPUTED_VALUE"""),"LEBL")</f>
        <v>LEBL</v>
      </c>
      <c r="E375" s="1" t="str">
        <f>IFERROR(__xludf.DUMMYFUNCTION("""COMPUTED_VALUE"""),"9HVVR")</f>
        <v>9HVVR</v>
      </c>
      <c r="F375" s="1">
        <f>IFERROR(__xludf.DUMMYFUNCTION("""COMPUTED_VALUE"""),390.0)</f>
        <v>390</v>
      </c>
      <c r="G375" s="7">
        <f>IFERROR(__xludf.DUMMYFUNCTION("""COMPUTED_VALUE"""),0.6402777777777777)</f>
        <v>0.6402777778</v>
      </c>
      <c r="H375" s="1">
        <f>IFERROR(__xludf.DUMMYFUNCTION("""COMPUTED_VALUE"""),17.0)</f>
        <v>17</v>
      </c>
      <c r="I375" s="7">
        <f>IFERROR(__xludf.DUMMYFUNCTION("""COMPUTED_VALUE"""),0.7083333333333334)</f>
        <v>0.7083333333</v>
      </c>
      <c r="J375" s="1" t="str">
        <f>IFERROR(__xludf.DUMMYFUNCTION("""COMPUTED_VALUE"""),"D")</f>
        <v>D</v>
      </c>
      <c r="K375" s="1">
        <f>IFERROR(__xludf.DUMMYFUNCTION("""COMPUTED_VALUE"""),186.0)</f>
        <v>186</v>
      </c>
      <c r="L375" s="7">
        <f>IFERROR(__xludf.DUMMYFUNCTION("""COMPUTED_VALUE"""),0.06805555555555565)</f>
        <v>0.06805555556</v>
      </c>
      <c r="M375" s="7">
        <f>IFERROR(__xludf.DUMMYFUNCTION("""COMPUTED_VALUE"""),0.043541666666666756)</f>
        <v>0.04354166667</v>
      </c>
      <c r="O375" s="9">
        <f>IFERROR(__xludf.DUMMYFUNCTION("""COMPUTED_VALUE"""),867.3500000000017)</f>
        <v>867.35</v>
      </c>
      <c r="P375" s="1" t="str">
        <f>IFERROR(__xludf.DUMMYFUNCTION("""COMPUTED_VALUE"""),"RYR")</f>
        <v>RYR</v>
      </c>
      <c r="Q375" s="1" t="str">
        <f>IFERROR(__xludf.DUMMYFUNCTION("""COMPUTED_VALUE"""),"ECAC")</f>
        <v>ECAC</v>
      </c>
    </row>
    <row r="376">
      <c r="A376" s="1" t="str">
        <f>IFERROR(__xludf.DUMMYFUNCTION("""COMPUTED_VALUE"""),"ETD19N")</f>
        <v>ETD19N</v>
      </c>
      <c r="B376" s="1" t="str">
        <f>IFERROR(__xludf.DUMMYFUNCTION("""COMPUTED_VALUE"""),"B789")</f>
        <v>B789</v>
      </c>
      <c r="C376" s="1" t="str">
        <f>IFERROR(__xludf.DUMMYFUNCTION("""COMPUTED_VALUE"""),"OMAA")</f>
        <v>OMAA</v>
      </c>
      <c r="D376" s="1" t="str">
        <f>IFERROR(__xludf.DUMMYFUNCTION("""COMPUTED_VALUE"""),"LEBL")</f>
        <v>LEBL</v>
      </c>
      <c r="E376" s="1" t="str">
        <f>IFERROR(__xludf.DUMMYFUNCTION("""COMPUTED_VALUE"""),"A6BNB")</f>
        <v>A6BNB</v>
      </c>
      <c r="F376" s="1">
        <f>IFERROR(__xludf.DUMMYFUNCTION("""COMPUTED_VALUE"""),400.0)</f>
        <v>400</v>
      </c>
      <c r="G376" s="7">
        <f>IFERROR(__xludf.DUMMYFUNCTION("""COMPUTED_VALUE"""),0.4270833333333333)</f>
        <v>0.4270833333</v>
      </c>
      <c r="H376" s="1">
        <f>IFERROR(__xludf.DUMMYFUNCTION("""COMPUTED_VALUE"""),10.0)</f>
        <v>10</v>
      </c>
      <c r="I376" s="7">
        <f>IFERROR(__xludf.DUMMYFUNCTION("""COMPUTED_VALUE"""),0.7118055555555556)</f>
        <v>0.7118055556</v>
      </c>
      <c r="J376" s="1" t="str">
        <f>IFERROR(__xludf.DUMMYFUNCTION("""COMPUTED_VALUE"""),"B")</f>
        <v>B</v>
      </c>
      <c r="K376" s="1">
        <f>IFERROR(__xludf.DUMMYFUNCTION("""COMPUTED_VALUE"""),284.0)</f>
        <v>284</v>
      </c>
      <c r="L376" s="7">
        <f>IFERROR(__xludf.DUMMYFUNCTION("""COMPUTED_VALUE"""),0.28472222222222227)</f>
        <v>0.2847222222</v>
      </c>
      <c r="M376" s="7">
        <f>IFERROR(__xludf.DUMMYFUNCTION("""COMPUTED_VALUE"""),0.2650694444444445)</f>
        <v>0.2650694444</v>
      </c>
      <c r="O376" s="9">
        <f>IFERROR(__xludf.DUMMYFUNCTION("""COMPUTED_VALUE"""),5725.500000000001)</f>
        <v>5725.5</v>
      </c>
      <c r="P376" s="1" t="str">
        <f>IFERROR(__xludf.DUMMYFUNCTION("""COMPUTED_VALUE"""),"ETD")</f>
        <v>ETD</v>
      </c>
      <c r="Q376" s="1" t="str">
        <f>IFERROR(__xludf.DUMMYFUNCTION("""COMPUTED_VALUE"""),"NO ECAC")</f>
        <v>NO ECAC</v>
      </c>
    </row>
    <row r="377">
      <c r="A377" s="1" t="str">
        <f>IFERROR(__xludf.DUMMYFUNCTION("""COMPUTED_VALUE"""),"VLG787R")</f>
        <v>VLG787R</v>
      </c>
      <c r="B377" s="1" t="str">
        <f>IFERROR(__xludf.DUMMYFUNCTION("""COMPUTED_VALUE"""),"A321")</f>
        <v>A321</v>
      </c>
      <c r="C377" s="1" t="str">
        <f>IFERROR(__xludf.DUMMYFUNCTION("""COMPUTED_VALUE"""),"LEPA")</f>
        <v>LEPA</v>
      </c>
      <c r="D377" s="1" t="str">
        <f>IFERROR(__xludf.DUMMYFUNCTION("""COMPUTED_VALUE"""),"LEBL")</f>
        <v>LEBL</v>
      </c>
      <c r="E377" s="1" t="str">
        <f>IFERROR(__xludf.DUMMYFUNCTION("""COMPUTED_VALUE"""),"ECNLY")</f>
        <v>ECNLY</v>
      </c>
      <c r="F377" s="1">
        <f>IFERROR(__xludf.DUMMYFUNCTION("""COMPUTED_VALUE"""),180.0)</f>
        <v>180</v>
      </c>
      <c r="G377" s="7">
        <f>IFERROR(__xludf.DUMMYFUNCTION("""COMPUTED_VALUE"""),0.6833333333333333)</f>
        <v>0.6833333333</v>
      </c>
      <c r="H377" s="1">
        <f>IFERROR(__xludf.DUMMYFUNCTION("""COMPUTED_VALUE"""),5.0)</f>
        <v>5</v>
      </c>
      <c r="I377" s="7">
        <f>IFERROR(__xludf.DUMMYFUNCTION("""COMPUTED_VALUE"""),0.7118055555555556)</f>
        <v>0.7118055556</v>
      </c>
      <c r="J377" s="1" t="str">
        <f>IFERROR(__xludf.DUMMYFUNCTION("""COMPUTED_VALUE"""),"D")</f>
        <v>D</v>
      </c>
      <c r="K377" s="1">
        <f>IFERROR(__xludf.DUMMYFUNCTION("""COMPUTED_VALUE"""),207.0)</f>
        <v>207</v>
      </c>
      <c r="L377" s="7">
        <f>IFERROR(__xludf.DUMMYFUNCTION("""COMPUTED_VALUE"""),0.028472222222222232)</f>
        <v>0.02847222222</v>
      </c>
      <c r="M377" s="7">
        <f>IFERROR(__xludf.DUMMYFUNCTION("""COMPUTED_VALUE"""),0.012291666666666675)</f>
        <v>0.01229166667</v>
      </c>
      <c r="O377" s="9">
        <f>IFERROR(__xludf.DUMMYFUNCTION("""COMPUTED_VALUE"""),244.85000000000016)</f>
        <v>244.85</v>
      </c>
      <c r="P377" s="1" t="str">
        <f>IFERROR(__xludf.DUMMYFUNCTION("""COMPUTED_VALUE"""),"VLG")</f>
        <v>VLG</v>
      </c>
      <c r="Q377" s="1" t="str">
        <f>IFERROR(__xludf.DUMMYFUNCTION("""COMPUTED_VALUE"""),"ECAC")</f>
        <v>ECAC</v>
      </c>
    </row>
    <row r="378">
      <c r="A378" s="1" t="str">
        <f>IFERROR(__xludf.DUMMYFUNCTION("""COMPUTED_VALUE"""),"VLG1579")</f>
        <v>VLG1579</v>
      </c>
      <c r="B378" s="1" t="str">
        <f>IFERROR(__xludf.DUMMYFUNCTION("""COMPUTED_VALUE"""),"A320")</f>
        <v>A320</v>
      </c>
      <c r="C378" s="1" t="str">
        <f>IFERROR(__xludf.DUMMYFUNCTION("""COMPUTED_VALUE"""),"LEAS")</f>
        <v>LEAS</v>
      </c>
      <c r="D378" s="1" t="str">
        <f>IFERROR(__xludf.DUMMYFUNCTION("""COMPUTED_VALUE"""),"LEBL")</f>
        <v>LEBL</v>
      </c>
      <c r="E378" s="1" t="str">
        <f>IFERROR(__xludf.DUMMYFUNCTION("""COMPUTED_VALUE"""),"ECLAB")</f>
        <v>ECLAB</v>
      </c>
      <c r="F378" s="1">
        <f>IFERROR(__xludf.DUMMYFUNCTION("""COMPUTED_VALUE"""),320.0)</f>
        <v>320</v>
      </c>
      <c r="G378" s="7">
        <f>IFERROR(__xludf.DUMMYFUNCTION("""COMPUTED_VALUE"""),0.6701388888888888)</f>
        <v>0.6701388889</v>
      </c>
      <c r="H378" s="1">
        <f>IFERROR(__xludf.DUMMYFUNCTION("""COMPUTED_VALUE"""),5.0)</f>
        <v>5</v>
      </c>
      <c r="I378" s="7">
        <f>IFERROR(__xludf.DUMMYFUNCTION("""COMPUTED_VALUE"""),0.7152777777777778)</f>
        <v>0.7152777778</v>
      </c>
      <c r="J378" s="1" t="str">
        <f>IFERROR(__xludf.DUMMYFUNCTION("""COMPUTED_VALUE"""),"D")</f>
        <v>D</v>
      </c>
      <c r="K378" s="1">
        <f>IFERROR(__xludf.DUMMYFUNCTION("""COMPUTED_VALUE"""),173.0)</f>
        <v>173</v>
      </c>
      <c r="L378" s="7">
        <f>IFERROR(__xludf.DUMMYFUNCTION("""COMPUTED_VALUE"""),0.04513888888888895)</f>
        <v>0.04513888889</v>
      </c>
      <c r="M378" s="7">
        <f>IFERROR(__xludf.DUMMYFUNCTION("""COMPUTED_VALUE"""),0.02895833333333339)</f>
        <v>0.02895833333</v>
      </c>
      <c r="O378" s="9">
        <f>IFERROR(__xludf.DUMMYFUNCTION("""COMPUTED_VALUE"""),576.8500000000012)</f>
        <v>576.85</v>
      </c>
      <c r="P378" s="1" t="str">
        <f>IFERROR(__xludf.DUMMYFUNCTION("""COMPUTED_VALUE"""),"VLG")</f>
        <v>VLG</v>
      </c>
      <c r="Q378" s="1" t="str">
        <f>IFERROR(__xludf.DUMMYFUNCTION("""COMPUTED_VALUE"""),"ECAC")</f>
        <v>ECAC</v>
      </c>
    </row>
    <row r="379">
      <c r="A379" s="1" t="str">
        <f>IFERROR(__xludf.DUMMYFUNCTION("""COMPUTED_VALUE"""),"RYR22VB")</f>
        <v>RYR22VB</v>
      </c>
      <c r="B379" s="1" t="str">
        <f>IFERROR(__xludf.DUMMYFUNCTION("""COMPUTED_VALUE"""),"B738")</f>
        <v>B738</v>
      </c>
      <c r="C379" s="1" t="str">
        <f>IFERROR(__xludf.DUMMYFUNCTION("""COMPUTED_VALUE"""),"LEIB")</f>
        <v>LEIB</v>
      </c>
      <c r="D379" s="1" t="str">
        <f>IFERROR(__xludf.DUMMYFUNCTION("""COMPUTED_VALUE"""),"LEBL")</f>
        <v>LEBL</v>
      </c>
      <c r="E379" s="1" t="str">
        <f>IFERROR(__xludf.DUMMYFUNCTION("""COMPUTED_VALUE"""),"9HQEK")</f>
        <v>9HQEK</v>
      </c>
      <c r="F379" s="1">
        <f>IFERROR(__xludf.DUMMYFUNCTION("""COMPUTED_VALUE"""),240.0)</f>
        <v>240</v>
      </c>
      <c r="G379" s="7">
        <f>IFERROR(__xludf.DUMMYFUNCTION("""COMPUTED_VALUE"""),0.6875)</f>
        <v>0.6875</v>
      </c>
      <c r="H379" s="1">
        <f>IFERROR(__xludf.DUMMYFUNCTION("""COMPUTED_VALUE"""),7.0)</f>
        <v>7</v>
      </c>
      <c r="I379" s="7">
        <f>IFERROR(__xludf.DUMMYFUNCTION("""COMPUTED_VALUE"""),0.7152777777777778)</f>
        <v>0.7152777778</v>
      </c>
      <c r="J379" s="1" t="str">
        <f>IFERROR(__xludf.DUMMYFUNCTION("""COMPUTED_VALUE"""),"D")</f>
        <v>D</v>
      </c>
      <c r="K379" s="1">
        <f>IFERROR(__xludf.DUMMYFUNCTION("""COMPUTED_VALUE"""),184.0)</f>
        <v>184</v>
      </c>
      <c r="L379" s="7">
        <f>IFERROR(__xludf.DUMMYFUNCTION("""COMPUTED_VALUE"""),0.02777777777777779)</f>
        <v>0.02777777778</v>
      </c>
      <c r="M379" s="7">
        <f>IFERROR(__xludf.DUMMYFUNCTION("""COMPUTED_VALUE"""),0.010208333333333345)</f>
        <v>0.01020833333</v>
      </c>
      <c r="O379" s="9">
        <f>IFERROR(__xludf.DUMMYFUNCTION("""COMPUTED_VALUE"""),203.35000000000022)</f>
        <v>203.35</v>
      </c>
      <c r="P379" s="1" t="str">
        <f>IFERROR(__xludf.DUMMYFUNCTION("""COMPUTED_VALUE"""),"RYR")</f>
        <v>RYR</v>
      </c>
      <c r="Q379" s="1" t="str">
        <f>IFERROR(__xludf.DUMMYFUNCTION("""COMPUTED_VALUE"""),"ECAC")</f>
        <v>ECAC</v>
      </c>
    </row>
    <row r="380">
      <c r="A380" s="1" t="str">
        <f>IFERROR(__xludf.DUMMYFUNCTION("""COMPUTED_VALUE"""),"RAM960U")</f>
        <v>RAM960U</v>
      </c>
      <c r="B380" s="1" t="str">
        <f>IFERROR(__xludf.DUMMYFUNCTION("""COMPUTED_VALUE"""),"B738")</f>
        <v>B738</v>
      </c>
      <c r="C380" s="1" t="str">
        <f>IFERROR(__xludf.DUMMYFUNCTION("""COMPUTED_VALUE"""),"GMMN")</f>
        <v>GMMN</v>
      </c>
      <c r="D380" s="1" t="str">
        <f>IFERROR(__xludf.DUMMYFUNCTION("""COMPUTED_VALUE"""),"LEBL")</f>
        <v>LEBL</v>
      </c>
      <c r="E380" s="1" t="str">
        <f>IFERROR(__xludf.DUMMYFUNCTION("""COMPUTED_VALUE"""),"CNROC")</f>
        <v>CNROC</v>
      </c>
      <c r="F380" s="1">
        <f>IFERROR(__xludf.DUMMYFUNCTION("""COMPUTED_VALUE"""),400.0)</f>
        <v>400</v>
      </c>
      <c r="G380" s="7">
        <f>IFERROR(__xludf.DUMMYFUNCTION("""COMPUTED_VALUE"""),0.6395833333333333)</f>
        <v>0.6395833333</v>
      </c>
      <c r="H380" s="1">
        <f>IFERROR(__xludf.DUMMYFUNCTION("""COMPUTED_VALUE"""),16.0)</f>
        <v>16</v>
      </c>
      <c r="I380" s="7">
        <f>IFERROR(__xludf.DUMMYFUNCTION("""COMPUTED_VALUE"""),0.7152777777777778)</f>
        <v>0.7152777778</v>
      </c>
      <c r="J380" s="1" t="str">
        <f>IFERROR(__xludf.DUMMYFUNCTION("""COMPUTED_VALUE"""),"D")</f>
        <v>D</v>
      </c>
      <c r="K380" s="1">
        <f>IFERROR(__xludf.DUMMYFUNCTION("""COMPUTED_VALUE"""),184.0)</f>
        <v>184</v>
      </c>
      <c r="L380" s="7">
        <f>IFERROR(__xludf.DUMMYFUNCTION("""COMPUTED_VALUE"""),0.07569444444444451)</f>
        <v>0.07569444444</v>
      </c>
      <c r="M380" s="7">
        <f>IFERROR(__xludf.DUMMYFUNCTION("""COMPUTED_VALUE"""),0.05187500000000006)</f>
        <v>0.051875</v>
      </c>
      <c r="O380" s="9">
        <f>IFERROR(__xludf.DUMMYFUNCTION("""COMPUTED_VALUE"""),1033.3500000000013)</f>
        <v>1033.35</v>
      </c>
      <c r="P380" s="1" t="str">
        <f>IFERROR(__xludf.DUMMYFUNCTION("""COMPUTED_VALUE"""),"RAM")</f>
        <v>RAM</v>
      </c>
      <c r="Q380" s="1" t="str">
        <f>IFERROR(__xludf.DUMMYFUNCTION("""COMPUTED_VALUE"""),"NO ECAC")</f>
        <v>NO ECAC</v>
      </c>
    </row>
    <row r="381">
      <c r="A381" s="1" t="str">
        <f>IFERROR(__xludf.DUMMYFUNCTION("""COMPUTED_VALUE"""),"VLG2KV")</f>
        <v>VLG2KV</v>
      </c>
      <c r="B381" s="1" t="str">
        <f>IFERROR(__xludf.DUMMYFUNCTION("""COMPUTED_VALUE"""),"A320")</f>
        <v>A320</v>
      </c>
      <c r="C381" s="1" t="str">
        <f>IFERROR(__xludf.DUMMYFUNCTION("""COMPUTED_VALUE"""),"LEST")</f>
        <v>LEST</v>
      </c>
      <c r="D381" s="1" t="str">
        <f>IFERROR(__xludf.DUMMYFUNCTION("""COMPUTED_VALUE"""),"LEBL")</f>
        <v>LEBL</v>
      </c>
      <c r="E381" s="1" t="str">
        <f>IFERROR(__xludf.DUMMYFUNCTION("""COMPUTED_VALUE"""),"ECODM")</f>
        <v>ECODM</v>
      </c>
      <c r="F381" s="1">
        <f>IFERROR(__xludf.DUMMYFUNCTION("""COMPUTED_VALUE"""),320.0)</f>
        <v>320</v>
      </c>
      <c r="G381" s="7">
        <f>IFERROR(__xludf.DUMMYFUNCTION("""COMPUTED_VALUE"""),0.6597222222222222)</f>
        <v>0.6597222222</v>
      </c>
      <c r="H381" s="1">
        <f>IFERROR(__xludf.DUMMYFUNCTION("""COMPUTED_VALUE"""),15.0)</f>
        <v>15</v>
      </c>
      <c r="I381" s="7">
        <f>IFERROR(__xludf.DUMMYFUNCTION("""COMPUTED_VALUE"""),0.7152777777777778)</f>
        <v>0.7152777778</v>
      </c>
      <c r="J381" s="1" t="str">
        <f>IFERROR(__xludf.DUMMYFUNCTION("""COMPUTED_VALUE"""),"D")</f>
        <v>D</v>
      </c>
      <c r="K381" s="1">
        <f>IFERROR(__xludf.DUMMYFUNCTION("""COMPUTED_VALUE"""),173.0)</f>
        <v>173</v>
      </c>
      <c r="L381" s="7">
        <f>IFERROR(__xludf.DUMMYFUNCTION("""COMPUTED_VALUE"""),0.05555555555555558)</f>
        <v>0.05555555556</v>
      </c>
      <c r="M381" s="7">
        <f>IFERROR(__xludf.DUMMYFUNCTION("""COMPUTED_VALUE"""),0.03243055555555558)</f>
        <v>0.03243055556</v>
      </c>
      <c r="O381" s="9">
        <f>IFERROR(__xludf.DUMMYFUNCTION("""COMPUTED_VALUE"""),646.0166666666672)</f>
        <v>646.0166667</v>
      </c>
      <c r="P381" s="1" t="str">
        <f>IFERROR(__xludf.DUMMYFUNCTION("""COMPUTED_VALUE"""),"VLG")</f>
        <v>VLG</v>
      </c>
      <c r="Q381" s="1" t="str">
        <f>IFERROR(__xludf.DUMMYFUNCTION("""COMPUTED_VALUE"""),"ECAC")</f>
        <v>ECAC</v>
      </c>
    </row>
    <row r="382">
      <c r="A382" s="1" t="str">
        <f>IFERROR(__xludf.DUMMYFUNCTION("""COMPUTED_VALUE"""),"VLG9BC")</f>
        <v>VLG9BC</v>
      </c>
      <c r="B382" s="1" t="str">
        <f>IFERROR(__xludf.DUMMYFUNCTION("""COMPUTED_VALUE"""),"A321")</f>
        <v>A321</v>
      </c>
      <c r="C382" s="1" t="str">
        <f>IFERROR(__xludf.DUMMYFUNCTION("""COMPUTED_VALUE"""),"LEPA")</f>
        <v>LEPA</v>
      </c>
      <c r="D382" s="1" t="str">
        <f>IFERROR(__xludf.DUMMYFUNCTION("""COMPUTED_VALUE"""),"LEBL")</f>
        <v>LEBL</v>
      </c>
      <c r="E382" s="1" t="str">
        <f>IFERROR(__xludf.DUMMYFUNCTION("""COMPUTED_VALUE"""),"ECMMU")</f>
        <v>ECMMU</v>
      </c>
      <c r="F382" s="1">
        <f>IFERROR(__xludf.DUMMYFUNCTION("""COMPUTED_VALUE"""),180.0)</f>
        <v>180</v>
      </c>
      <c r="G382" s="7">
        <f>IFERROR(__xludf.DUMMYFUNCTION("""COMPUTED_VALUE"""),0.7027777777777777)</f>
        <v>0.7027777778</v>
      </c>
      <c r="H382" s="1">
        <f>IFERROR(__xludf.DUMMYFUNCTION("""COMPUTED_VALUE"""),17.0)</f>
        <v>17</v>
      </c>
      <c r="I382" s="7">
        <f>IFERROR(__xludf.DUMMYFUNCTION("""COMPUTED_VALUE"""),0.71875)</f>
        <v>0.71875</v>
      </c>
      <c r="J382" s="1" t="str">
        <f>IFERROR(__xludf.DUMMYFUNCTION("""COMPUTED_VALUE"""),"D")</f>
        <v>D</v>
      </c>
      <c r="K382" s="1">
        <f>IFERROR(__xludf.DUMMYFUNCTION("""COMPUTED_VALUE"""),207.0)</f>
        <v>207</v>
      </c>
      <c r="L382" s="7">
        <f>IFERROR(__xludf.DUMMYFUNCTION("""COMPUTED_VALUE"""),0.015972222222222276)</f>
        <v>0.01597222222</v>
      </c>
      <c r="M382" s="7">
        <f>IFERROR(__xludf.DUMMYFUNCTION("""COMPUTED_VALUE"""),0.004166666666666721)</f>
        <v>0.004166666667</v>
      </c>
      <c r="O382" s="9">
        <f>IFERROR(__xludf.DUMMYFUNCTION("""COMPUTED_VALUE"""),83.0000000000011)</f>
        <v>83</v>
      </c>
      <c r="P382" s="1" t="str">
        <f>IFERROR(__xludf.DUMMYFUNCTION("""COMPUTED_VALUE"""),"VLG")</f>
        <v>VLG</v>
      </c>
      <c r="Q382" s="1" t="str">
        <f>IFERROR(__xludf.DUMMYFUNCTION("""COMPUTED_VALUE"""),"ECAC")</f>
        <v>ECAC</v>
      </c>
    </row>
    <row r="383">
      <c r="A383" s="1" t="str">
        <f>IFERROR(__xludf.DUMMYFUNCTION("""COMPUTED_VALUE"""),"DAH2014")</f>
        <v>DAH2014</v>
      </c>
      <c r="B383" s="1" t="str">
        <f>IFERROR(__xludf.DUMMYFUNCTION("""COMPUTED_VALUE"""),"B738")</f>
        <v>B738</v>
      </c>
      <c r="C383" s="1" t="str">
        <f>IFERROR(__xludf.DUMMYFUNCTION("""COMPUTED_VALUE"""),"DAAG")</f>
        <v>DAAG</v>
      </c>
      <c r="D383" s="1" t="str">
        <f>IFERROR(__xludf.DUMMYFUNCTION("""COMPUTED_VALUE"""),"LEBL")</f>
        <v>LEBL</v>
      </c>
      <c r="E383" s="1" t="str">
        <f>IFERROR(__xludf.DUMMYFUNCTION("""COMPUTED_VALUE"""),"7TVKQ")</f>
        <v>7TVKQ</v>
      </c>
      <c r="F383" s="1">
        <f>IFERROR(__xludf.DUMMYFUNCTION("""COMPUTED_VALUE"""),340.0)</f>
        <v>340</v>
      </c>
      <c r="G383" s="7">
        <f>IFERROR(__xludf.DUMMYFUNCTION("""COMPUTED_VALUE"""),0.6875)</f>
        <v>0.6875</v>
      </c>
      <c r="H383" s="1">
        <f>IFERROR(__xludf.DUMMYFUNCTION("""COMPUTED_VALUE"""),5.0)</f>
        <v>5</v>
      </c>
      <c r="I383" s="7">
        <f>IFERROR(__xludf.DUMMYFUNCTION("""COMPUTED_VALUE"""),0.7222222222222222)</f>
        <v>0.7222222222</v>
      </c>
      <c r="J383" s="1" t="str">
        <f>IFERROR(__xludf.DUMMYFUNCTION("""COMPUTED_VALUE"""),"D")</f>
        <v>D</v>
      </c>
      <c r="K383" s="1">
        <f>IFERROR(__xludf.DUMMYFUNCTION("""COMPUTED_VALUE"""),184.0)</f>
        <v>184</v>
      </c>
      <c r="L383" s="7">
        <f>IFERROR(__xludf.DUMMYFUNCTION("""COMPUTED_VALUE"""),0.03472222222222221)</f>
        <v>0.03472222222</v>
      </c>
      <c r="M383" s="7">
        <f>IFERROR(__xludf.DUMMYFUNCTION("""COMPUTED_VALUE"""),0.01854166666666665)</f>
        <v>0.01854166667</v>
      </c>
      <c r="O383" s="9">
        <f>IFERROR(__xludf.DUMMYFUNCTION("""COMPUTED_VALUE"""),369.3499999999997)</f>
        <v>369.35</v>
      </c>
      <c r="P383" s="1" t="str">
        <f>IFERROR(__xludf.DUMMYFUNCTION("""COMPUTED_VALUE"""),"DAH")</f>
        <v>DAH</v>
      </c>
      <c r="Q383" s="1" t="str">
        <f>IFERROR(__xludf.DUMMYFUNCTION("""COMPUTED_VALUE"""),"NO ECAC")</f>
        <v>NO ECAC</v>
      </c>
    </row>
    <row r="384">
      <c r="A384" s="1" t="str">
        <f>IFERROR(__xludf.DUMMYFUNCTION("""COMPUTED_VALUE"""),"AAR511")</f>
        <v>AAR511</v>
      </c>
      <c r="B384" s="1" t="str">
        <f>IFERROR(__xludf.DUMMYFUNCTION("""COMPUTED_VALUE"""),"A359")</f>
        <v>A359</v>
      </c>
      <c r="C384" s="1" t="str">
        <f>IFERROR(__xludf.DUMMYFUNCTION("""COMPUTED_VALUE"""),"RKSI")</f>
        <v>RKSI</v>
      </c>
      <c r="D384" s="1" t="str">
        <f>IFERROR(__xludf.DUMMYFUNCTION("""COMPUTED_VALUE"""),"LEBL")</f>
        <v>LEBL</v>
      </c>
      <c r="E384" s="1" t="str">
        <f>IFERROR(__xludf.DUMMYFUNCTION("""COMPUTED_VALUE"""),"HL7578")</f>
        <v>HL7578</v>
      </c>
      <c r="F384" s="1">
        <f>IFERROR(__xludf.DUMMYFUNCTION("""COMPUTED_VALUE"""),400.0)</f>
        <v>400</v>
      </c>
      <c r="G384" s="7">
        <f>IFERROR(__xludf.DUMMYFUNCTION("""COMPUTED_VALUE"""),0.125)</f>
        <v>0.125</v>
      </c>
      <c r="H384" s="1">
        <f>IFERROR(__xludf.DUMMYFUNCTION("""COMPUTED_VALUE"""),10.0)</f>
        <v>10</v>
      </c>
      <c r="I384" s="7">
        <f>IFERROR(__xludf.DUMMYFUNCTION("""COMPUTED_VALUE"""),0.7222222222222222)</f>
        <v>0.7222222222</v>
      </c>
      <c r="J384" s="1" t="str">
        <f>IFERROR(__xludf.DUMMYFUNCTION("""COMPUTED_VALUE"""),"B")</f>
        <v>B</v>
      </c>
      <c r="K384" s="1">
        <f>IFERROR(__xludf.DUMMYFUNCTION("""COMPUTED_VALUE"""),297.0)</f>
        <v>297</v>
      </c>
      <c r="L384" s="7">
        <f>IFERROR(__xludf.DUMMYFUNCTION("""COMPUTED_VALUE"""),0.5972222222222222)</f>
        <v>0.5972222222</v>
      </c>
      <c r="M384" s="7">
        <f>IFERROR(__xludf.DUMMYFUNCTION("""COMPUTED_VALUE"""),0.5775694444444445)</f>
        <v>0.5775694444</v>
      </c>
      <c r="O384" s="9">
        <f>IFERROR(__xludf.DUMMYFUNCTION("""COMPUTED_VALUE"""),12475.500000000002)</f>
        <v>12475.5</v>
      </c>
      <c r="P384" s="1" t="str">
        <f>IFERROR(__xludf.DUMMYFUNCTION("""COMPUTED_VALUE"""),"AAR")</f>
        <v>AAR</v>
      </c>
      <c r="Q384" s="1" t="str">
        <f>IFERROR(__xludf.DUMMYFUNCTION("""COMPUTED_VALUE"""),"NO ECAC")</f>
        <v>NO ECAC</v>
      </c>
    </row>
    <row r="385">
      <c r="A385" s="1" t="str">
        <f>IFERROR(__xludf.DUMMYFUNCTION("""COMPUTED_VALUE"""),"RYR51YH")</f>
        <v>RYR51YH</v>
      </c>
      <c r="B385" s="1" t="str">
        <f>IFERROR(__xludf.DUMMYFUNCTION("""COMPUTED_VALUE"""),"B738")</f>
        <v>B738</v>
      </c>
      <c r="C385" s="1" t="str">
        <f>IFERROR(__xludf.DUMMYFUNCTION("""COMPUTED_VALUE"""),"LIRF")</f>
        <v>LIRF</v>
      </c>
      <c r="D385" s="1" t="str">
        <f>IFERROR(__xludf.DUMMYFUNCTION("""COMPUTED_VALUE"""),"LEBL")</f>
        <v>LEBL</v>
      </c>
      <c r="E385" s="1" t="str">
        <f>IFERROR(__xludf.DUMMYFUNCTION("""COMPUTED_VALUE"""),"EIDCW")</f>
        <v>EIDCW</v>
      </c>
      <c r="F385" s="1">
        <f>IFERROR(__xludf.DUMMYFUNCTION("""COMPUTED_VALUE"""),330.0)</f>
        <v>330</v>
      </c>
      <c r="G385" s="7">
        <f>IFERROR(__xludf.DUMMYFUNCTION("""COMPUTED_VALUE"""),0.675)</f>
        <v>0.675</v>
      </c>
      <c r="H385" s="1">
        <f>IFERROR(__xludf.DUMMYFUNCTION("""COMPUTED_VALUE"""),17.0)</f>
        <v>17</v>
      </c>
      <c r="I385" s="7">
        <f>IFERROR(__xludf.DUMMYFUNCTION("""COMPUTED_VALUE"""),0.7222222222222222)</f>
        <v>0.7222222222</v>
      </c>
      <c r="J385" s="1" t="str">
        <f>IFERROR(__xludf.DUMMYFUNCTION("""COMPUTED_VALUE"""),"D")</f>
        <v>D</v>
      </c>
      <c r="K385" s="1">
        <f>IFERROR(__xludf.DUMMYFUNCTION("""COMPUTED_VALUE"""),184.0)</f>
        <v>184</v>
      </c>
      <c r="L385" s="7">
        <f>IFERROR(__xludf.DUMMYFUNCTION("""COMPUTED_VALUE"""),0.047222222222222165)</f>
        <v>0.04722222222</v>
      </c>
      <c r="M385" s="7">
        <f>IFERROR(__xludf.DUMMYFUNCTION("""COMPUTED_VALUE"""),0.022708333333333275)</f>
        <v>0.02270833333</v>
      </c>
      <c r="O385" s="9">
        <f>IFERROR(__xludf.DUMMYFUNCTION("""COMPUTED_VALUE"""),452.34999999999883)</f>
        <v>452.35</v>
      </c>
      <c r="P385" s="1" t="str">
        <f>IFERROR(__xludf.DUMMYFUNCTION("""COMPUTED_VALUE"""),"RYR")</f>
        <v>RYR</v>
      </c>
      <c r="Q385" s="1" t="str">
        <f>IFERROR(__xludf.DUMMYFUNCTION("""COMPUTED_VALUE"""),"ECAC")</f>
        <v>ECAC</v>
      </c>
    </row>
    <row r="386">
      <c r="A386" s="1" t="str">
        <f>IFERROR(__xludf.DUMMYFUNCTION("""COMPUTED_VALUE"""),"VLG73KB")</f>
        <v>VLG73KB</v>
      </c>
      <c r="B386" s="1" t="str">
        <f>IFERROR(__xludf.DUMMYFUNCTION("""COMPUTED_VALUE"""),"A320")</f>
        <v>A320</v>
      </c>
      <c r="C386" s="1" t="str">
        <f>IFERROR(__xludf.DUMMYFUNCTION("""COMPUTED_VALUE"""),"LICC")</f>
        <v>LICC</v>
      </c>
      <c r="D386" s="1" t="str">
        <f>IFERROR(__xludf.DUMMYFUNCTION("""COMPUTED_VALUE"""),"LEBL")</f>
        <v>LEBL</v>
      </c>
      <c r="E386" s="1" t="str">
        <f>IFERROR(__xludf.DUMMYFUNCTION("""COMPUTED_VALUE"""),"ECKHN")</f>
        <v>ECKHN</v>
      </c>
      <c r="F386" s="1">
        <f>IFERROR(__xludf.DUMMYFUNCTION("""COMPUTED_VALUE"""),360.0)</f>
        <v>360</v>
      </c>
      <c r="G386" s="7">
        <f>IFERROR(__xludf.DUMMYFUNCTION("""COMPUTED_VALUE"""),0.65625)</f>
        <v>0.65625</v>
      </c>
      <c r="H386" s="1">
        <f>IFERROR(__xludf.DUMMYFUNCTION("""COMPUTED_VALUE"""),20.0)</f>
        <v>20</v>
      </c>
      <c r="I386" s="7">
        <f>IFERROR(__xludf.DUMMYFUNCTION("""COMPUTED_VALUE"""),0.7256944444444444)</f>
        <v>0.7256944444</v>
      </c>
      <c r="J386" s="1" t="str">
        <f>IFERROR(__xludf.DUMMYFUNCTION("""COMPUTED_VALUE"""),"D")</f>
        <v>D</v>
      </c>
      <c r="K386" s="1">
        <f>IFERROR(__xludf.DUMMYFUNCTION("""COMPUTED_VALUE"""),173.0)</f>
        <v>173</v>
      </c>
      <c r="L386" s="7">
        <f>IFERROR(__xludf.DUMMYFUNCTION("""COMPUTED_VALUE"""),0.06944444444444442)</f>
        <v>0.06944444444</v>
      </c>
      <c r="M386" s="7">
        <f>IFERROR(__xludf.DUMMYFUNCTION("""COMPUTED_VALUE"""),0.042847222222222196)</f>
        <v>0.04284722222</v>
      </c>
      <c r="O386" s="9">
        <f>IFERROR(__xludf.DUMMYFUNCTION("""COMPUTED_VALUE"""),853.5166666666661)</f>
        <v>853.5166667</v>
      </c>
      <c r="P386" s="1" t="str">
        <f>IFERROR(__xludf.DUMMYFUNCTION("""COMPUTED_VALUE"""),"VLG")</f>
        <v>VLG</v>
      </c>
      <c r="Q386" s="1" t="str">
        <f>IFERROR(__xludf.DUMMYFUNCTION("""COMPUTED_VALUE"""),"ECAC")</f>
        <v>ECAC</v>
      </c>
    </row>
    <row r="387">
      <c r="A387" s="1" t="str">
        <f>IFERROR(__xludf.DUMMYFUNCTION("""COMPUTED_VALUE"""),"TRA6789")</f>
        <v>TRA6789</v>
      </c>
      <c r="B387" s="1" t="str">
        <f>IFERROR(__xludf.DUMMYFUNCTION("""COMPUTED_VALUE"""),"B738")</f>
        <v>B738</v>
      </c>
      <c r="C387" s="1" t="str">
        <f>IFERROR(__xludf.DUMMYFUNCTION("""COMPUTED_VALUE"""),"EHEH")</f>
        <v>EHEH</v>
      </c>
      <c r="D387" s="1" t="str">
        <f>IFERROR(__xludf.DUMMYFUNCTION("""COMPUTED_VALUE"""),"LEBL")</f>
        <v>LEBL</v>
      </c>
      <c r="E387" s="1" t="str">
        <f>IFERROR(__xludf.DUMMYFUNCTION("""COMPUTED_VALUE"""),"PHHXE")</f>
        <v>PHHXE</v>
      </c>
      <c r="F387" s="1">
        <f>IFERROR(__xludf.DUMMYFUNCTION("""COMPUTED_VALUE"""),410.0)</f>
        <v>410</v>
      </c>
      <c r="G387" s="7">
        <f>IFERROR(__xludf.DUMMYFUNCTION("""COMPUTED_VALUE"""),0.6631944444444444)</f>
        <v>0.6631944444</v>
      </c>
      <c r="H387" s="1">
        <f>IFERROR(__xludf.DUMMYFUNCTION("""COMPUTED_VALUE"""),10.0)</f>
        <v>10</v>
      </c>
      <c r="I387" s="7">
        <f>IFERROR(__xludf.DUMMYFUNCTION("""COMPUTED_VALUE"""),0.7256944444444444)</f>
        <v>0.7256944444</v>
      </c>
      <c r="J387" s="1" t="str">
        <f>IFERROR(__xludf.DUMMYFUNCTION("""COMPUTED_VALUE"""),"D")</f>
        <v>D</v>
      </c>
      <c r="K387" s="1">
        <f>IFERROR(__xludf.DUMMYFUNCTION("""COMPUTED_VALUE"""),184.0)</f>
        <v>184</v>
      </c>
      <c r="L387" s="7">
        <f>IFERROR(__xludf.DUMMYFUNCTION("""COMPUTED_VALUE"""),0.0625)</f>
        <v>0.0625</v>
      </c>
      <c r="M387" s="7">
        <f>IFERROR(__xludf.DUMMYFUNCTION("""COMPUTED_VALUE"""),0.04284722222222222)</f>
        <v>0.04284722222</v>
      </c>
      <c r="O387" s="9">
        <f>IFERROR(__xludf.DUMMYFUNCTION("""COMPUTED_VALUE"""),853.5166666666667)</f>
        <v>853.5166667</v>
      </c>
      <c r="P387" s="1" t="str">
        <f>IFERROR(__xludf.DUMMYFUNCTION("""COMPUTED_VALUE"""),"TRA")</f>
        <v>TRA</v>
      </c>
      <c r="Q387" s="1" t="str">
        <f>IFERROR(__xludf.DUMMYFUNCTION("""COMPUTED_VALUE"""),"ECAC")</f>
        <v>ECAC</v>
      </c>
    </row>
    <row r="388">
      <c r="A388" s="1" t="str">
        <f>IFERROR(__xludf.DUMMYFUNCTION("""COMPUTED_VALUE"""),"ASL91T")</f>
        <v>ASL91T</v>
      </c>
      <c r="B388" s="1" t="str">
        <f>IFERROR(__xludf.DUMMYFUNCTION("""COMPUTED_VALUE"""),"A319")</f>
        <v>A319</v>
      </c>
      <c r="C388" s="1" t="str">
        <f>IFERROR(__xludf.DUMMYFUNCTION("""COMPUTED_VALUE"""),"LYBE")</f>
        <v>LYBE</v>
      </c>
      <c r="D388" s="1" t="str">
        <f>IFERROR(__xludf.DUMMYFUNCTION("""COMPUTED_VALUE"""),"LEBL")</f>
        <v>LEBL</v>
      </c>
      <c r="E388" s="1" t="str">
        <f>IFERROR(__xludf.DUMMYFUNCTION("""COMPUTED_VALUE"""),"YUAPK")</f>
        <v>YUAPK</v>
      </c>
      <c r="F388" s="1">
        <f>IFERROR(__xludf.DUMMYFUNCTION("""COMPUTED_VALUE"""),320.0)</f>
        <v>320</v>
      </c>
      <c r="G388" s="7">
        <f>IFERROR(__xludf.DUMMYFUNCTION("""COMPUTED_VALUE"""),0.6354166666666666)</f>
        <v>0.6354166667</v>
      </c>
      <c r="H388" s="1">
        <f>IFERROR(__xludf.DUMMYFUNCTION("""COMPUTED_VALUE"""),10.0)</f>
        <v>10</v>
      </c>
      <c r="I388" s="7">
        <f>IFERROR(__xludf.DUMMYFUNCTION("""COMPUTED_VALUE"""),0.7256944444444444)</f>
        <v>0.7256944444</v>
      </c>
      <c r="J388" s="1" t="str">
        <f>IFERROR(__xludf.DUMMYFUNCTION("""COMPUTED_VALUE"""),"D")</f>
        <v>D</v>
      </c>
      <c r="K388" s="1">
        <f>IFERROR(__xludf.DUMMYFUNCTION("""COMPUTED_VALUE"""),144.0)</f>
        <v>144</v>
      </c>
      <c r="L388" s="7">
        <f>IFERROR(__xludf.DUMMYFUNCTION("""COMPUTED_VALUE"""),0.09027777777777779)</f>
        <v>0.09027777778</v>
      </c>
      <c r="M388" s="7">
        <f>IFERROR(__xludf.DUMMYFUNCTION("""COMPUTED_VALUE"""),0.07062500000000001)</f>
        <v>0.070625</v>
      </c>
      <c r="O388" s="9">
        <f>IFERROR(__xludf.DUMMYFUNCTION("""COMPUTED_VALUE"""),1406.8500000000001)</f>
        <v>1406.85</v>
      </c>
      <c r="P388" s="1" t="str">
        <f>IFERROR(__xludf.DUMMYFUNCTION("""COMPUTED_VALUE"""),"ASL")</f>
        <v>ASL</v>
      </c>
      <c r="Q388" s="1" t="str">
        <f>IFERROR(__xludf.DUMMYFUNCTION("""COMPUTED_VALUE"""),"ECAC")</f>
        <v>ECAC</v>
      </c>
    </row>
    <row r="389">
      <c r="A389" s="1" t="str">
        <f>IFERROR(__xludf.DUMMYFUNCTION("""COMPUTED_VALUE"""),"CFE8759")</f>
        <v>CFE8759</v>
      </c>
      <c r="B389" s="1" t="str">
        <f>IFERROR(__xludf.DUMMYFUNCTION("""COMPUTED_VALUE"""),"E190")</f>
        <v>E190</v>
      </c>
      <c r="C389" s="1" t="str">
        <f>IFERROR(__xludf.DUMMYFUNCTION("""COMPUTED_VALUE"""),"EGLC")</f>
        <v>EGLC</v>
      </c>
      <c r="D389" s="1" t="str">
        <f>IFERROR(__xludf.DUMMYFUNCTION("""COMPUTED_VALUE"""),"LEBL")</f>
        <v>LEBL</v>
      </c>
      <c r="E389" s="1" t="str">
        <f>IFERROR(__xludf.DUMMYFUNCTION("""COMPUTED_VALUE"""),"GLCYU")</f>
        <v>GLCYU</v>
      </c>
      <c r="F389" s="1">
        <f>IFERROR(__xludf.DUMMYFUNCTION("""COMPUTED_VALUE"""),370.0)</f>
        <v>370</v>
      </c>
      <c r="G389" s="7">
        <f>IFERROR(__xludf.DUMMYFUNCTION("""COMPUTED_VALUE"""),0.6583333333333333)</f>
        <v>0.6583333333</v>
      </c>
      <c r="H389" s="1">
        <f>IFERROR(__xludf.DUMMYFUNCTION("""COMPUTED_VALUE"""),6.0)</f>
        <v>6</v>
      </c>
      <c r="I389" s="7">
        <f>IFERROR(__xludf.DUMMYFUNCTION("""COMPUTED_VALUE"""),0.7291666666666666)</f>
        <v>0.7291666667</v>
      </c>
      <c r="J389" s="1" t="str">
        <f>IFERROR(__xludf.DUMMYFUNCTION("""COMPUTED_VALUE"""),"E")</f>
        <v>E</v>
      </c>
      <c r="K389" s="1">
        <f>IFERROR(__xludf.DUMMYFUNCTION("""COMPUTED_VALUE"""),104.0)</f>
        <v>104</v>
      </c>
      <c r="L389" s="7">
        <f>IFERROR(__xludf.DUMMYFUNCTION("""COMPUTED_VALUE"""),0.0708333333333333)</f>
        <v>0.07083333333</v>
      </c>
      <c r="M389" s="7">
        <f>IFERROR(__xludf.DUMMYFUNCTION("""COMPUTED_VALUE"""),0.0539583333333333)</f>
        <v>0.05395833333</v>
      </c>
      <c r="O389" s="9">
        <f>IFERROR(__xludf.DUMMYFUNCTION("""COMPUTED_VALUE"""),582.7499999999997)</f>
        <v>582.75</v>
      </c>
      <c r="P389" s="1" t="str">
        <f>IFERROR(__xludf.DUMMYFUNCTION("""COMPUTED_VALUE"""),"CFE")</f>
        <v>CFE</v>
      </c>
      <c r="Q389" s="1" t="str">
        <f>IFERROR(__xludf.DUMMYFUNCTION("""COMPUTED_VALUE"""),"ECAC")</f>
        <v>ECAC</v>
      </c>
    </row>
    <row r="390">
      <c r="A390" s="1" t="str">
        <f>IFERROR(__xludf.DUMMYFUNCTION("""COMPUTED_VALUE"""),"VLG2HL")</f>
        <v>VLG2HL</v>
      </c>
      <c r="B390" s="1" t="str">
        <f>IFERROR(__xludf.DUMMYFUNCTION("""COMPUTED_VALUE"""),"A321")</f>
        <v>A321</v>
      </c>
      <c r="C390" s="1" t="str">
        <f>IFERROR(__xludf.DUMMYFUNCTION("""COMPUTED_VALUE"""),"LPPR")</f>
        <v>LPPR</v>
      </c>
      <c r="D390" s="1" t="str">
        <f>IFERROR(__xludf.DUMMYFUNCTION("""COMPUTED_VALUE"""),"LEBL")</f>
        <v>LEBL</v>
      </c>
      <c r="E390" s="1" t="str">
        <f>IFERROR(__xludf.DUMMYFUNCTION("""COMPUTED_VALUE"""),"ECMLD")</f>
        <v>ECMLD</v>
      </c>
      <c r="F390" s="1">
        <f>IFERROR(__xludf.DUMMYFUNCTION("""COMPUTED_VALUE"""),320.0)</f>
        <v>320</v>
      </c>
      <c r="G390" s="7">
        <f>IFERROR(__xludf.DUMMYFUNCTION("""COMPUTED_VALUE"""),0.6715277777777777)</f>
        <v>0.6715277778</v>
      </c>
      <c r="H390" s="1">
        <f>IFERROR(__xludf.DUMMYFUNCTION("""COMPUTED_VALUE"""),12.0)</f>
        <v>12</v>
      </c>
      <c r="I390" s="7">
        <f>IFERROR(__xludf.DUMMYFUNCTION("""COMPUTED_VALUE"""),0.7291666666666666)</f>
        <v>0.7291666667</v>
      </c>
      <c r="J390" s="1" t="str">
        <f>IFERROR(__xludf.DUMMYFUNCTION("""COMPUTED_VALUE"""),"D")</f>
        <v>D</v>
      </c>
      <c r="K390" s="1">
        <f>IFERROR(__xludf.DUMMYFUNCTION("""COMPUTED_VALUE"""),207.0)</f>
        <v>207</v>
      </c>
      <c r="L390" s="7">
        <f>IFERROR(__xludf.DUMMYFUNCTION("""COMPUTED_VALUE"""),0.057638888888888906)</f>
        <v>0.05763888889</v>
      </c>
      <c r="M390" s="7">
        <f>IFERROR(__xludf.DUMMYFUNCTION("""COMPUTED_VALUE"""),0.03659722222222224)</f>
        <v>0.03659722222</v>
      </c>
      <c r="O390" s="9">
        <f>IFERROR(__xludf.DUMMYFUNCTION("""COMPUTED_VALUE"""),729.016666666667)</f>
        <v>729.0166667</v>
      </c>
      <c r="P390" s="1" t="str">
        <f>IFERROR(__xludf.DUMMYFUNCTION("""COMPUTED_VALUE"""),"VLG")</f>
        <v>VLG</v>
      </c>
      <c r="Q390" s="1" t="str">
        <f>IFERROR(__xludf.DUMMYFUNCTION("""COMPUTED_VALUE"""),"ECAC")</f>
        <v>ECAC</v>
      </c>
    </row>
    <row r="391">
      <c r="A391" s="1" t="str">
        <f>IFERROR(__xludf.DUMMYFUNCTION("""COMPUTED_VALUE"""),"RYR2494")</f>
        <v>RYR2494</v>
      </c>
      <c r="B391" s="1" t="str">
        <f>IFERROR(__xludf.DUMMYFUNCTION("""COMPUTED_VALUE"""),"B738")</f>
        <v>B738</v>
      </c>
      <c r="C391" s="1" t="str">
        <f>IFERROR(__xludf.DUMMYFUNCTION("""COMPUTED_VALUE"""),"LEPA")</f>
        <v>LEPA</v>
      </c>
      <c r="D391" s="1" t="str">
        <f>IFERROR(__xludf.DUMMYFUNCTION("""COMPUTED_VALUE"""),"LEBL")</f>
        <v>LEBL</v>
      </c>
      <c r="E391" s="1" t="str">
        <f>IFERROR(__xludf.DUMMYFUNCTION("""COMPUTED_VALUE"""),"9HQBW")</f>
        <v>9HQBW</v>
      </c>
      <c r="F391" s="1">
        <f>IFERROR(__xludf.DUMMYFUNCTION("""COMPUTED_VALUE"""),180.0)</f>
        <v>180</v>
      </c>
      <c r="G391" s="7">
        <f>IFERROR(__xludf.DUMMYFUNCTION("""COMPUTED_VALUE"""),0.7090277777777778)</f>
        <v>0.7090277778</v>
      </c>
      <c r="H391" s="1">
        <f>IFERROR(__xludf.DUMMYFUNCTION("""COMPUTED_VALUE"""),17.0)</f>
        <v>17</v>
      </c>
      <c r="I391" s="7">
        <f>IFERROR(__xludf.DUMMYFUNCTION("""COMPUTED_VALUE"""),0.7291666666666666)</f>
        <v>0.7291666667</v>
      </c>
      <c r="J391" s="1" t="str">
        <f>IFERROR(__xludf.DUMMYFUNCTION("""COMPUTED_VALUE"""),"D")</f>
        <v>D</v>
      </c>
      <c r="K391" s="1">
        <f>IFERROR(__xludf.DUMMYFUNCTION("""COMPUTED_VALUE"""),184.0)</f>
        <v>184</v>
      </c>
      <c r="L391" s="7">
        <f>IFERROR(__xludf.DUMMYFUNCTION("""COMPUTED_VALUE"""),0.020138888888888817)</f>
        <v>0.02013888889</v>
      </c>
      <c r="M391" s="7">
        <f>IFERROR(__xludf.DUMMYFUNCTION("""COMPUTED_VALUE"""),0.008333333333333262)</f>
        <v>0.008333333333</v>
      </c>
      <c r="O391" s="9">
        <f>IFERROR(__xludf.DUMMYFUNCTION("""COMPUTED_VALUE"""),165.99999999999858)</f>
        <v>166</v>
      </c>
      <c r="P391" s="1" t="str">
        <f>IFERROR(__xludf.DUMMYFUNCTION("""COMPUTED_VALUE"""),"RYR")</f>
        <v>RYR</v>
      </c>
      <c r="Q391" s="1" t="str">
        <f>IFERROR(__xludf.DUMMYFUNCTION("""COMPUTED_VALUE"""),"ECAC")</f>
        <v>ECAC</v>
      </c>
    </row>
    <row r="392">
      <c r="A392" s="1" t="str">
        <f>IFERROR(__xludf.DUMMYFUNCTION("""COMPUTED_VALUE"""),"AUA393E")</f>
        <v>AUA393E</v>
      </c>
      <c r="B392" s="1" t="str">
        <f>IFERROR(__xludf.DUMMYFUNCTION("""COMPUTED_VALUE"""),"A321")</f>
        <v>A321</v>
      </c>
      <c r="C392" s="1" t="str">
        <f>IFERROR(__xludf.DUMMYFUNCTION("""COMPUTED_VALUE"""),"LOWW")</f>
        <v>LOWW</v>
      </c>
      <c r="D392" s="1" t="str">
        <f>IFERROR(__xludf.DUMMYFUNCTION("""COMPUTED_VALUE"""),"LEBL")</f>
        <v>LEBL</v>
      </c>
      <c r="E392" s="1" t="str">
        <f>IFERROR(__xludf.DUMMYFUNCTION("""COMPUTED_VALUE"""),"OELBC")</f>
        <v>OELBC</v>
      </c>
      <c r="F392" s="1">
        <f>IFERROR(__xludf.DUMMYFUNCTION("""COMPUTED_VALUE"""),350.0)</f>
        <v>350</v>
      </c>
      <c r="G392" s="7">
        <f>IFERROR(__xludf.DUMMYFUNCTION("""COMPUTED_VALUE"""),0.6604166666666667)</f>
        <v>0.6604166667</v>
      </c>
      <c r="H392" s="1">
        <f>IFERROR(__xludf.DUMMYFUNCTION("""COMPUTED_VALUE"""),9.0)</f>
        <v>9</v>
      </c>
      <c r="I392" s="7">
        <f>IFERROR(__xludf.DUMMYFUNCTION("""COMPUTED_VALUE"""),0.7326388888888888)</f>
        <v>0.7326388889</v>
      </c>
      <c r="J392" s="1" t="str">
        <f>IFERROR(__xludf.DUMMYFUNCTION("""COMPUTED_VALUE"""),"D")</f>
        <v>D</v>
      </c>
      <c r="K392" s="1">
        <f>IFERROR(__xludf.DUMMYFUNCTION("""COMPUTED_VALUE"""),207.0)</f>
        <v>207</v>
      </c>
      <c r="L392" s="7">
        <f>IFERROR(__xludf.DUMMYFUNCTION("""COMPUTED_VALUE"""),0.07222222222222219)</f>
        <v>0.07222222222</v>
      </c>
      <c r="M392" s="7">
        <f>IFERROR(__xludf.DUMMYFUNCTION("""COMPUTED_VALUE"""),0.053263888888888854)</f>
        <v>0.05326388889</v>
      </c>
      <c r="O392" s="9">
        <f>IFERROR(__xludf.DUMMYFUNCTION("""COMPUTED_VALUE"""),1061.016666666666)</f>
        <v>1061.016667</v>
      </c>
      <c r="P392" s="1" t="str">
        <f>IFERROR(__xludf.DUMMYFUNCTION("""COMPUTED_VALUE"""),"AUA")</f>
        <v>AUA</v>
      </c>
      <c r="Q392" s="1" t="str">
        <f>IFERROR(__xludf.DUMMYFUNCTION("""COMPUTED_VALUE"""),"ECAC")</f>
        <v>ECAC</v>
      </c>
    </row>
    <row r="393">
      <c r="A393" s="1" t="str">
        <f>IFERROR(__xludf.DUMMYFUNCTION("""COMPUTED_VALUE"""),"NOZ42BM")</f>
        <v>NOZ42BM</v>
      </c>
      <c r="B393" s="1" t="str">
        <f>IFERROR(__xludf.DUMMYFUNCTION("""COMPUTED_VALUE"""),"A320")</f>
        <v>A320</v>
      </c>
      <c r="C393" s="1" t="str">
        <f>IFERROR(__xludf.DUMMYFUNCTION("""COMPUTED_VALUE"""),"ENGM")</f>
        <v>ENGM</v>
      </c>
      <c r="D393" s="1" t="str">
        <f>IFERROR(__xludf.DUMMYFUNCTION("""COMPUTED_VALUE"""),"LEBL")</f>
        <v>LEBL</v>
      </c>
      <c r="E393" s="1" t="str">
        <f>IFERROR(__xludf.DUMMYFUNCTION("""COMPUTED_VALUE"""),"OYJRK")</f>
        <v>OYJRK</v>
      </c>
      <c r="F393" s="1">
        <f>IFERROR(__xludf.DUMMYFUNCTION("""COMPUTED_VALUE"""),370.0)</f>
        <v>370</v>
      </c>
      <c r="G393" s="7">
        <f>IFERROR(__xludf.DUMMYFUNCTION("""COMPUTED_VALUE"""),0.6069444444444444)</f>
        <v>0.6069444444</v>
      </c>
      <c r="H393" s="1">
        <f>IFERROR(__xludf.DUMMYFUNCTION("""COMPUTED_VALUE"""),9.0)</f>
        <v>9</v>
      </c>
      <c r="I393" s="7">
        <f>IFERROR(__xludf.DUMMYFUNCTION("""COMPUTED_VALUE"""),0.7326388888888888)</f>
        <v>0.7326388889</v>
      </c>
      <c r="J393" s="1" t="str">
        <f>IFERROR(__xludf.DUMMYFUNCTION("""COMPUTED_VALUE"""),"D")</f>
        <v>D</v>
      </c>
      <c r="K393" s="1">
        <f>IFERROR(__xludf.DUMMYFUNCTION("""COMPUTED_VALUE"""),173.0)</f>
        <v>173</v>
      </c>
      <c r="L393" s="7">
        <f>IFERROR(__xludf.DUMMYFUNCTION("""COMPUTED_VALUE"""),0.12569444444444444)</f>
        <v>0.1256944444</v>
      </c>
      <c r="M393" s="7">
        <f>IFERROR(__xludf.DUMMYFUNCTION("""COMPUTED_VALUE"""),0.1067361111111111)</f>
        <v>0.1067361111</v>
      </c>
      <c r="O393" s="9">
        <f>IFERROR(__xludf.DUMMYFUNCTION("""COMPUTED_VALUE"""),2126.1833333333334)</f>
        <v>2126.183333</v>
      </c>
      <c r="P393" s="1" t="str">
        <f>IFERROR(__xludf.DUMMYFUNCTION("""COMPUTED_VALUE"""),"NOZ")</f>
        <v>NOZ</v>
      </c>
      <c r="Q393" s="1" t="str">
        <f>IFERROR(__xludf.DUMMYFUNCTION("""COMPUTED_VALUE"""),"ECAC")</f>
        <v>ECAC</v>
      </c>
    </row>
    <row r="394">
      <c r="A394" s="1" t="str">
        <f>IFERROR(__xludf.DUMMYFUNCTION("""COMPUTED_VALUE"""),"VLG32XP")</f>
        <v>VLG32XP</v>
      </c>
      <c r="B394" s="1" t="str">
        <f>IFERROR(__xludf.DUMMYFUNCTION("""COMPUTED_VALUE"""),"A20N")</f>
        <v>A20N</v>
      </c>
      <c r="C394" s="1" t="str">
        <f>IFERROR(__xludf.DUMMYFUNCTION("""COMPUTED_VALUE"""),"EDDS")</f>
        <v>EDDS</v>
      </c>
      <c r="D394" s="1" t="str">
        <f>IFERROR(__xludf.DUMMYFUNCTION("""COMPUTED_VALUE"""),"LEBL")</f>
        <v>LEBL</v>
      </c>
      <c r="E394" s="1" t="str">
        <f>IFERROR(__xludf.DUMMYFUNCTION("""COMPUTED_VALUE"""),"ECNFK")</f>
        <v>ECNFK</v>
      </c>
      <c r="F394" s="1">
        <f>IFERROR(__xludf.DUMMYFUNCTION("""COMPUTED_VALUE"""),390.0)</f>
        <v>390</v>
      </c>
      <c r="G394" s="7">
        <f>IFERROR(__xludf.DUMMYFUNCTION("""COMPUTED_VALUE"""),0.6798611111111111)</f>
        <v>0.6798611111</v>
      </c>
      <c r="H394" s="1">
        <f>IFERROR(__xludf.DUMMYFUNCTION("""COMPUTED_VALUE"""),6.0)</f>
        <v>6</v>
      </c>
      <c r="I394" s="7">
        <f>IFERROR(__xludf.DUMMYFUNCTION("""COMPUTED_VALUE"""),0.7326388888888888)</f>
        <v>0.7326388889</v>
      </c>
      <c r="J394" s="1" t="str">
        <f>IFERROR(__xludf.DUMMYFUNCTION("""COMPUTED_VALUE"""),"D")</f>
        <v>D</v>
      </c>
      <c r="K394" s="1">
        <f>IFERROR(__xludf.DUMMYFUNCTION("""COMPUTED_VALUE"""),180.0)</f>
        <v>180</v>
      </c>
      <c r="L394" s="7">
        <f>IFERROR(__xludf.DUMMYFUNCTION("""COMPUTED_VALUE"""),0.0527777777777777)</f>
        <v>0.05277777778</v>
      </c>
      <c r="M394" s="7">
        <f>IFERROR(__xludf.DUMMYFUNCTION("""COMPUTED_VALUE"""),0.0359027777777777)</f>
        <v>0.03590277778</v>
      </c>
      <c r="O394" s="9">
        <f>IFERROR(__xludf.DUMMYFUNCTION("""COMPUTED_VALUE"""),715.1833333333318)</f>
        <v>715.1833333</v>
      </c>
      <c r="P394" s="1" t="str">
        <f>IFERROR(__xludf.DUMMYFUNCTION("""COMPUTED_VALUE"""),"VLG")</f>
        <v>VLG</v>
      </c>
      <c r="Q394" s="1" t="str">
        <f>IFERROR(__xludf.DUMMYFUNCTION("""COMPUTED_VALUE"""),"ECAC")</f>
        <v>ECAC</v>
      </c>
    </row>
    <row r="395">
      <c r="A395" s="1" t="str">
        <f>IFERROR(__xludf.DUMMYFUNCTION("""COMPUTED_VALUE"""),"RYR791")</f>
        <v>RYR791</v>
      </c>
      <c r="B395" s="1" t="str">
        <f>IFERROR(__xludf.DUMMYFUNCTION("""COMPUTED_VALUE"""),"B738")</f>
        <v>B738</v>
      </c>
      <c r="C395" s="1" t="str">
        <f>IFERROR(__xludf.DUMMYFUNCTION("""COMPUTED_VALUE"""),"LKPR")</f>
        <v>LKPR</v>
      </c>
      <c r="D395" s="1" t="str">
        <f>IFERROR(__xludf.DUMMYFUNCTION("""COMPUTED_VALUE"""),"LEBL")</f>
        <v>LEBL</v>
      </c>
      <c r="E395" s="1" t="str">
        <f>IFERROR(__xludf.DUMMYFUNCTION("""COMPUTED_VALUE"""),"9HQBP")</f>
        <v>9HQBP</v>
      </c>
      <c r="F395" s="1">
        <f>IFERROR(__xludf.DUMMYFUNCTION("""COMPUTED_VALUE"""),370.0)</f>
        <v>370</v>
      </c>
      <c r="G395" s="7">
        <f>IFERROR(__xludf.DUMMYFUNCTION("""COMPUTED_VALUE"""),0.6625)</f>
        <v>0.6625</v>
      </c>
      <c r="H395" s="1">
        <f>IFERROR(__xludf.DUMMYFUNCTION("""COMPUTED_VALUE"""),10.0)</f>
        <v>10</v>
      </c>
      <c r="I395" s="7">
        <f>IFERROR(__xludf.DUMMYFUNCTION("""COMPUTED_VALUE"""),0.7326388888888888)</f>
        <v>0.7326388889</v>
      </c>
      <c r="J395" s="1" t="str">
        <f>IFERROR(__xludf.DUMMYFUNCTION("""COMPUTED_VALUE"""),"D")</f>
        <v>D</v>
      </c>
      <c r="K395" s="1">
        <f>IFERROR(__xludf.DUMMYFUNCTION("""COMPUTED_VALUE"""),184.0)</f>
        <v>184</v>
      </c>
      <c r="L395" s="7">
        <f>IFERROR(__xludf.DUMMYFUNCTION("""COMPUTED_VALUE"""),0.07013888888888886)</f>
        <v>0.07013888889</v>
      </c>
      <c r="M395" s="7">
        <f>IFERROR(__xludf.DUMMYFUNCTION("""COMPUTED_VALUE"""),0.05048611111111108)</f>
        <v>0.05048611111</v>
      </c>
      <c r="O395" s="9">
        <f>IFERROR(__xludf.DUMMYFUNCTION("""COMPUTED_VALUE"""),1005.6833333333328)</f>
        <v>1005.683333</v>
      </c>
      <c r="P395" s="1" t="str">
        <f>IFERROR(__xludf.DUMMYFUNCTION("""COMPUTED_VALUE"""),"RYR")</f>
        <v>RYR</v>
      </c>
      <c r="Q395" s="1" t="str">
        <f>IFERROR(__xludf.DUMMYFUNCTION("""COMPUTED_VALUE"""),"ECAC")</f>
        <v>ECAC</v>
      </c>
    </row>
    <row r="396">
      <c r="A396" s="1" t="str">
        <f>IFERROR(__xludf.DUMMYFUNCTION("""COMPUTED_VALUE"""),"BAW486")</f>
        <v>BAW486</v>
      </c>
      <c r="B396" s="1" t="str">
        <f>IFERROR(__xludf.DUMMYFUNCTION("""COMPUTED_VALUE"""),"A320")</f>
        <v>A320</v>
      </c>
      <c r="C396" s="1" t="str">
        <f>IFERROR(__xludf.DUMMYFUNCTION("""COMPUTED_VALUE"""),"EGLL")</f>
        <v>EGLL</v>
      </c>
      <c r="D396" s="1" t="str">
        <f>IFERROR(__xludf.DUMMYFUNCTION("""COMPUTED_VALUE"""),"LEBL")</f>
        <v>LEBL</v>
      </c>
      <c r="E396" s="1" t="str">
        <f>IFERROR(__xludf.DUMMYFUNCTION("""COMPUTED_VALUE"""),"GEUUI")</f>
        <v>GEUUI</v>
      </c>
      <c r="F396" s="1">
        <f>IFERROR(__xludf.DUMMYFUNCTION("""COMPUTED_VALUE"""),370.0)</f>
        <v>370</v>
      </c>
      <c r="G396" s="7">
        <f>IFERROR(__xludf.DUMMYFUNCTION("""COMPUTED_VALUE"""),0.6694444444444444)</f>
        <v>0.6694444444</v>
      </c>
      <c r="H396" s="1">
        <f>IFERROR(__xludf.DUMMYFUNCTION("""COMPUTED_VALUE"""),24.0)</f>
        <v>24</v>
      </c>
      <c r="I396" s="7">
        <f>IFERROR(__xludf.DUMMYFUNCTION("""COMPUTED_VALUE"""),0.7361111111111112)</f>
        <v>0.7361111111</v>
      </c>
      <c r="J396" s="1" t="str">
        <f>IFERROR(__xludf.DUMMYFUNCTION("""COMPUTED_VALUE"""),"D")</f>
        <v>D</v>
      </c>
      <c r="K396" s="1">
        <f>IFERROR(__xludf.DUMMYFUNCTION("""COMPUTED_VALUE"""),173.0)</f>
        <v>173</v>
      </c>
      <c r="L396" s="7">
        <f>IFERROR(__xludf.DUMMYFUNCTION("""COMPUTED_VALUE"""),0.06666666666666676)</f>
        <v>0.06666666667</v>
      </c>
      <c r="M396" s="7">
        <f>IFERROR(__xludf.DUMMYFUNCTION("""COMPUTED_VALUE"""),0.037291666666666765)</f>
        <v>0.03729166667</v>
      </c>
      <c r="O396" s="9">
        <f>IFERROR(__xludf.DUMMYFUNCTION("""COMPUTED_VALUE"""),742.850000000002)</f>
        <v>742.85</v>
      </c>
      <c r="P396" s="1" t="str">
        <f>IFERROR(__xludf.DUMMYFUNCTION("""COMPUTED_VALUE"""),"BAW")</f>
        <v>BAW</v>
      </c>
      <c r="Q396" s="1" t="str">
        <f>IFERROR(__xludf.DUMMYFUNCTION("""COMPUTED_VALUE"""),"ECAC")</f>
        <v>ECAC</v>
      </c>
    </row>
    <row r="397">
      <c r="A397" s="1" t="str">
        <f>IFERROR(__xludf.DUMMYFUNCTION("""COMPUTED_VALUE"""),"SWR4KW")</f>
        <v>SWR4KW</v>
      </c>
      <c r="B397" s="1" t="str">
        <f>IFERROR(__xludf.DUMMYFUNCTION("""COMPUTED_VALUE"""),"A320")</f>
        <v>A320</v>
      </c>
      <c r="C397" s="1" t="str">
        <f>IFERROR(__xludf.DUMMYFUNCTION("""COMPUTED_VALUE"""),"LSZH")</f>
        <v>LSZH</v>
      </c>
      <c r="D397" s="1" t="str">
        <f>IFERROR(__xludf.DUMMYFUNCTION("""COMPUTED_VALUE"""),"LEBL")</f>
        <v>LEBL</v>
      </c>
      <c r="E397" s="1" t="str">
        <f>IFERROR(__xludf.DUMMYFUNCTION("""COMPUTED_VALUE"""),"HBIJQ")</f>
        <v>HBIJQ</v>
      </c>
      <c r="F397" s="1">
        <f>IFERROR(__xludf.DUMMYFUNCTION("""COMPUTED_VALUE"""),330.0)</f>
        <v>330</v>
      </c>
      <c r="G397" s="7">
        <f>IFERROR(__xludf.DUMMYFUNCTION("""COMPUTED_VALUE"""),0.6798611111111111)</f>
        <v>0.6798611111</v>
      </c>
      <c r="H397" s="1">
        <f>IFERROR(__xludf.DUMMYFUNCTION("""COMPUTED_VALUE"""),12.0)</f>
        <v>12</v>
      </c>
      <c r="I397" s="7">
        <f>IFERROR(__xludf.DUMMYFUNCTION("""COMPUTED_VALUE"""),0.7361111111111112)</f>
        <v>0.7361111111</v>
      </c>
      <c r="J397" s="1" t="str">
        <f>IFERROR(__xludf.DUMMYFUNCTION("""COMPUTED_VALUE"""),"D")</f>
        <v>D</v>
      </c>
      <c r="K397" s="1">
        <f>IFERROR(__xludf.DUMMYFUNCTION("""COMPUTED_VALUE"""),173.0)</f>
        <v>173</v>
      </c>
      <c r="L397" s="7">
        <f>IFERROR(__xludf.DUMMYFUNCTION("""COMPUTED_VALUE"""),0.05625000000000002)</f>
        <v>0.05625</v>
      </c>
      <c r="M397" s="7">
        <f>IFERROR(__xludf.DUMMYFUNCTION("""COMPUTED_VALUE"""),0.035208333333333355)</f>
        <v>0.03520833333</v>
      </c>
      <c r="O397" s="9">
        <f>IFERROR(__xludf.DUMMYFUNCTION("""COMPUTED_VALUE"""),701.3500000000005)</f>
        <v>701.35</v>
      </c>
      <c r="P397" s="1" t="str">
        <f>IFERROR(__xludf.DUMMYFUNCTION("""COMPUTED_VALUE"""),"SWR")</f>
        <v>SWR</v>
      </c>
      <c r="Q397" s="1" t="str">
        <f>IFERROR(__xludf.DUMMYFUNCTION("""COMPUTED_VALUE"""),"ECAC")</f>
        <v>ECAC</v>
      </c>
    </row>
    <row r="398">
      <c r="A398" s="1" t="str">
        <f>IFERROR(__xludf.DUMMYFUNCTION("""COMPUTED_VALUE"""),"VLG91LR")</f>
        <v>VLG91LR</v>
      </c>
      <c r="B398" s="1" t="str">
        <f>IFERROR(__xludf.DUMMYFUNCTION("""COMPUTED_VALUE"""),"A320")</f>
        <v>A320</v>
      </c>
      <c r="C398" s="1" t="str">
        <f>IFERROR(__xludf.DUMMYFUNCTION("""COMPUTED_VALUE"""),"LIMF")</f>
        <v>LIMF</v>
      </c>
      <c r="D398" s="1" t="str">
        <f>IFERROR(__xludf.DUMMYFUNCTION("""COMPUTED_VALUE"""),"LEBL")</f>
        <v>LEBL</v>
      </c>
      <c r="E398" s="1" t="str">
        <f>IFERROR(__xludf.DUMMYFUNCTION("""COMPUTED_VALUE"""),"ECLVU")</f>
        <v>ECLVU</v>
      </c>
      <c r="F398" s="1">
        <f>IFERROR(__xludf.DUMMYFUNCTION("""COMPUTED_VALUE"""),290.0)</f>
        <v>290</v>
      </c>
      <c r="G398" s="7">
        <f>IFERROR(__xludf.DUMMYFUNCTION("""COMPUTED_VALUE"""),0.7020833333333333)</f>
        <v>0.7020833333</v>
      </c>
      <c r="H398" s="1">
        <f>IFERROR(__xludf.DUMMYFUNCTION("""COMPUTED_VALUE"""),5.0)</f>
        <v>5</v>
      </c>
      <c r="I398" s="7">
        <f>IFERROR(__xludf.DUMMYFUNCTION("""COMPUTED_VALUE"""),0.7395833333333334)</f>
        <v>0.7395833333</v>
      </c>
      <c r="J398" s="1" t="str">
        <f>IFERROR(__xludf.DUMMYFUNCTION("""COMPUTED_VALUE"""),"D")</f>
        <v>D</v>
      </c>
      <c r="K398" s="1">
        <f>IFERROR(__xludf.DUMMYFUNCTION("""COMPUTED_VALUE"""),173.0)</f>
        <v>173</v>
      </c>
      <c r="L398" s="7">
        <f>IFERROR(__xludf.DUMMYFUNCTION("""COMPUTED_VALUE"""),0.03750000000000009)</f>
        <v>0.0375</v>
      </c>
      <c r="M398" s="7">
        <f>IFERROR(__xludf.DUMMYFUNCTION("""COMPUTED_VALUE"""),0.02131944444444453)</f>
        <v>0.02131944444</v>
      </c>
      <c r="O398" s="9">
        <f>IFERROR(__xludf.DUMMYFUNCTION("""COMPUTED_VALUE"""),424.68333333333504)</f>
        <v>424.6833333</v>
      </c>
      <c r="P398" s="1" t="str">
        <f>IFERROR(__xludf.DUMMYFUNCTION("""COMPUTED_VALUE"""),"VLG")</f>
        <v>VLG</v>
      </c>
      <c r="Q398" s="1" t="str">
        <f>IFERROR(__xludf.DUMMYFUNCTION("""COMPUTED_VALUE"""),"ECAC")</f>
        <v>ECAC</v>
      </c>
    </row>
    <row r="399">
      <c r="A399" s="1" t="str">
        <f>IFERROR(__xludf.DUMMYFUNCTION("""COMPUTED_VALUE"""),"VLG833A")</f>
        <v>VLG833A</v>
      </c>
      <c r="B399" s="1" t="str">
        <f>IFERROR(__xludf.DUMMYFUNCTION("""COMPUTED_VALUE"""),"A320")</f>
        <v>A320</v>
      </c>
      <c r="C399" s="1" t="str">
        <f>IFERROR(__xludf.DUMMYFUNCTION("""COMPUTED_VALUE"""),"LFPO")</f>
        <v>LFPO</v>
      </c>
      <c r="D399" s="1" t="str">
        <f>IFERROR(__xludf.DUMMYFUNCTION("""COMPUTED_VALUE"""),"LEBL")</f>
        <v>LEBL</v>
      </c>
      <c r="E399" s="1" t="str">
        <f>IFERROR(__xludf.DUMMYFUNCTION("""COMPUTED_VALUE"""),"ECLOB")</f>
        <v>ECLOB</v>
      </c>
      <c r="F399" s="1">
        <f>IFERROR(__xludf.DUMMYFUNCTION("""COMPUTED_VALUE"""),370.0)</f>
        <v>370</v>
      </c>
      <c r="G399" s="7">
        <f>IFERROR(__xludf.DUMMYFUNCTION("""COMPUTED_VALUE"""),0.6895833333333333)</f>
        <v>0.6895833333</v>
      </c>
      <c r="H399" s="1">
        <f>IFERROR(__xludf.DUMMYFUNCTION("""COMPUTED_VALUE"""),8.0)</f>
        <v>8</v>
      </c>
      <c r="I399" s="7">
        <f>IFERROR(__xludf.DUMMYFUNCTION("""COMPUTED_VALUE"""),0.7395833333333334)</f>
        <v>0.7395833333</v>
      </c>
      <c r="J399" s="1" t="str">
        <f>IFERROR(__xludf.DUMMYFUNCTION("""COMPUTED_VALUE"""),"D")</f>
        <v>D</v>
      </c>
      <c r="K399" s="1">
        <f>IFERROR(__xludf.DUMMYFUNCTION("""COMPUTED_VALUE"""),173.0)</f>
        <v>173</v>
      </c>
      <c r="L399" s="7">
        <f>IFERROR(__xludf.DUMMYFUNCTION("""COMPUTED_VALUE"""),0.050000000000000044)</f>
        <v>0.05</v>
      </c>
      <c r="M399" s="7">
        <f>IFERROR(__xludf.DUMMYFUNCTION("""COMPUTED_VALUE"""),0.03173611111111115)</f>
        <v>0.03173611111</v>
      </c>
      <c r="O399" s="9">
        <f>IFERROR(__xludf.DUMMYFUNCTION("""COMPUTED_VALUE"""),632.1833333333341)</f>
        <v>632.1833333</v>
      </c>
      <c r="P399" s="1" t="str">
        <f>IFERROR(__xludf.DUMMYFUNCTION("""COMPUTED_VALUE"""),"VLG")</f>
        <v>VLG</v>
      </c>
      <c r="Q399" s="1" t="str">
        <f>IFERROR(__xludf.DUMMYFUNCTION("""COMPUTED_VALUE"""),"ECAC")</f>
        <v>ECAC</v>
      </c>
    </row>
    <row r="400">
      <c r="A400" s="1" t="str">
        <f>IFERROR(__xludf.DUMMYFUNCTION("""COMPUTED_VALUE"""),"TRA139T")</f>
        <v>TRA139T</v>
      </c>
      <c r="B400" s="1" t="str">
        <f>IFERROR(__xludf.DUMMYFUNCTION("""COMPUTED_VALUE"""),"B738")</f>
        <v>B738</v>
      </c>
      <c r="C400" s="1" t="str">
        <f>IFERROR(__xludf.DUMMYFUNCTION("""COMPUTED_VALUE"""),"EHAM")</f>
        <v>EHAM</v>
      </c>
      <c r="D400" s="1" t="str">
        <f>IFERROR(__xludf.DUMMYFUNCTION("""COMPUTED_VALUE"""),"LEBL")</f>
        <v>LEBL</v>
      </c>
      <c r="E400" s="1" t="str">
        <f>IFERROR(__xludf.DUMMYFUNCTION("""COMPUTED_VALUE"""),"PHHXB")</f>
        <v>PHHXB</v>
      </c>
      <c r="F400" s="1">
        <f>IFERROR(__xludf.DUMMYFUNCTION("""COMPUTED_VALUE"""),390.0)</f>
        <v>390</v>
      </c>
      <c r="G400" s="7">
        <f>IFERROR(__xludf.DUMMYFUNCTION("""COMPUTED_VALUE"""),0.6645833333333333)</f>
        <v>0.6645833333</v>
      </c>
      <c r="H400" s="1">
        <f>IFERROR(__xludf.DUMMYFUNCTION("""COMPUTED_VALUE"""),19.0)</f>
        <v>19</v>
      </c>
      <c r="I400" s="7">
        <f>IFERROR(__xludf.DUMMYFUNCTION("""COMPUTED_VALUE"""),0.7430555555555556)</f>
        <v>0.7430555556</v>
      </c>
      <c r="J400" s="1" t="str">
        <f>IFERROR(__xludf.DUMMYFUNCTION("""COMPUTED_VALUE"""),"D")</f>
        <v>D</v>
      </c>
      <c r="K400" s="1">
        <f>IFERROR(__xludf.DUMMYFUNCTION("""COMPUTED_VALUE"""),184.0)</f>
        <v>184</v>
      </c>
      <c r="L400" s="7">
        <f>IFERROR(__xludf.DUMMYFUNCTION("""COMPUTED_VALUE"""),0.07847222222222228)</f>
        <v>0.07847222222</v>
      </c>
      <c r="M400" s="7">
        <f>IFERROR(__xludf.DUMMYFUNCTION("""COMPUTED_VALUE"""),0.052569444444444495)</f>
        <v>0.05256944444</v>
      </c>
      <c r="O400" s="9">
        <f>IFERROR(__xludf.DUMMYFUNCTION("""COMPUTED_VALUE"""),1047.1833333333343)</f>
        <v>1047.183333</v>
      </c>
      <c r="P400" s="1" t="str">
        <f>IFERROR(__xludf.DUMMYFUNCTION("""COMPUTED_VALUE"""),"TRA")</f>
        <v>TRA</v>
      </c>
      <c r="Q400" s="1" t="str">
        <f>IFERROR(__xludf.DUMMYFUNCTION("""COMPUTED_VALUE"""),"ECAC")</f>
        <v>ECAC</v>
      </c>
    </row>
    <row r="401">
      <c r="A401" s="1" t="str">
        <f>IFERROR(__xludf.DUMMYFUNCTION("""COMPUTED_VALUE"""),"TVF27TW")</f>
        <v>TVF27TW</v>
      </c>
      <c r="B401" s="1" t="str">
        <f>IFERROR(__xludf.DUMMYFUNCTION("""COMPUTED_VALUE"""),"A20N")</f>
        <v>A20N</v>
      </c>
      <c r="C401" s="1" t="str">
        <f>IFERROR(__xludf.DUMMYFUNCTION("""COMPUTED_VALUE"""),"LFPO")</f>
        <v>LFPO</v>
      </c>
      <c r="D401" s="1" t="str">
        <f>IFERROR(__xludf.DUMMYFUNCTION("""COMPUTED_VALUE"""),"LEBL")</f>
        <v>LEBL</v>
      </c>
      <c r="E401" s="1" t="str">
        <f>IFERROR(__xludf.DUMMYFUNCTION("""COMPUTED_VALUE"""),"FHXSL")</f>
        <v>FHXSL</v>
      </c>
      <c r="F401" s="1">
        <f>IFERROR(__xludf.DUMMYFUNCTION("""COMPUTED_VALUE"""),370.0)</f>
        <v>370</v>
      </c>
      <c r="G401" s="7">
        <f>IFERROR(__xludf.DUMMYFUNCTION("""COMPUTED_VALUE"""),0.6965277777777777)</f>
        <v>0.6965277778</v>
      </c>
      <c r="H401" s="1">
        <f>IFERROR(__xludf.DUMMYFUNCTION("""COMPUTED_VALUE"""),6.0)</f>
        <v>6</v>
      </c>
      <c r="I401" s="7">
        <f>IFERROR(__xludf.DUMMYFUNCTION("""COMPUTED_VALUE"""),0.7430555555555556)</f>
        <v>0.7430555556</v>
      </c>
      <c r="J401" s="1" t="str">
        <f>IFERROR(__xludf.DUMMYFUNCTION("""COMPUTED_VALUE"""),"D")</f>
        <v>D</v>
      </c>
      <c r="K401" s="1">
        <f>IFERROR(__xludf.DUMMYFUNCTION("""COMPUTED_VALUE"""),180.0)</f>
        <v>180</v>
      </c>
      <c r="L401" s="7">
        <f>IFERROR(__xludf.DUMMYFUNCTION("""COMPUTED_VALUE"""),0.046527777777777835)</f>
        <v>0.04652777778</v>
      </c>
      <c r="M401" s="7">
        <f>IFERROR(__xludf.DUMMYFUNCTION("""COMPUTED_VALUE"""),0.029652777777777833)</f>
        <v>0.02965277778</v>
      </c>
      <c r="O401" s="9">
        <f>IFERROR(__xludf.DUMMYFUNCTION("""COMPUTED_VALUE"""),590.6833333333344)</f>
        <v>590.6833333</v>
      </c>
      <c r="P401" s="1" t="str">
        <f>IFERROR(__xludf.DUMMYFUNCTION("""COMPUTED_VALUE"""),"TVF")</f>
        <v>TVF</v>
      </c>
      <c r="Q401" s="1" t="str">
        <f>IFERROR(__xludf.DUMMYFUNCTION("""COMPUTED_VALUE"""),"ECAC")</f>
        <v>ECAC</v>
      </c>
    </row>
    <row r="402">
      <c r="A402" s="1" t="str">
        <f>IFERROR(__xludf.DUMMYFUNCTION("""COMPUTED_VALUE"""),"EWG56Y")</f>
        <v>EWG56Y</v>
      </c>
      <c r="B402" s="1" t="str">
        <f>IFERROR(__xludf.DUMMYFUNCTION("""COMPUTED_VALUE"""),"A319")</f>
        <v>A319</v>
      </c>
      <c r="C402" s="1" t="str">
        <f>IFERROR(__xludf.DUMMYFUNCTION("""COMPUTED_VALUE"""),"EDDS")</f>
        <v>EDDS</v>
      </c>
      <c r="D402" s="1" t="str">
        <f>IFERROR(__xludf.DUMMYFUNCTION("""COMPUTED_VALUE"""),"LEBL")</f>
        <v>LEBL</v>
      </c>
      <c r="E402" s="1" t="str">
        <f>IFERROR(__xludf.DUMMYFUNCTION("""COMPUTED_VALUE"""),"DAGWO")</f>
        <v>DAGWO</v>
      </c>
      <c r="F402" s="1">
        <f>IFERROR(__xludf.DUMMYFUNCTION("""COMPUTED_VALUE"""),350.0)</f>
        <v>350</v>
      </c>
      <c r="G402" s="7">
        <f>IFERROR(__xludf.DUMMYFUNCTION("""COMPUTED_VALUE"""),0.68125)</f>
        <v>0.68125</v>
      </c>
      <c r="H402" s="1">
        <f>IFERROR(__xludf.DUMMYFUNCTION("""COMPUTED_VALUE"""),6.0)</f>
        <v>6</v>
      </c>
      <c r="I402" s="7">
        <f>IFERROR(__xludf.DUMMYFUNCTION("""COMPUTED_VALUE"""),0.7430555555555556)</f>
        <v>0.7430555556</v>
      </c>
      <c r="J402" s="1" t="str">
        <f>IFERROR(__xludf.DUMMYFUNCTION("""COMPUTED_VALUE"""),"D")</f>
        <v>D</v>
      </c>
      <c r="K402" s="1">
        <f>IFERROR(__xludf.DUMMYFUNCTION("""COMPUTED_VALUE"""),144.0)</f>
        <v>144</v>
      </c>
      <c r="L402" s="7">
        <f>IFERROR(__xludf.DUMMYFUNCTION("""COMPUTED_VALUE"""),0.06180555555555556)</f>
        <v>0.06180555556</v>
      </c>
      <c r="M402" s="7">
        <f>IFERROR(__xludf.DUMMYFUNCTION("""COMPUTED_VALUE"""),0.04493055555555556)</f>
        <v>0.04493055556</v>
      </c>
      <c r="O402" s="9">
        <f>IFERROR(__xludf.DUMMYFUNCTION("""COMPUTED_VALUE"""),895.0166666666667)</f>
        <v>895.0166667</v>
      </c>
      <c r="P402" s="1" t="str">
        <f>IFERROR(__xludf.DUMMYFUNCTION("""COMPUTED_VALUE"""),"EWG")</f>
        <v>EWG</v>
      </c>
      <c r="Q402" s="1" t="str">
        <f>IFERROR(__xludf.DUMMYFUNCTION("""COMPUTED_VALUE"""),"ECAC")</f>
        <v>ECAC</v>
      </c>
    </row>
    <row r="403">
      <c r="A403" s="1" t="str">
        <f>IFERROR(__xludf.DUMMYFUNCTION("""COMPUTED_VALUE"""),"RYR36MJ")</f>
        <v>RYR36MJ</v>
      </c>
      <c r="B403" s="1" t="str">
        <f>IFERROR(__xludf.DUMMYFUNCTION("""COMPUTED_VALUE"""),"B738")</f>
        <v>B738</v>
      </c>
      <c r="C403" s="1" t="str">
        <f>IFERROR(__xludf.DUMMYFUNCTION("""COMPUTED_VALUE"""),"EGSS")</f>
        <v>EGSS</v>
      </c>
      <c r="D403" s="1" t="str">
        <f>IFERROR(__xludf.DUMMYFUNCTION("""COMPUTED_VALUE"""),"LEBL")</f>
        <v>LEBL</v>
      </c>
      <c r="E403" s="1" t="str">
        <f>IFERROR(__xludf.DUMMYFUNCTION("""COMPUTED_VALUE"""),"9HQDA")</f>
        <v>9HQDA</v>
      </c>
      <c r="F403" s="1">
        <f>IFERROR(__xludf.DUMMYFUNCTION("""COMPUTED_VALUE"""),370.0)</f>
        <v>370</v>
      </c>
      <c r="G403" s="7">
        <f>IFERROR(__xludf.DUMMYFUNCTION("""COMPUTED_VALUE"""),0.6694444444444444)</f>
        <v>0.6694444444</v>
      </c>
      <c r="H403" s="1">
        <f>IFERROR(__xludf.DUMMYFUNCTION("""COMPUTED_VALUE"""),10.0)</f>
        <v>10</v>
      </c>
      <c r="I403" s="7">
        <f>IFERROR(__xludf.DUMMYFUNCTION("""COMPUTED_VALUE"""),0.7430555555555556)</f>
        <v>0.7430555556</v>
      </c>
      <c r="J403" s="1" t="str">
        <f>IFERROR(__xludf.DUMMYFUNCTION("""COMPUTED_VALUE"""),"D")</f>
        <v>D</v>
      </c>
      <c r="K403" s="1">
        <f>IFERROR(__xludf.DUMMYFUNCTION("""COMPUTED_VALUE"""),184.0)</f>
        <v>184</v>
      </c>
      <c r="L403" s="7">
        <f>IFERROR(__xludf.DUMMYFUNCTION("""COMPUTED_VALUE"""),0.07361111111111118)</f>
        <v>0.07361111111</v>
      </c>
      <c r="M403" s="7">
        <f>IFERROR(__xludf.DUMMYFUNCTION("""COMPUTED_VALUE"""),0.0539583333333334)</f>
        <v>0.05395833333</v>
      </c>
      <c r="O403" s="9">
        <f>IFERROR(__xludf.DUMMYFUNCTION("""COMPUTED_VALUE"""),1074.8500000000015)</f>
        <v>1074.85</v>
      </c>
      <c r="P403" s="1" t="str">
        <f>IFERROR(__xludf.DUMMYFUNCTION("""COMPUTED_VALUE"""),"RYR")</f>
        <v>RYR</v>
      </c>
      <c r="Q403" s="1" t="str">
        <f>IFERROR(__xludf.DUMMYFUNCTION("""COMPUTED_VALUE"""),"ECAC")</f>
        <v>ECAC</v>
      </c>
    </row>
    <row r="404">
      <c r="A404" s="1" t="str">
        <f>IFERROR(__xludf.DUMMYFUNCTION("""COMPUTED_VALUE"""),"MAC373P")</f>
        <v>MAC373P</v>
      </c>
      <c r="B404" s="1" t="str">
        <f>IFERROR(__xludf.DUMMYFUNCTION("""COMPUTED_VALUE"""),"A320")</f>
        <v>A320</v>
      </c>
      <c r="C404" s="1" t="str">
        <f>IFERROR(__xludf.DUMMYFUNCTION("""COMPUTED_VALUE"""),"GMMN")</f>
        <v>GMMN</v>
      </c>
      <c r="D404" s="1" t="str">
        <f>IFERROR(__xludf.DUMMYFUNCTION("""COMPUTED_VALUE"""),"LEBL")</f>
        <v>LEBL</v>
      </c>
      <c r="E404" s="1" t="str">
        <f>IFERROR(__xludf.DUMMYFUNCTION("""COMPUTED_VALUE"""),"CNNMS")</f>
        <v>CNNMS</v>
      </c>
      <c r="F404" s="1">
        <f>IFERROR(__xludf.DUMMYFUNCTION("""COMPUTED_VALUE"""),380.0)</f>
        <v>380</v>
      </c>
      <c r="G404" s="7">
        <f>IFERROR(__xludf.DUMMYFUNCTION("""COMPUTED_VALUE"""),0.6576388888888889)</f>
        <v>0.6576388889</v>
      </c>
      <c r="H404" s="1">
        <f>IFERROR(__xludf.DUMMYFUNCTION("""COMPUTED_VALUE"""),10.0)</f>
        <v>10</v>
      </c>
      <c r="I404" s="7">
        <f>IFERROR(__xludf.DUMMYFUNCTION("""COMPUTED_VALUE"""),0.7465277777777778)</f>
        <v>0.7465277778</v>
      </c>
      <c r="J404" s="1" t="str">
        <f>IFERROR(__xludf.DUMMYFUNCTION("""COMPUTED_VALUE"""),"D")</f>
        <v>D</v>
      </c>
      <c r="K404" s="1">
        <f>IFERROR(__xludf.DUMMYFUNCTION("""COMPUTED_VALUE"""),173.0)</f>
        <v>173</v>
      </c>
      <c r="L404" s="7">
        <f>IFERROR(__xludf.DUMMYFUNCTION("""COMPUTED_VALUE"""),0.0888888888888889)</f>
        <v>0.08888888889</v>
      </c>
      <c r="M404" s="7">
        <f>IFERROR(__xludf.DUMMYFUNCTION("""COMPUTED_VALUE"""),0.06923611111111112)</f>
        <v>0.06923611111</v>
      </c>
      <c r="O404" s="9">
        <f>IFERROR(__xludf.DUMMYFUNCTION("""COMPUTED_VALUE"""),1379.1833333333336)</f>
        <v>1379.183333</v>
      </c>
      <c r="P404" s="1" t="str">
        <f>IFERROR(__xludf.DUMMYFUNCTION("""COMPUTED_VALUE"""),"MAC")</f>
        <v>MAC</v>
      </c>
      <c r="Q404" s="1" t="str">
        <f>IFERROR(__xludf.DUMMYFUNCTION("""COMPUTED_VALUE"""),"NO ECAC")</f>
        <v>NO ECAC</v>
      </c>
    </row>
    <row r="405">
      <c r="A405" s="1" t="str">
        <f>IFERROR(__xludf.DUMMYFUNCTION("""COMPUTED_VALUE"""),"FIN01AD")</f>
        <v>FIN01AD</v>
      </c>
      <c r="B405" s="1" t="str">
        <f>IFERROR(__xludf.DUMMYFUNCTION("""COMPUTED_VALUE"""),"A321")</f>
        <v>A321</v>
      </c>
      <c r="C405" s="1" t="str">
        <f>IFERROR(__xludf.DUMMYFUNCTION("""COMPUTED_VALUE"""),"EFHK")</f>
        <v>EFHK</v>
      </c>
      <c r="D405" s="1" t="str">
        <f>IFERROR(__xludf.DUMMYFUNCTION("""COMPUTED_VALUE"""),"LEBL")</f>
        <v>LEBL</v>
      </c>
      <c r="E405" s="1" t="str">
        <f>IFERROR(__xludf.DUMMYFUNCTION("""COMPUTED_VALUE"""),"OYRUU")</f>
        <v>OYRUU</v>
      </c>
      <c r="F405" s="1">
        <f>IFERROR(__xludf.DUMMYFUNCTION("""COMPUTED_VALUE"""),350.0)</f>
        <v>350</v>
      </c>
      <c r="G405" s="7">
        <f>IFERROR(__xludf.DUMMYFUNCTION("""COMPUTED_VALUE"""),0.5951388888888889)</f>
        <v>0.5951388889</v>
      </c>
      <c r="H405" s="1">
        <f>IFERROR(__xludf.DUMMYFUNCTION("""COMPUTED_VALUE"""),9.0)</f>
        <v>9</v>
      </c>
      <c r="I405" s="7">
        <f>IFERROR(__xludf.DUMMYFUNCTION("""COMPUTED_VALUE"""),0.7465277777777778)</f>
        <v>0.7465277778</v>
      </c>
      <c r="J405" s="1" t="str">
        <f>IFERROR(__xludf.DUMMYFUNCTION("""COMPUTED_VALUE"""),"D")</f>
        <v>D</v>
      </c>
      <c r="K405" s="1">
        <f>IFERROR(__xludf.DUMMYFUNCTION("""COMPUTED_VALUE"""),207.0)</f>
        <v>207</v>
      </c>
      <c r="L405" s="7">
        <f>IFERROR(__xludf.DUMMYFUNCTION("""COMPUTED_VALUE"""),0.1513888888888889)</f>
        <v>0.1513888889</v>
      </c>
      <c r="M405" s="7">
        <f>IFERROR(__xludf.DUMMYFUNCTION("""COMPUTED_VALUE"""),0.13243055555555558)</f>
        <v>0.1324305556</v>
      </c>
      <c r="O405" s="9">
        <f>IFERROR(__xludf.DUMMYFUNCTION("""COMPUTED_VALUE"""),2638.016666666667)</f>
        <v>2638.016667</v>
      </c>
      <c r="P405" s="1" t="str">
        <f>IFERROR(__xludf.DUMMYFUNCTION("""COMPUTED_VALUE"""),"FIN")</f>
        <v>FIN</v>
      </c>
      <c r="Q405" s="1" t="str">
        <f>IFERROR(__xludf.DUMMYFUNCTION("""COMPUTED_VALUE"""),"ECAC")</f>
        <v>ECAC</v>
      </c>
    </row>
    <row r="406">
      <c r="A406" s="1" t="str">
        <f>IFERROR(__xludf.DUMMYFUNCTION("""COMPUTED_VALUE"""),"VLG6ZR")</f>
        <v>VLG6ZR</v>
      </c>
      <c r="B406" s="1" t="str">
        <f>IFERROR(__xludf.DUMMYFUNCTION("""COMPUTED_VALUE"""),"A320")</f>
        <v>A320</v>
      </c>
      <c r="C406" s="1" t="str">
        <f>IFERROR(__xludf.DUMMYFUNCTION("""COMPUTED_VALUE"""),"LEIB")</f>
        <v>LEIB</v>
      </c>
      <c r="D406" s="1" t="str">
        <f>IFERROR(__xludf.DUMMYFUNCTION("""COMPUTED_VALUE"""),"LEBL")</f>
        <v>LEBL</v>
      </c>
      <c r="E406" s="1" t="str">
        <f>IFERROR(__xludf.DUMMYFUNCTION("""COMPUTED_VALUE"""),"ECJTQ")</f>
        <v>ECJTQ</v>
      </c>
      <c r="F406" s="1">
        <f>IFERROR(__xludf.DUMMYFUNCTION("""COMPUTED_VALUE"""),180.0)</f>
        <v>180</v>
      </c>
      <c r="G406" s="7">
        <f>IFERROR(__xludf.DUMMYFUNCTION("""COMPUTED_VALUE"""),0.7159722222222222)</f>
        <v>0.7159722222</v>
      </c>
      <c r="H406" s="1">
        <f>IFERROR(__xludf.DUMMYFUNCTION("""COMPUTED_VALUE"""),10.0)</f>
        <v>10</v>
      </c>
      <c r="I406" s="7">
        <f>IFERROR(__xludf.DUMMYFUNCTION("""COMPUTED_VALUE"""),0.7465277777777778)</f>
        <v>0.7465277778</v>
      </c>
      <c r="J406" s="1" t="str">
        <f>IFERROR(__xludf.DUMMYFUNCTION("""COMPUTED_VALUE"""),"D")</f>
        <v>D</v>
      </c>
      <c r="K406" s="1">
        <f>IFERROR(__xludf.DUMMYFUNCTION("""COMPUTED_VALUE"""),173.0)</f>
        <v>173</v>
      </c>
      <c r="L406" s="7">
        <f>IFERROR(__xludf.DUMMYFUNCTION("""COMPUTED_VALUE"""),0.030555555555555558)</f>
        <v>0.03055555556</v>
      </c>
      <c r="M406" s="7">
        <f>IFERROR(__xludf.DUMMYFUNCTION("""COMPUTED_VALUE"""),0.010902777777777779)</f>
        <v>0.01090277778</v>
      </c>
      <c r="O406" s="9">
        <f>IFERROR(__xludf.DUMMYFUNCTION("""COMPUTED_VALUE"""),217.18333333333337)</f>
        <v>217.1833333</v>
      </c>
      <c r="P406" s="1" t="str">
        <f>IFERROR(__xludf.DUMMYFUNCTION("""COMPUTED_VALUE"""),"VLG")</f>
        <v>VLG</v>
      </c>
      <c r="Q406" s="1" t="str">
        <f>IFERROR(__xludf.DUMMYFUNCTION("""COMPUTED_VALUE"""),"ECAC")</f>
        <v>ECAC</v>
      </c>
    </row>
    <row r="407">
      <c r="A407" s="1" t="str">
        <f>IFERROR(__xludf.DUMMYFUNCTION("""COMPUTED_VALUE"""),"EZY85YZ")</f>
        <v>EZY85YZ</v>
      </c>
      <c r="B407" s="1" t="str">
        <f>IFERROR(__xludf.DUMMYFUNCTION("""COMPUTED_VALUE"""),"A319")</f>
        <v>A319</v>
      </c>
      <c r="C407" s="1" t="str">
        <f>IFERROR(__xludf.DUMMYFUNCTION("""COMPUTED_VALUE"""),"EGKK")</f>
        <v>EGKK</v>
      </c>
      <c r="D407" s="1" t="str">
        <f>IFERROR(__xludf.DUMMYFUNCTION("""COMPUTED_VALUE"""),"LEBL")</f>
        <v>LEBL</v>
      </c>
      <c r="E407" s="1" t="str">
        <f>IFERROR(__xludf.DUMMYFUNCTION("""COMPUTED_VALUE"""),"GEZBX")</f>
        <v>GEZBX</v>
      </c>
      <c r="F407" s="1">
        <f>IFERROR(__xludf.DUMMYFUNCTION("""COMPUTED_VALUE"""),390.0)</f>
        <v>390</v>
      </c>
      <c r="G407" s="7">
        <f>IFERROR(__xludf.DUMMYFUNCTION("""COMPUTED_VALUE"""),0.6770833333333334)</f>
        <v>0.6770833333</v>
      </c>
      <c r="H407" s="1">
        <f>IFERROR(__xludf.DUMMYFUNCTION("""COMPUTED_VALUE"""),22.0)</f>
        <v>22</v>
      </c>
      <c r="I407" s="7">
        <f>IFERROR(__xludf.DUMMYFUNCTION("""COMPUTED_VALUE"""),0.75)</f>
        <v>0.75</v>
      </c>
      <c r="J407" s="1" t="str">
        <f>IFERROR(__xludf.DUMMYFUNCTION("""COMPUTED_VALUE"""),"D")</f>
        <v>D</v>
      </c>
      <c r="K407" s="1">
        <f>IFERROR(__xludf.DUMMYFUNCTION("""COMPUTED_VALUE"""),144.0)</f>
        <v>144</v>
      </c>
      <c r="L407" s="7">
        <f>IFERROR(__xludf.DUMMYFUNCTION("""COMPUTED_VALUE"""),0.07291666666666663)</f>
        <v>0.07291666667</v>
      </c>
      <c r="M407" s="7">
        <f>IFERROR(__xludf.DUMMYFUNCTION("""COMPUTED_VALUE"""),0.044930555555555515)</f>
        <v>0.04493055556</v>
      </c>
      <c r="O407" s="9">
        <f>IFERROR(__xludf.DUMMYFUNCTION("""COMPUTED_VALUE"""),895.0166666666657)</f>
        <v>895.0166667</v>
      </c>
      <c r="P407" s="1" t="str">
        <f>IFERROR(__xludf.DUMMYFUNCTION("""COMPUTED_VALUE"""),"EZY")</f>
        <v>EZY</v>
      </c>
      <c r="Q407" s="1" t="str">
        <f>IFERROR(__xludf.DUMMYFUNCTION("""COMPUTED_VALUE"""),"ECAC")</f>
        <v>ECAC</v>
      </c>
    </row>
    <row r="408">
      <c r="A408" s="1" t="str">
        <f>IFERROR(__xludf.DUMMYFUNCTION("""COMPUTED_VALUE"""),"WZZ308")</f>
        <v>WZZ308</v>
      </c>
      <c r="B408" s="1" t="str">
        <f>IFERROR(__xludf.DUMMYFUNCTION("""COMPUTED_VALUE"""),"A320")</f>
        <v>A320</v>
      </c>
      <c r="C408" s="1" t="str">
        <f>IFERROR(__xludf.DUMMYFUNCTION("""COMPUTED_VALUE"""),"LBSF")</f>
        <v>LBSF</v>
      </c>
      <c r="D408" s="1" t="str">
        <f>IFERROR(__xludf.DUMMYFUNCTION("""COMPUTED_VALUE"""),"LEBL")</f>
        <v>LEBL</v>
      </c>
      <c r="E408" s="1" t="str">
        <f>IFERROR(__xludf.DUMMYFUNCTION("""COMPUTED_VALUE"""),"HALWE")</f>
        <v>HALWE</v>
      </c>
      <c r="F408" s="1">
        <f>IFERROR(__xludf.DUMMYFUNCTION("""COMPUTED_VALUE"""),350.0)</f>
        <v>350</v>
      </c>
      <c r="G408" s="7">
        <f>IFERROR(__xludf.DUMMYFUNCTION("""COMPUTED_VALUE"""),0.6527777777777778)</f>
        <v>0.6527777778</v>
      </c>
      <c r="H408" s="1">
        <f>IFERROR(__xludf.DUMMYFUNCTION("""COMPUTED_VALUE"""),13.0)</f>
        <v>13</v>
      </c>
      <c r="I408" s="7">
        <f>IFERROR(__xludf.DUMMYFUNCTION("""COMPUTED_VALUE"""),0.75)</f>
        <v>0.75</v>
      </c>
      <c r="J408" s="1" t="str">
        <f>IFERROR(__xludf.DUMMYFUNCTION("""COMPUTED_VALUE"""),"D")</f>
        <v>D</v>
      </c>
      <c r="K408" s="1">
        <f>IFERROR(__xludf.DUMMYFUNCTION("""COMPUTED_VALUE"""),173.0)</f>
        <v>173</v>
      </c>
      <c r="L408" s="7">
        <f>IFERROR(__xludf.DUMMYFUNCTION("""COMPUTED_VALUE"""),0.09722222222222221)</f>
        <v>0.09722222222</v>
      </c>
      <c r="M408" s="7">
        <f>IFERROR(__xludf.DUMMYFUNCTION("""COMPUTED_VALUE"""),0.0754861111111111)</f>
        <v>0.07548611111</v>
      </c>
      <c r="O408" s="9">
        <f>IFERROR(__xludf.DUMMYFUNCTION("""COMPUTED_VALUE"""),1503.6833333333332)</f>
        <v>1503.683333</v>
      </c>
      <c r="P408" s="1" t="str">
        <f>IFERROR(__xludf.DUMMYFUNCTION("""COMPUTED_VALUE"""),"WZZ")</f>
        <v>WZZ</v>
      </c>
      <c r="Q408" s="1" t="str">
        <f>IFERROR(__xludf.DUMMYFUNCTION("""COMPUTED_VALUE"""),"ECAC")</f>
        <v>ECAC</v>
      </c>
    </row>
    <row r="409">
      <c r="A409" s="1" t="str">
        <f>IFERROR(__xludf.DUMMYFUNCTION("""COMPUTED_VALUE"""),"VLG45EM")</f>
        <v>VLG45EM</v>
      </c>
      <c r="B409" s="1" t="str">
        <f>IFERROR(__xludf.DUMMYFUNCTION("""COMPUTED_VALUE"""),"A320")</f>
        <v>A320</v>
      </c>
      <c r="C409" s="1" t="str">
        <f>IFERROR(__xludf.DUMMYFUNCTION("""COMPUTED_VALUE"""),"GCLP")</f>
        <v>GCLP</v>
      </c>
      <c r="D409" s="1" t="str">
        <f>IFERROR(__xludf.DUMMYFUNCTION("""COMPUTED_VALUE"""),"LEBL")</f>
        <v>LEBL</v>
      </c>
      <c r="E409" s="1" t="str">
        <f>IFERROR(__xludf.DUMMYFUNCTION("""COMPUTED_VALUE"""),"ECLOP")</f>
        <v>ECLOP</v>
      </c>
      <c r="F409" s="1">
        <f>IFERROR(__xludf.DUMMYFUNCTION("""COMPUTED_VALUE"""),380.0)</f>
        <v>380</v>
      </c>
      <c r="G409" s="7">
        <f>IFERROR(__xludf.DUMMYFUNCTION("""COMPUTED_VALUE"""),0.6298611111111111)</f>
        <v>0.6298611111</v>
      </c>
      <c r="H409" s="1">
        <f>IFERROR(__xludf.DUMMYFUNCTION("""COMPUTED_VALUE"""),13.0)</f>
        <v>13</v>
      </c>
      <c r="I409" s="7">
        <f>IFERROR(__xludf.DUMMYFUNCTION("""COMPUTED_VALUE"""),0.7534722222222222)</f>
        <v>0.7534722222</v>
      </c>
      <c r="J409" s="1" t="str">
        <f>IFERROR(__xludf.DUMMYFUNCTION("""COMPUTED_VALUE"""),"D")</f>
        <v>D</v>
      </c>
      <c r="K409" s="1">
        <f>IFERROR(__xludf.DUMMYFUNCTION("""COMPUTED_VALUE"""),173.0)</f>
        <v>173</v>
      </c>
      <c r="L409" s="7">
        <f>IFERROR(__xludf.DUMMYFUNCTION("""COMPUTED_VALUE"""),0.12361111111111112)</f>
        <v>0.1236111111</v>
      </c>
      <c r="M409" s="7">
        <f>IFERROR(__xludf.DUMMYFUNCTION("""COMPUTED_VALUE"""),0.10187500000000001)</f>
        <v>0.101875</v>
      </c>
      <c r="O409" s="9">
        <f>IFERROR(__xludf.DUMMYFUNCTION("""COMPUTED_VALUE"""),2029.3500000000001)</f>
        <v>2029.35</v>
      </c>
      <c r="P409" s="1" t="str">
        <f>IFERROR(__xludf.DUMMYFUNCTION("""COMPUTED_VALUE"""),"VLG")</f>
        <v>VLG</v>
      </c>
      <c r="Q409" s="1" t="str">
        <f>IFERROR(__xludf.DUMMYFUNCTION("""COMPUTED_VALUE"""),"ECAC")</f>
        <v>ECAC</v>
      </c>
    </row>
    <row r="410">
      <c r="A410" s="1" t="str">
        <f>IFERROR(__xludf.DUMMYFUNCTION("""COMPUTED_VALUE"""),"WMT7HE")</f>
        <v>WMT7HE</v>
      </c>
      <c r="B410" s="1" t="str">
        <f>IFERROR(__xludf.DUMMYFUNCTION("""COMPUTED_VALUE"""),"A320")</f>
        <v>A320</v>
      </c>
      <c r="C410" s="1" t="str">
        <f>IFERROR(__xludf.DUMMYFUNCTION("""COMPUTED_VALUE"""),"LRIA")</f>
        <v>LRIA</v>
      </c>
      <c r="D410" s="1" t="str">
        <f>IFERROR(__xludf.DUMMYFUNCTION("""COMPUTED_VALUE"""),"LEBL")</f>
        <v>LEBL</v>
      </c>
      <c r="E410" s="1" t="str">
        <f>IFERROR(__xludf.DUMMYFUNCTION("""COMPUTED_VALUE"""),"9HWBA")</f>
        <v>9HWBA</v>
      </c>
      <c r="F410" s="1">
        <f>IFERROR(__xludf.DUMMYFUNCTION("""COMPUTED_VALUE"""),390.0)</f>
        <v>390</v>
      </c>
      <c r="G410" s="7">
        <f>IFERROR(__xludf.DUMMYFUNCTION("""COMPUTED_VALUE"""),0.6451388888888889)</f>
        <v>0.6451388889</v>
      </c>
      <c r="H410" s="1">
        <f>IFERROR(__xludf.DUMMYFUNCTION("""COMPUTED_VALUE"""),11.0)</f>
        <v>11</v>
      </c>
      <c r="I410" s="7">
        <f>IFERROR(__xludf.DUMMYFUNCTION("""COMPUTED_VALUE"""),0.7534722222222222)</f>
        <v>0.7534722222</v>
      </c>
      <c r="J410" s="1" t="str">
        <f>IFERROR(__xludf.DUMMYFUNCTION("""COMPUTED_VALUE"""),"D")</f>
        <v>D</v>
      </c>
      <c r="K410" s="1">
        <f>IFERROR(__xludf.DUMMYFUNCTION("""COMPUTED_VALUE"""),173.0)</f>
        <v>173</v>
      </c>
      <c r="L410" s="7">
        <f>IFERROR(__xludf.DUMMYFUNCTION("""COMPUTED_VALUE"""),0.10833333333333328)</f>
        <v>0.1083333333</v>
      </c>
      <c r="M410" s="7">
        <f>IFERROR(__xludf.DUMMYFUNCTION("""COMPUTED_VALUE"""),0.08798611111111106)</f>
        <v>0.08798611111</v>
      </c>
      <c r="O410" s="9">
        <f>IFERROR(__xludf.DUMMYFUNCTION("""COMPUTED_VALUE"""),1752.6833333333323)</f>
        <v>1752.683333</v>
      </c>
      <c r="P410" s="1" t="str">
        <f>IFERROR(__xludf.DUMMYFUNCTION("""COMPUTED_VALUE"""),"WMT")</f>
        <v>WMT</v>
      </c>
      <c r="Q410" s="1" t="str">
        <f>IFERROR(__xludf.DUMMYFUNCTION("""COMPUTED_VALUE"""),"ECAC")</f>
        <v>ECAC</v>
      </c>
    </row>
    <row r="411">
      <c r="A411" s="1" t="str">
        <f>IFERROR(__xludf.DUMMYFUNCTION("""COMPUTED_VALUE"""),"VLG78CE")</f>
        <v>VLG78CE</v>
      </c>
      <c r="B411" s="1" t="str">
        <f>IFERROR(__xludf.DUMMYFUNCTION("""COMPUTED_VALUE"""),"A321")</f>
        <v>A321</v>
      </c>
      <c r="C411" s="1" t="str">
        <f>IFERROR(__xludf.DUMMYFUNCTION("""COMPUTED_VALUE"""),"LIMC")</f>
        <v>LIMC</v>
      </c>
      <c r="D411" s="1" t="str">
        <f>IFERROR(__xludf.DUMMYFUNCTION("""COMPUTED_VALUE"""),"LEBL")</f>
        <v>LEBL</v>
      </c>
      <c r="E411" s="1" t="str">
        <f>IFERROR(__xludf.DUMMYFUNCTION("""COMPUTED_VALUE"""),"ECMOO")</f>
        <v>ECMOO</v>
      </c>
      <c r="F411" s="1">
        <f>IFERROR(__xludf.DUMMYFUNCTION("""COMPUTED_VALUE"""),310.0)</f>
        <v>310</v>
      </c>
      <c r="G411" s="7">
        <f>IFERROR(__xludf.DUMMYFUNCTION("""COMPUTED_VALUE"""),0.7111111111111111)</f>
        <v>0.7111111111</v>
      </c>
      <c r="H411" s="1">
        <f>IFERROR(__xludf.DUMMYFUNCTION("""COMPUTED_VALUE"""),13.0)</f>
        <v>13</v>
      </c>
      <c r="I411" s="7">
        <f>IFERROR(__xludf.DUMMYFUNCTION("""COMPUTED_VALUE"""),0.7569444444444444)</f>
        <v>0.7569444444</v>
      </c>
      <c r="J411" s="1" t="str">
        <f>IFERROR(__xludf.DUMMYFUNCTION("""COMPUTED_VALUE"""),"D")</f>
        <v>D</v>
      </c>
      <c r="K411" s="1">
        <f>IFERROR(__xludf.DUMMYFUNCTION("""COMPUTED_VALUE"""),207.0)</f>
        <v>207</v>
      </c>
      <c r="L411" s="7">
        <f>IFERROR(__xludf.DUMMYFUNCTION("""COMPUTED_VALUE"""),0.04583333333333328)</f>
        <v>0.04583333333</v>
      </c>
      <c r="M411" s="7">
        <f>IFERROR(__xludf.DUMMYFUNCTION("""COMPUTED_VALUE"""),0.02409722222222217)</f>
        <v>0.02409722222</v>
      </c>
      <c r="O411" s="9">
        <f>IFERROR(__xludf.DUMMYFUNCTION("""COMPUTED_VALUE"""),480.01666666666557)</f>
        <v>480.0166667</v>
      </c>
      <c r="P411" s="1" t="str">
        <f>IFERROR(__xludf.DUMMYFUNCTION("""COMPUTED_VALUE"""),"VLG")</f>
        <v>VLG</v>
      </c>
      <c r="Q411" s="1" t="str">
        <f>IFERROR(__xludf.DUMMYFUNCTION("""COMPUTED_VALUE"""),"ECAC")</f>
        <v>ECAC</v>
      </c>
    </row>
    <row r="412">
      <c r="A412" s="1" t="str">
        <f>IFERROR(__xludf.DUMMYFUNCTION("""COMPUTED_VALUE"""),"EWG3HN")</f>
        <v>EWG3HN</v>
      </c>
      <c r="B412" s="1" t="str">
        <f>IFERROR(__xludf.DUMMYFUNCTION("""COMPUTED_VALUE"""),"A320")</f>
        <v>A320</v>
      </c>
      <c r="C412" s="1" t="str">
        <f>IFERROR(__xludf.DUMMYFUNCTION("""COMPUTED_VALUE"""),"EDDK")</f>
        <v>EDDK</v>
      </c>
      <c r="D412" s="1" t="str">
        <f>IFERROR(__xludf.DUMMYFUNCTION("""COMPUTED_VALUE"""),"LEBL")</f>
        <v>LEBL</v>
      </c>
      <c r="E412" s="1" t="str">
        <f>IFERROR(__xludf.DUMMYFUNCTION("""COMPUTED_VALUE"""),"DABZL")</f>
        <v>DABZL</v>
      </c>
      <c r="F412" s="1">
        <f>IFERROR(__xludf.DUMMYFUNCTION("""COMPUTED_VALUE"""),390.0)</f>
        <v>390</v>
      </c>
      <c r="G412" s="7">
        <f>IFERROR(__xludf.DUMMYFUNCTION("""COMPUTED_VALUE"""),0.6875)</f>
        <v>0.6875</v>
      </c>
      <c r="H412" s="1">
        <f>IFERROR(__xludf.DUMMYFUNCTION("""COMPUTED_VALUE"""),22.0)</f>
        <v>22</v>
      </c>
      <c r="I412" s="7">
        <f>IFERROR(__xludf.DUMMYFUNCTION("""COMPUTED_VALUE"""),0.7569444444444444)</f>
        <v>0.7569444444</v>
      </c>
      <c r="J412" s="1" t="str">
        <f>IFERROR(__xludf.DUMMYFUNCTION("""COMPUTED_VALUE"""),"D")</f>
        <v>D</v>
      </c>
      <c r="K412" s="1">
        <f>IFERROR(__xludf.DUMMYFUNCTION("""COMPUTED_VALUE"""),173.0)</f>
        <v>173</v>
      </c>
      <c r="L412" s="7">
        <f>IFERROR(__xludf.DUMMYFUNCTION("""COMPUTED_VALUE"""),0.06944444444444442)</f>
        <v>0.06944444444</v>
      </c>
      <c r="M412" s="7">
        <f>IFERROR(__xludf.DUMMYFUNCTION("""COMPUTED_VALUE"""),0.041458333333333305)</f>
        <v>0.04145833333</v>
      </c>
      <c r="O412" s="9">
        <f>IFERROR(__xludf.DUMMYFUNCTION("""COMPUTED_VALUE"""),825.8499999999995)</f>
        <v>825.85</v>
      </c>
      <c r="P412" s="1" t="str">
        <f>IFERROR(__xludf.DUMMYFUNCTION("""COMPUTED_VALUE"""),"EWG")</f>
        <v>EWG</v>
      </c>
      <c r="Q412" s="1" t="str">
        <f>IFERROR(__xludf.DUMMYFUNCTION("""COMPUTED_VALUE"""),"ECAC")</f>
        <v>ECAC</v>
      </c>
    </row>
    <row r="413">
      <c r="A413" s="1" t="str">
        <f>IFERROR(__xludf.DUMMYFUNCTION("""COMPUTED_VALUE"""),"VLG5HM")</f>
        <v>VLG5HM</v>
      </c>
      <c r="B413" s="1" t="str">
        <f>IFERROR(__xludf.DUMMYFUNCTION("""COMPUTED_VALUE"""),"A320")</f>
        <v>A320</v>
      </c>
      <c r="C413" s="1" t="str">
        <f>IFERROR(__xludf.DUMMYFUNCTION("""COMPUTED_VALUE"""),"LFMN")</f>
        <v>LFMN</v>
      </c>
      <c r="D413" s="1" t="str">
        <f>IFERROR(__xludf.DUMMYFUNCTION("""COMPUTED_VALUE"""),"LEBL")</f>
        <v>LEBL</v>
      </c>
      <c r="E413" s="1" t="str">
        <f>IFERROR(__xludf.DUMMYFUNCTION("""COMPUTED_VALUE"""),"ECOFX")</f>
        <v>ECOFX</v>
      </c>
      <c r="F413" s="1">
        <f>IFERROR(__xludf.DUMMYFUNCTION("""COMPUTED_VALUE"""),290.0)</f>
        <v>290</v>
      </c>
      <c r="G413" s="7">
        <f>IFERROR(__xludf.DUMMYFUNCTION("""COMPUTED_VALUE"""),0.7194444444444444)</f>
        <v>0.7194444444</v>
      </c>
      <c r="H413" s="1">
        <f>IFERROR(__xludf.DUMMYFUNCTION("""COMPUTED_VALUE"""),11.0)</f>
        <v>11</v>
      </c>
      <c r="I413" s="7">
        <f>IFERROR(__xludf.DUMMYFUNCTION("""COMPUTED_VALUE"""),0.7569444444444444)</f>
        <v>0.7569444444</v>
      </c>
      <c r="J413" s="1" t="str">
        <f>IFERROR(__xludf.DUMMYFUNCTION("""COMPUTED_VALUE"""),"D")</f>
        <v>D</v>
      </c>
      <c r="K413" s="1">
        <f>IFERROR(__xludf.DUMMYFUNCTION("""COMPUTED_VALUE"""),173.0)</f>
        <v>173</v>
      </c>
      <c r="L413" s="7">
        <f>IFERROR(__xludf.DUMMYFUNCTION("""COMPUTED_VALUE"""),0.03749999999999998)</f>
        <v>0.0375</v>
      </c>
      <c r="M413" s="7">
        <f>IFERROR(__xludf.DUMMYFUNCTION("""COMPUTED_VALUE"""),0.017152777777777753)</f>
        <v>0.01715277778</v>
      </c>
      <c r="O413" s="9">
        <f>IFERROR(__xludf.DUMMYFUNCTION("""COMPUTED_VALUE"""),341.6833333333328)</f>
        <v>341.6833333</v>
      </c>
      <c r="P413" s="1" t="str">
        <f>IFERROR(__xludf.DUMMYFUNCTION("""COMPUTED_VALUE"""),"VLG")</f>
        <v>VLG</v>
      </c>
      <c r="Q413" s="1" t="str">
        <f>IFERROR(__xludf.DUMMYFUNCTION("""COMPUTED_VALUE"""),"ECAC")</f>
        <v>ECAC</v>
      </c>
    </row>
    <row r="414">
      <c r="A414" s="1" t="str">
        <f>IFERROR(__xludf.DUMMYFUNCTION("""COMPUTED_VALUE"""),"SAS4685")</f>
        <v>SAS4685</v>
      </c>
      <c r="B414" s="1" t="str">
        <f>IFERROR(__xludf.DUMMYFUNCTION("""COMPUTED_VALUE"""),"A20N")</f>
        <v>A20N</v>
      </c>
      <c r="C414" s="1" t="str">
        <f>IFERROR(__xludf.DUMMYFUNCTION("""COMPUTED_VALUE"""),"ENGM")</f>
        <v>ENGM</v>
      </c>
      <c r="D414" s="1" t="str">
        <f>IFERROR(__xludf.DUMMYFUNCTION("""COMPUTED_VALUE"""),"LEBL")</f>
        <v>LEBL</v>
      </c>
      <c r="E414" s="1" t="str">
        <f>IFERROR(__xludf.DUMMYFUNCTION("""COMPUTED_VALUE"""),"SERZE")</f>
        <v>SERZE</v>
      </c>
      <c r="F414" s="1">
        <f>IFERROR(__xludf.DUMMYFUNCTION("""COMPUTED_VALUE"""),390.0)</f>
        <v>390</v>
      </c>
      <c r="G414" s="7">
        <f>IFERROR(__xludf.DUMMYFUNCTION("""COMPUTED_VALUE"""),0.6430555555555556)</f>
        <v>0.6430555556</v>
      </c>
      <c r="H414" s="1">
        <f>IFERROR(__xludf.DUMMYFUNCTION("""COMPUTED_VALUE"""),14.0)</f>
        <v>14</v>
      </c>
      <c r="I414" s="7">
        <f>IFERROR(__xludf.DUMMYFUNCTION("""COMPUTED_VALUE"""),0.7604166666666666)</f>
        <v>0.7604166667</v>
      </c>
      <c r="J414" s="1" t="str">
        <f>IFERROR(__xludf.DUMMYFUNCTION("""COMPUTED_VALUE"""),"D")</f>
        <v>D</v>
      </c>
      <c r="K414" s="1">
        <f>IFERROR(__xludf.DUMMYFUNCTION("""COMPUTED_VALUE"""),180.0)</f>
        <v>180</v>
      </c>
      <c r="L414" s="7">
        <f>IFERROR(__xludf.DUMMYFUNCTION("""COMPUTED_VALUE"""),0.11736111111111103)</f>
        <v>0.1173611111</v>
      </c>
      <c r="M414" s="7">
        <f>IFERROR(__xludf.DUMMYFUNCTION("""COMPUTED_VALUE"""),0.09493055555555546)</f>
        <v>0.09493055556</v>
      </c>
      <c r="O414" s="9">
        <f>IFERROR(__xludf.DUMMYFUNCTION("""COMPUTED_VALUE"""),1891.0166666666648)</f>
        <v>1891.016667</v>
      </c>
      <c r="P414" s="1" t="str">
        <f>IFERROR(__xludf.DUMMYFUNCTION("""COMPUTED_VALUE"""),"SAS")</f>
        <v>SAS</v>
      </c>
      <c r="Q414" s="1" t="str">
        <f>IFERROR(__xludf.DUMMYFUNCTION("""COMPUTED_VALUE"""),"ECAC")</f>
        <v>ECAC</v>
      </c>
    </row>
    <row r="415">
      <c r="A415" s="1" t="str">
        <f>IFERROR(__xludf.DUMMYFUNCTION("""COMPUTED_VALUE"""),"IBE04VC")</f>
        <v>IBE04VC</v>
      </c>
      <c r="B415" s="1" t="str">
        <f>IFERROR(__xludf.DUMMYFUNCTION("""COMPUTED_VALUE"""),"A20N")</f>
        <v>A20N</v>
      </c>
      <c r="C415" s="1" t="str">
        <f>IFERROR(__xludf.DUMMYFUNCTION("""COMPUTED_VALUE"""),"LEMD")</f>
        <v>LEMD</v>
      </c>
      <c r="D415" s="1" t="str">
        <f>IFERROR(__xludf.DUMMYFUNCTION("""COMPUTED_VALUE"""),"LEBL")</f>
        <v>LEBL</v>
      </c>
      <c r="E415" s="1" t="str">
        <f>IFERROR(__xludf.DUMMYFUNCTION("""COMPUTED_VALUE"""),"ECNCM")</f>
        <v>ECNCM</v>
      </c>
      <c r="F415" s="1">
        <f>IFERROR(__xludf.DUMMYFUNCTION("""COMPUTED_VALUE"""),300.0)</f>
        <v>300</v>
      </c>
      <c r="G415" s="7">
        <f>IFERROR(__xludf.DUMMYFUNCTION("""COMPUTED_VALUE"""),0.7270833333333333)</f>
        <v>0.7270833333</v>
      </c>
      <c r="H415" s="1">
        <f>IFERROR(__xludf.DUMMYFUNCTION("""COMPUTED_VALUE"""),16.0)</f>
        <v>16</v>
      </c>
      <c r="I415" s="7">
        <f>IFERROR(__xludf.DUMMYFUNCTION("""COMPUTED_VALUE"""),0.7604166666666666)</f>
        <v>0.7604166667</v>
      </c>
      <c r="J415" s="1" t="str">
        <f>IFERROR(__xludf.DUMMYFUNCTION("""COMPUTED_VALUE"""),"D")</f>
        <v>D</v>
      </c>
      <c r="K415" s="1">
        <f>IFERROR(__xludf.DUMMYFUNCTION("""COMPUTED_VALUE"""),180.0)</f>
        <v>180</v>
      </c>
      <c r="L415" s="7">
        <f>IFERROR(__xludf.DUMMYFUNCTION("""COMPUTED_VALUE"""),0.033333333333333326)</f>
        <v>0.03333333333</v>
      </c>
      <c r="M415" s="7">
        <f>IFERROR(__xludf.DUMMYFUNCTION("""COMPUTED_VALUE"""),0.009513888888888879)</f>
        <v>0.009513888889</v>
      </c>
      <c r="O415" s="9">
        <f>IFERROR(__xludf.DUMMYFUNCTION("""COMPUTED_VALUE"""),189.51666666666648)</f>
        <v>189.5166667</v>
      </c>
      <c r="P415" s="1" t="str">
        <f>IFERROR(__xludf.DUMMYFUNCTION("""COMPUTED_VALUE"""),"IBE")</f>
        <v>IBE</v>
      </c>
      <c r="Q415" s="1" t="str">
        <f>IFERROR(__xludf.DUMMYFUNCTION("""COMPUTED_VALUE"""),"ECAC")</f>
        <v>ECAC</v>
      </c>
    </row>
    <row r="416">
      <c r="A416" s="1" t="str">
        <f>IFERROR(__xludf.DUMMYFUNCTION("""COMPUTED_VALUE"""),"VLG4VT")</f>
        <v>VLG4VT</v>
      </c>
      <c r="B416" s="1" t="str">
        <f>IFERROR(__xludf.DUMMYFUNCTION("""COMPUTED_VALUE"""),"A319")</f>
        <v>A319</v>
      </c>
      <c r="C416" s="1" t="str">
        <f>IFERROR(__xludf.DUMMYFUNCTION("""COMPUTED_VALUE"""),"LESO")</f>
        <v>LESO</v>
      </c>
      <c r="D416" s="1" t="str">
        <f>IFERROR(__xludf.DUMMYFUNCTION("""COMPUTED_VALUE"""),"LEBL")</f>
        <v>LEBL</v>
      </c>
      <c r="E416" s="1" t="str">
        <f>IFERROR(__xludf.DUMMYFUNCTION("""COMPUTED_VALUE"""),"ECMIQ")</f>
        <v>ECMIQ</v>
      </c>
      <c r="F416" s="1">
        <f>IFERROR(__xludf.DUMMYFUNCTION("""COMPUTED_VALUE"""),280.0)</f>
        <v>280</v>
      </c>
      <c r="G416" s="7">
        <f>IFERROR(__xludf.DUMMYFUNCTION("""COMPUTED_VALUE"""),0.7159722222222222)</f>
        <v>0.7159722222</v>
      </c>
      <c r="H416" s="1">
        <f>IFERROR(__xludf.DUMMYFUNCTION("""COMPUTED_VALUE"""),7.0)</f>
        <v>7</v>
      </c>
      <c r="I416" s="7">
        <f>IFERROR(__xludf.DUMMYFUNCTION("""COMPUTED_VALUE"""),0.7604166666666666)</f>
        <v>0.7604166667</v>
      </c>
      <c r="J416" s="1" t="str">
        <f>IFERROR(__xludf.DUMMYFUNCTION("""COMPUTED_VALUE"""),"D")</f>
        <v>D</v>
      </c>
      <c r="K416" s="1">
        <f>IFERROR(__xludf.DUMMYFUNCTION("""COMPUTED_VALUE"""),144.0)</f>
        <v>144</v>
      </c>
      <c r="L416" s="7">
        <f>IFERROR(__xludf.DUMMYFUNCTION("""COMPUTED_VALUE"""),0.0444444444444444)</f>
        <v>0.04444444444</v>
      </c>
      <c r="M416" s="7">
        <f>IFERROR(__xludf.DUMMYFUNCTION("""COMPUTED_VALUE"""),0.02687499999999995)</f>
        <v>0.026875</v>
      </c>
      <c r="O416" s="9">
        <f>IFERROR(__xludf.DUMMYFUNCTION("""COMPUTED_VALUE"""),535.349999999999)</f>
        <v>535.35</v>
      </c>
      <c r="P416" s="1" t="str">
        <f>IFERROR(__xludf.DUMMYFUNCTION("""COMPUTED_VALUE"""),"VLG")</f>
        <v>VLG</v>
      </c>
      <c r="Q416" s="1" t="str">
        <f>IFERROR(__xludf.DUMMYFUNCTION("""COMPUTED_VALUE"""),"NO ECAC")</f>
        <v>NO ECAC</v>
      </c>
    </row>
    <row r="417">
      <c r="A417" s="1" t="str">
        <f>IFERROR(__xludf.DUMMYFUNCTION("""COMPUTED_VALUE"""),"CTN72E")</f>
        <v>CTN72E</v>
      </c>
      <c r="B417" s="1" t="str">
        <f>IFERROR(__xludf.DUMMYFUNCTION("""COMPUTED_VALUE"""),"BCS3")</f>
        <v>BCS3</v>
      </c>
      <c r="C417" s="1" t="str">
        <f>IFERROR(__xludf.DUMMYFUNCTION("""COMPUTED_VALUE"""),"LDZA")</f>
        <v>LDZA</v>
      </c>
      <c r="D417" s="1" t="str">
        <f>IFERROR(__xludf.DUMMYFUNCTION("""COMPUTED_VALUE"""),"LEBL")</f>
        <v>LEBL</v>
      </c>
      <c r="E417" s="1" t="str">
        <f>IFERROR(__xludf.DUMMYFUNCTION("""COMPUTED_VALUE"""),"9ACAN")</f>
        <v>9ACAN</v>
      </c>
      <c r="F417" s="1">
        <f>IFERROR(__xludf.DUMMYFUNCTION("""COMPUTED_VALUE"""),370.0)</f>
        <v>370</v>
      </c>
      <c r="G417" s="7">
        <f>IFERROR(__xludf.DUMMYFUNCTION("""COMPUTED_VALUE"""),0.6909722222222222)</f>
        <v>0.6909722222</v>
      </c>
      <c r="H417" s="1">
        <f>IFERROR(__xludf.DUMMYFUNCTION("""COMPUTED_VALUE"""),10.0)</f>
        <v>10</v>
      </c>
      <c r="I417" s="7">
        <f>IFERROR(__xludf.DUMMYFUNCTION("""COMPUTED_VALUE"""),0.7604166666666666)</f>
        <v>0.7604166667</v>
      </c>
      <c r="J417" s="1" t="str">
        <f>IFERROR(__xludf.DUMMYFUNCTION("""COMPUTED_VALUE"""),"D")</f>
        <v>D</v>
      </c>
      <c r="K417" s="1">
        <f>IFERROR(__xludf.DUMMYFUNCTION("""COMPUTED_VALUE"""),148.0)</f>
        <v>148</v>
      </c>
      <c r="L417" s="7">
        <f>IFERROR(__xludf.DUMMYFUNCTION("""COMPUTED_VALUE"""),0.06944444444444442)</f>
        <v>0.06944444444</v>
      </c>
      <c r="M417" s="7">
        <f>IFERROR(__xludf.DUMMYFUNCTION("""COMPUTED_VALUE"""),0.04979166666666664)</f>
        <v>0.04979166667</v>
      </c>
      <c r="O417" s="9">
        <f>IFERROR(__xludf.DUMMYFUNCTION("""COMPUTED_VALUE"""),991.8499999999995)</f>
        <v>991.85</v>
      </c>
      <c r="P417" s="1" t="str">
        <f>IFERROR(__xludf.DUMMYFUNCTION("""COMPUTED_VALUE"""),"CTN")</f>
        <v>CTN</v>
      </c>
      <c r="Q417" s="1" t="str">
        <f>IFERROR(__xludf.DUMMYFUNCTION("""COMPUTED_VALUE"""),"ECAC")</f>
        <v>ECAC</v>
      </c>
    </row>
    <row r="418">
      <c r="A418" s="1" t="str">
        <f>IFERROR(__xludf.DUMMYFUNCTION("""COMPUTED_VALUE"""),"VLG55MP")</f>
        <v>VLG55MP</v>
      </c>
      <c r="B418" s="1" t="str">
        <f>IFERROR(__xludf.DUMMYFUNCTION("""COMPUTED_VALUE"""),"A320")</f>
        <v>A320</v>
      </c>
      <c r="C418" s="1" t="str">
        <f>IFERROR(__xludf.DUMMYFUNCTION("""COMPUTED_VALUE"""),"LIPR")</f>
        <v>LIPR</v>
      </c>
      <c r="D418" s="1" t="str">
        <f>IFERROR(__xludf.DUMMYFUNCTION("""COMPUTED_VALUE"""),"LEBL")</f>
        <v>LEBL</v>
      </c>
      <c r="E418" s="1" t="str">
        <f>IFERROR(__xludf.DUMMYFUNCTION("""COMPUTED_VALUE"""),"ECKDH")</f>
        <v>ECKDH</v>
      </c>
      <c r="F418" s="1">
        <f>IFERROR(__xludf.DUMMYFUNCTION("""COMPUTED_VALUE"""),310.0)</f>
        <v>310</v>
      </c>
      <c r="G418" s="7">
        <f>IFERROR(__xludf.DUMMYFUNCTION("""COMPUTED_VALUE"""),0.7006944444444444)</f>
        <v>0.7006944444</v>
      </c>
      <c r="H418" s="1">
        <f>IFERROR(__xludf.DUMMYFUNCTION("""COMPUTED_VALUE"""),10.0)</f>
        <v>10</v>
      </c>
      <c r="I418" s="7">
        <f>IFERROR(__xludf.DUMMYFUNCTION("""COMPUTED_VALUE"""),0.7638888888888888)</f>
        <v>0.7638888889</v>
      </c>
      <c r="J418" s="1" t="str">
        <f>IFERROR(__xludf.DUMMYFUNCTION("""COMPUTED_VALUE"""),"D")</f>
        <v>D</v>
      </c>
      <c r="K418" s="1">
        <f>IFERROR(__xludf.DUMMYFUNCTION("""COMPUTED_VALUE"""),173.0)</f>
        <v>173</v>
      </c>
      <c r="L418" s="7">
        <f>IFERROR(__xludf.DUMMYFUNCTION("""COMPUTED_VALUE"""),0.06319444444444444)</f>
        <v>0.06319444444</v>
      </c>
      <c r="M418" s="7">
        <f>IFERROR(__xludf.DUMMYFUNCTION("""COMPUTED_VALUE"""),0.04354166666666666)</f>
        <v>0.04354166667</v>
      </c>
      <c r="O418" s="9">
        <f>IFERROR(__xludf.DUMMYFUNCTION("""COMPUTED_VALUE"""),867.3499999999999)</f>
        <v>867.35</v>
      </c>
      <c r="P418" s="1" t="str">
        <f>IFERROR(__xludf.DUMMYFUNCTION("""COMPUTED_VALUE"""),"VLG")</f>
        <v>VLG</v>
      </c>
      <c r="Q418" s="1" t="str">
        <f>IFERROR(__xludf.DUMMYFUNCTION("""COMPUTED_VALUE"""),"NO ECAC")</f>
        <v>NO ECAC</v>
      </c>
    </row>
    <row r="419">
      <c r="A419" s="1" t="str">
        <f>IFERROR(__xludf.DUMMYFUNCTION("""COMPUTED_VALUE"""),"LGL93B")</f>
        <v>LGL93B</v>
      </c>
      <c r="B419" s="1" t="str">
        <f>IFERROR(__xludf.DUMMYFUNCTION("""COMPUTED_VALUE"""),"B737")</f>
        <v>B737</v>
      </c>
      <c r="C419" s="1" t="str">
        <f>IFERROR(__xludf.DUMMYFUNCTION("""COMPUTED_VALUE"""),"ELLX")</f>
        <v>ELLX</v>
      </c>
      <c r="D419" s="1" t="str">
        <f>IFERROR(__xludf.DUMMYFUNCTION("""COMPUTED_VALUE"""),"LEBL")</f>
        <v>LEBL</v>
      </c>
      <c r="E419" s="1" t="str">
        <f>IFERROR(__xludf.DUMMYFUNCTION("""COMPUTED_VALUE"""),"LXLBR")</f>
        <v>LXLBR</v>
      </c>
      <c r="F419" s="1">
        <f>IFERROR(__xludf.DUMMYFUNCTION("""COMPUTED_VALUE"""),370.0)</f>
        <v>370</v>
      </c>
      <c r="G419" s="7">
        <f>IFERROR(__xludf.DUMMYFUNCTION("""COMPUTED_VALUE"""),0.6895833333333333)</f>
        <v>0.6895833333</v>
      </c>
      <c r="H419" s="1">
        <f>IFERROR(__xludf.DUMMYFUNCTION("""COMPUTED_VALUE"""),10.0)</f>
        <v>10</v>
      </c>
      <c r="I419" s="7">
        <f>IFERROR(__xludf.DUMMYFUNCTION("""COMPUTED_VALUE"""),0.7638888888888888)</f>
        <v>0.7638888889</v>
      </c>
      <c r="J419" s="1" t="str">
        <f>IFERROR(__xludf.DUMMYFUNCTION("""COMPUTED_VALUE"""),"D")</f>
        <v>D</v>
      </c>
      <c r="K419" s="1">
        <f>IFERROR(__xludf.DUMMYFUNCTION("""COMPUTED_VALUE"""),145.0)</f>
        <v>145</v>
      </c>
      <c r="L419" s="7">
        <f>IFERROR(__xludf.DUMMYFUNCTION("""COMPUTED_VALUE"""),0.07430555555555551)</f>
        <v>0.07430555556</v>
      </c>
      <c r="M419" s="7">
        <f>IFERROR(__xludf.DUMMYFUNCTION("""COMPUTED_VALUE"""),0.05465277777777773)</f>
        <v>0.05465277778</v>
      </c>
      <c r="O419" s="9">
        <f>IFERROR(__xludf.DUMMYFUNCTION("""COMPUTED_VALUE"""),1088.6833333333325)</f>
        <v>1088.683333</v>
      </c>
      <c r="P419" s="1" t="str">
        <f>IFERROR(__xludf.DUMMYFUNCTION("""COMPUTED_VALUE"""),"LGL")</f>
        <v>LGL</v>
      </c>
      <c r="Q419" s="1" t="str">
        <f>IFERROR(__xludf.DUMMYFUNCTION("""COMPUTED_VALUE"""),"ECAC")</f>
        <v>ECAC</v>
      </c>
    </row>
    <row r="420">
      <c r="A420" s="1" t="str">
        <f>IFERROR(__xludf.DUMMYFUNCTION("""COMPUTED_VALUE"""),"VLG6EB")</f>
        <v>VLG6EB</v>
      </c>
      <c r="B420" s="1" t="str">
        <f>IFERROR(__xludf.DUMMYFUNCTION("""COMPUTED_VALUE"""),"A320")</f>
        <v>A320</v>
      </c>
      <c r="C420" s="1" t="str">
        <f>IFERROR(__xludf.DUMMYFUNCTION("""COMPUTED_VALUE"""),"LEIB")</f>
        <v>LEIB</v>
      </c>
      <c r="D420" s="1" t="str">
        <f>IFERROR(__xludf.DUMMYFUNCTION("""COMPUTED_VALUE"""),"LEBL")</f>
        <v>LEBL</v>
      </c>
      <c r="E420" s="1" t="str">
        <f>IFERROR(__xludf.DUMMYFUNCTION("""COMPUTED_VALUE"""),"ECKDX")</f>
        <v>ECKDX</v>
      </c>
      <c r="F420" s="1">
        <f>IFERROR(__xludf.DUMMYFUNCTION("""COMPUTED_VALUE"""),180.0)</f>
        <v>180</v>
      </c>
      <c r="G420" s="7">
        <f>IFERROR(__xludf.DUMMYFUNCTION("""COMPUTED_VALUE"""),0.7444444444444445)</f>
        <v>0.7444444444</v>
      </c>
      <c r="H420" s="1">
        <f>IFERROR(__xludf.DUMMYFUNCTION("""COMPUTED_VALUE"""),11.0)</f>
        <v>11</v>
      </c>
      <c r="I420" s="7">
        <f>IFERROR(__xludf.DUMMYFUNCTION("""COMPUTED_VALUE"""),0.7638888888888888)</f>
        <v>0.7638888889</v>
      </c>
      <c r="J420" s="1" t="str">
        <f>IFERROR(__xludf.DUMMYFUNCTION("""COMPUTED_VALUE"""),"D")</f>
        <v>D</v>
      </c>
      <c r="K420" s="1">
        <f>IFERROR(__xludf.DUMMYFUNCTION("""COMPUTED_VALUE"""),173.0)</f>
        <v>173</v>
      </c>
      <c r="L420" s="7">
        <f>IFERROR(__xludf.DUMMYFUNCTION("""COMPUTED_VALUE"""),0.019444444444444375)</f>
        <v>0.01944444444</v>
      </c>
      <c r="M420" s="7">
        <f>IFERROR(__xludf.DUMMYFUNCTION("""COMPUTED_VALUE"""),0.011805555555555486)</f>
        <v>0.01180555556</v>
      </c>
      <c r="O420" s="9">
        <f>IFERROR(__xludf.DUMMYFUNCTION("""COMPUTED_VALUE"""),235.16666666666526)</f>
        <v>235.1666667</v>
      </c>
      <c r="P420" s="1" t="str">
        <f>IFERROR(__xludf.DUMMYFUNCTION("""COMPUTED_VALUE"""),"VLG")</f>
        <v>VLG</v>
      </c>
      <c r="Q420" s="1" t="str">
        <f>IFERROR(__xludf.DUMMYFUNCTION("""COMPUTED_VALUE"""),"ECAC")</f>
        <v>ECAC</v>
      </c>
    </row>
    <row r="421">
      <c r="A421" s="1" t="str">
        <f>IFERROR(__xludf.DUMMYFUNCTION("""COMPUTED_VALUE"""),"RYR651H")</f>
        <v>RYR651H</v>
      </c>
      <c r="B421" s="1" t="str">
        <f>IFERROR(__xludf.DUMMYFUNCTION("""COMPUTED_VALUE"""),"B738")</f>
        <v>B738</v>
      </c>
      <c r="C421" s="1" t="str">
        <f>IFERROR(__xludf.DUMMYFUNCTION("""COMPUTED_VALUE"""),"EBBR")</f>
        <v>EBBR</v>
      </c>
      <c r="D421" s="1" t="str">
        <f>IFERROR(__xludf.DUMMYFUNCTION("""COMPUTED_VALUE"""),"LEBL")</f>
        <v>LEBL</v>
      </c>
      <c r="E421" s="1" t="str">
        <f>IFERROR(__xludf.DUMMYFUNCTION("""COMPUTED_VALUE"""),"EIDCN")</f>
        <v>EIDCN</v>
      </c>
      <c r="F421" s="1">
        <f>IFERROR(__xludf.DUMMYFUNCTION("""COMPUTED_VALUE"""),370.0)</f>
        <v>370</v>
      </c>
      <c r="G421" s="7">
        <f>IFERROR(__xludf.DUMMYFUNCTION("""COMPUTED_VALUE"""),0.7013888888888888)</f>
        <v>0.7013888889</v>
      </c>
      <c r="H421" s="1">
        <f>IFERROR(__xludf.DUMMYFUNCTION("""COMPUTED_VALUE"""),9.0)</f>
        <v>9</v>
      </c>
      <c r="I421" s="7">
        <f>IFERROR(__xludf.DUMMYFUNCTION("""COMPUTED_VALUE"""),0.7673611111111112)</f>
        <v>0.7673611111</v>
      </c>
      <c r="J421" s="1" t="str">
        <f>IFERROR(__xludf.DUMMYFUNCTION("""COMPUTED_VALUE"""),"D")</f>
        <v>D</v>
      </c>
      <c r="K421" s="1">
        <f>IFERROR(__xludf.DUMMYFUNCTION("""COMPUTED_VALUE"""),184.0)</f>
        <v>184</v>
      </c>
      <c r="L421" s="7">
        <f>IFERROR(__xludf.DUMMYFUNCTION("""COMPUTED_VALUE"""),0.06597222222222232)</f>
        <v>0.06597222222</v>
      </c>
      <c r="M421" s="7">
        <f>IFERROR(__xludf.DUMMYFUNCTION("""COMPUTED_VALUE"""),0.04701388888888899)</f>
        <v>0.04701388889</v>
      </c>
      <c r="O421" s="9">
        <f>IFERROR(__xludf.DUMMYFUNCTION("""COMPUTED_VALUE"""),936.5166666666686)</f>
        <v>936.5166667</v>
      </c>
      <c r="P421" s="1" t="str">
        <f>IFERROR(__xludf.DUMMYFUNCTION("""COMPUTED_VALUE"""),"RYR")</f>
        <v>RYR</v>
      </c>
      <c r="Q421" s="1" t="str">
        <f>IFERROR(__xludf.DUMMYFUNCTION("""COMPUTED_VALUE"""),"ECAC")</f>
        <v>ECAC</v>
      </c>
    </row>
    <row r="422">
      <c r="A422" s="1" t="str">
        <f>IFERROR(__xludf.DUMMYFUNCTION("""COMPUTED_VALUE"""),"RYR6297")</f>
        <v>RYR6297</v>
      </c>
      <c r="B422" s="1" t="str">
        <f>IFERROR(__xludf.DUMMYFUNCTION("""COMPUTED_VALUE"""),"B738")</f>
        <v>B738</v>
      </c>
      <c r="C422" s="1" t="str">
        <f>IFERROR(__xludf.DUMMYFUNCTION("""COMPUTED_VALUE"""),"LFBI")</f>
        <v>LFBI</v>
      </c>
      <c r="D422" s="1" t="str">
        <f>IFERROR(__xludf.DUMMYFUNCTION("""COMPUTED_VALUE"""),"LEBL")</f>
        <v>LEBL</v>
      </c>
      <c r="E422" s="1" t="str">
        <f>IFERROR(__xludf.DUMMYFUNCTION("""COMPUTED_VALUE"""),"9HQEW")</f>
        <v>9HQEW</v>
      </c>
      <c r="F422" s="1">
        <f>IFERROR(__xludf.DUMMYFUNCTION("""COMPUTED_VALUE"""),330.0)</f>
        <v>330</v>
      </c>
      <c r="G422" s="7">
        <f>IFERROR(__xludf.DUMMYFUNCTION("""COMPUTED_VALUE"""),0.7270833333333333)</f>
        <v>0.7270833333</v>
      </c>
      <c r="H422" s="1">
        <f>IFERROR(__xludf.DUMMYFUNCTION("""COMPUTED_VALUE"""),5.0)</f>
        <v>5</v>
      </c>
      <c r="I422" s="7">
        <f>IFERROR(__xludf.DUMMYFUNCTION("""COMPUTED_VALUE"""),0.7673611111111112)</f>
        <v>0.7673611111</v>
      </c>
      <c r="J422" s="1" t="str">
        <f>IFERROR(__xludf.DUMMYFUNCTION("""COMPUTED_VALUE"""),"D")</f>
        <v>D</v>
      </c>
      <c r="K422" s="1">
        <f>IFERROR(__xludf.DUMMYFUNCTION("""COMPUTED_VALUE"""),184.0)</f>
        <v>184</v>
      </c>
      <c r="L422" s="7">
        <f>IFERROR(__xludf.DUMMYFUNCTION("""COMPUTED_VALUE"""),0.04027777777777786)</f>
        <v>0.04027777778</v>
      </c>
      <c r="M422" s="7">
        <f>IFERROR(__xludf.DUMMYFUNCTION("""COMPUTED_VALUE"""),0.024097222222222298)</f>
        <v>0.02409722222</v>
      </c>
      <c r="O422" s="9">
        <f>IFERROR(__xludf.DUMMYFUNCTION("""COMPUTED_VALUE"""),480.0166666666682)</f>
        <v>480.0166667</v>
      </c>
      <c r="P422" s="1" t="str">
        <f>IFERROR(__xludf.DUMMYFUNCTION("""COMPUTED_VALUE"""),"RYR")</f>
        <v>RYR</v>
      </c>
      <c r="Q422" s="1" t="str">
        <f>IFERROR(__xludf.DUMMYFUNCTION("""COMPUTED_VALUE"""),"NO ECAC")</f>
        <v>NO ECAC</v>
      </c>
    </row>
    <row r="423">
      <c r="A423" s="1" t="str">
        <f>IFERROR(__xludf.DUMMYFUNCTION("""COMPUTED_VALUE"""),"WMT8JM")</f>
        <v>WMT8JM</v>
      </c>
      <c r="B423" s="1" t="str">
        <f>IFERROR(__xludf.DUMMYFUNCTION("""COMPUTED_VALUE"""),"A321")</f>
        <v>A321</v>
      </c>
      <c r="C423" s="1" t="str">
        <f>IFERROR(__xludf.DUMMYFUNCTION("""COMPUTED_VALUE"""),"LROP")</f>
        <v>LROP</v>
      </c>
      <c r="D423" s="1" t="str">
        <f>IFERROR(__xludf.DUMMYFUNCTION("""COMPUTED_VALUE"""),"LEBL")</f>
        <v>LEBL</v>
      </c>
      <c r="E423" s="1" t="str">
        <f>IFERROR(__xludf.DUMMYFUNCTION("""COMPUTED_VALUE"""),"HALXL")</f>
        <v>HALXL</v>
      </c>
      <c r="F423" s="1">
        <f>IFERROR(__xludf.DUMMYFUNCTION("""COMPUTED_VALUE"""),350.0)</f>
        <v>350</v>
      </c>
      <c r="G423" s="7">
        <f>IFERROR(__xludf.DUMMYFUNCTION("""COMPUTED_VALUE"""),0.6597222222222222)</f>
        <v>0.6597222222</v>
      </c>
      <c r="H423" s="1">
        <f>IFERROR(__xludf.DUMMYFUNCTION("""COMPUTED_VALUE"""),10.0)</f>
        <v>10</v>
      </c>
      <c r="I423" s="7">
        <f>IFERROR(__xludf.DUMMYFUNCTION("""COMPUTED_VALUE"""),0.7673611111111112)</f>
        <v>0.7673611111</v>
      </c>
      <c r="J423" s="1" t="str">
        <f>IFERROR(__xludf.DUMMYFUNCTION("""COMPUTED_VALUE"""),"D")</f>
        <v>D</v>
      </c>
      <c r="K423" s="1">
        <f>IFERROR(__xludf.DUMMYFUNCTION("""COMPUTED_VALUE"""),207.0)</f>
        <v>207</v>
      </c>
      <c r="L423" s="7">
        <f>IFERROR(__xludf.DUMMYFUNCTION("""COMPUTED_VALUE"""),0.10763888888888895)</f>
        <v>0.1076388889</v>
      </c>
      <c r="M423" s="7">
        <f>IFERROR(__xludf.DUMMYFUNCTION("""COMPUTED_VALUE"""),0.08798611111111117)</f>
        <v>0.08798611111</v>
      </c>
      <c r="O423" s="9">
        <f>IFERROR(__xludf.DUMMYFUNCTION("""COMPUTED_VALUE"""),1752.6833333333345)</f>
        <v>1752.683333</v>
      </c>
      <c r="P423" s="1" t="str">
        <f>IFERROR(__xludf.DUMMYFUNCTION("""COMPUTED_VALUE"""),"WMT")</f>
        <v>WMT</v>
      </c>
      <c r="Q423" s="1" t="str">
        <f>IFERROR(__xludf.DUMMYFUNCTION("""COMPUTED_VALUE"""),"ECAC")</f>
        <v>ECAC</v>
      </c>
    </row>
    <row r="424">
      <c r="A424" s="1" t="str">
        <f>IFERROR(__xludf.DUMMYFUNCTION("""COMPUTED_VALUE"""),"BAW4GS")</f>
        <v>BAW4GS</v>
      </c>
      <c r="B424" s="1" t="str">
        <f>IFERROR(__xludf.DUMMYFUNCTION("""COMPUTED_VALUE"""),"A20N")</f>
        <v>A20N</v>
      </c>
      <c r="C424" s="1" t="str">
        <f>IFERROR(__xludf.DUMMYFUNCTION("""COMPUTED_VALUE"""),"EGLL")</f>
        <v>EGLL</v>
      </c>
      <c r="D424" s="1" t="str">
        <f>IFERROR(__xludf.DUMMYFUNCTION("""COMPUTED_VALUE"""),"LEBL")</f>
        <v>LEBL</v>
      </c>
      <c r="E424" s="1" t="str">
        <f>IFERROR(__xludf.DUMMYFUNCTION("""COMPUTED_VALUE"""),"GTTNL")</f>
        <v>GTTNL</v>
      </c>
      <c r="F424" s="1">
        <f>IFERROR(__xludf.DUMMYFUNCTION("""COMPUTED_VALUE"""),390.0)</f>
        <v>390</v>
      </c>
      <c r="G424" s="7">
        <f>IFERROR(__xludf.DUMMYFUNCTION("""COMPUTED_VALUE"""),0.7097222222222223)</f>
        <v>0.7097222222</v>
      </c>
      <c r="H424" s="1">
        <f>IFERROR(__xludf.DUMMYFUNCTION("""COMPUTED_VALUE"""),27.0)</f>
        <v>27</v>
      </c>
      <c r="I424" s="7">
        <f>IFERROR(__xludf.DUMMYFUNCTION("""COMPUTED_VALUE"""),0.7708333333333334)</f>
        <v>0.7708333333</v>
      </c>
      <c r="J424" s="1" t="str">
        <f>IFERROR(__xludf.DUMMYFUNCTION("""COMPUTED_VALUE"""),"D")</f>
        <v>D</v>
      </c>
      <c r="K424" s="1">
        <f>IFERROR(__xludf.DUMMYFUNCTION("""COMPUTED_VALUE"""),180.0)</f>
        <v>180</v>
      </c>
      <c r="L424" s="7">
        <f>IFERROR(__xludf.DUMMYFUNCTION("""COMPUTED_VALUE"""),0.061111111111111116)</f>
        <v>0.06111111111</v>
      </c>
      <c r="M424" s="7">
        <f>IFERROR(__xludf.DUMMYFUNCTION("""COMPUTED_VALUE"""),0.02965277777777778)</f>
        <v>0.02965277778</v>
      </c>
      <c r="O424" s="9">
        <f>IFERROR(__xludf.DUMMYFUNCTION("""COMPUTED_VALUE"""),590.6833333333334)</f>
        <v>590.6833333</v>
      </c>
      <c r="P424" s="1" t="str">
        <f>IFERROR(__xludf.DUMMYFUNCTION("""COMPUTED_VALUE"""),"BAW")</f>
        <v>BAW</v>
      </c>
      <c r="Q424" s="1" t="str">
        <f>IFERROR(__xludf.DUMMYFUNCTION("""COMPUTED_VALUE"""),"ECAC")</f>
        <v>ECAC</v>
      </c>
    </row>
    <row r="425">
      <c r="A425" s="1" t="str">
        <f>IFERROR(__xludf.DUMMYFUNCTION("""COMPUTED_VALUE"""),"VLG8983")</f>
        <v>VLG8983</v>
      </c>
      <c r="B425" s="1" t="str">
        <f>IFERROR(__xludf.DUMMYFUNCTION("""COMPUTED_VALUE"""),"A21N")</f>
        <v>A21N</v>
      </c>
      <c r="C425" s="1" t="str">
        <f>IFERROR(__xludf.DUMMYFUNCTION("""COMPUTED_VALUE"""),"EBBR")</f>
        <v>EBBR</v>
      </c>
      <c r="D425" s="1" t="str">
        <f>IFERROR(__xludf.DUMMYFUNCTION("""COMPUTED_VALUE"""),"LEBL")</f>
        <v>LEBL</v>
      </c>
      <c r="E425" s="1" t="str">
        <f>IFERROR(__xludf.DUMMYFUNCTION("""COMPUTED_VALUE"""),"ECNYF")</f>
        <v>ECNYF</v>
      </c>
      <c r="F425" s="1">
        <f>IFERROR(__xludf.DUMMYFUNCTION("""COMPUTED_VALUE"""),350.0)</f>
        <v>350</v>
      </c>
      <c r="G425" s="7">
        <f>IFERROR(__xludf.DUMMYFUNCTION("""COMPUTED_VALUE"""),0.7076388888888889)</f>
        <v>0.7076388889</v>
      </c>
      <c r="H425" s="1">
        <f>IFERROR(__xludf.DUMMYFUNCTION("""COMPUTED_VALUE"""),9.0)</f>
        <v>9</v>
      </c>
      <c r="I425" s="7">
        <f>IFERROR(__xludf.DUMMYFUNCTION("""COMPUTED_VALUE"""),0.7708333333333334)</f>
        <v>0.7708333333</v>
      </c>
      <c r="J425" s="1" t="str">
        <f>IFERROR(__xludf.DUMMYFUNCTION("""COMPUTED_VALUE"""),"D")</f>
        <v>D</v>
      </c>
      <c r="K425" s="1">
        <f>IFERROR(__xludf.DUMMYFUNCTION("""COMPUTED_VALUE"""),200.0)</f>
        <v>200</v>
      </c>
      <c r="L425" s="7">
        <f>IFERROR(__xludf.DUMMYFUNCTION("""COMPUTED_VALUE"""),0.06319444444444444)</f>
        <v>0.06319444444</v>
      </c>
      <c r="M425" s="7">
        <f>IFERROR(__xludf.DUMMYFUNCTION("""COMPUTED_VALUE"""),0.04423611111111111)</f>
        <v>0.04423611111</v>
      </c>
      <c r="O425" s="9">
        <f>IFERROR(__xludf.DUMMYFUNCTION("""COMPUTED_VALUE"""),881.1833333333333)</f>
        <v>881.1833333</v>
      </c>
      <c r="P425" s="1" t="str">
        <f>IFERROR(__xludf.DUMMYFUNCTION("""COMPUTED_VALUE"""),"VLG")</f>
        <v>VLG</v>
      </c>
      <c r="Q425" s="1" t="str">
        <f>IFERROR(__xludf.DUMMYFUNCTION("""COMPUTED_VALUE"""),"ECAC")</f>
        <v>ECAC</v>
      </c>
    </row>
    <row r="426">
      <c r="A426" s="1" t="str">
        <f>IFERROR(__xludf.DUMMYFUNCTION("""COMPUTED_VALUE"""),"WMT2147")</f>
        <v>WMT2147</v>
      </c>
      <c r="B426" s="1" t="str">
        <f>IFERROR(__xludf.DUMMYFUNCTION("""COMPUTED_VALUE"""),"A21N")</f>
        <v>A21N</v>
      </c>
      <c r="C426" s="1" t="str">
        <f>IFERROR(__xludf.DUMMYFUNCTION("""COMPUTED_VALUE"""),"LIRF")</f>
        <v>LIRF</v>
      </c>
      <c r="D426" s="1" t="str">
        <f>IFERROR(__xludf.DUMMYFUNCTION("""COMPUTED_VALUE"""),"LEBL")</f>
        <v>LEBL</v>
      </c>
      <c r="E426" s="1" t="str">
        <f>IFERROR(__xludf.DUMMYFUNCTION("""COMPUTED_VALUE"""),"9HWAJ")</f>
        <v>9HWAJ</v>
      </c>
      <c r="F426" s="1">
        <f>IFERROR(__xludf.DUMMYFUNCTION("""COMPUTED_VALUE"""),350.0)</f>
        <v>350</v>
      </c>
      <c r="G426" s="7">
        <f>IFERROR(__xludf.DUMMYFUNCTION("""COMPUTED_VALUE"""),0.7243055555555555)</f>
        <v>0.7243055556</v>
      </c>
      <c r="H426" s="1">
        <f>IFERROR(__xludf.DUMMYFUNCTION("""COMPUTED_VALUE"""),14.0)</f>
        <v>14</v>
      </c>
      <c r="I426" s="7">
        <f>IFERROR(__xludf.DUMMYFUNCTION("""COMPUTED_VALUE"""),0.7743055555555556)</f>
        <v>0.7743055556</v>
      </c>
      <c r="J426" s="1" t="str">
        <f>IFERROR(__xludf.DUMMYFUNCTION("""COMPUTED_VALUE"""),"D")</f>
        <v>D</v>
      </c>
      <c r="K426" s="1">
        <f>IFERROR(__xludf.DUMMYFUNCTION("""COMPUTED_VALUE"""),200.0)</f>
        <v>200</v>
      </c>
      <c r="L426" s="7">
        <f>IFERROR(__xludf.DUMMYFUNCTION("""COMPUTED_VALUE"""),0.050000000000000044)</f>
        <v>0.05</v>
      </c>
      <c r="M426" s="7">
        <f>IFERROR(__xludf.DUMMYFUNCTION("""COMPUTED_VALUE"""),0.027569444444444487)</f>
        <v>0.02756944444</v>
      </c>
      <c r="O426" s="9">
        <f>IFERROR(__xludf.DUMMYFUNCTION("""COMPUTED_VALUE"""),549.1833333333342)</f>
        <v>549.1833333</v>
      </c>
      <c r="P426" s="1" t="str">
        <f>IFERROR(__xludf.DUMMYFUNCTION("""COMPUTED_VALUE"""),"WMT")</f>
        <v>WMT</v>
      </c>
      <c r="Q426" s="1" t="str">
        <f>IFERROR(__xludf.DUMMYFUNCTION("""COMPUTED_VALUE"""),"ECAC")</f>
        <v>ECAC</v>
      </c>
    </row>
    <row r="427">
      <c r="A427" s="1" t="str">
        <f>IFERROR(__xludf.DUMMYFUNCTION("""COMPUTED_VALUE"""),"TAP1036")</f>
        <v>TAP1036</v>
      </c>
      <c r="B427" s="1" t="str">
        <f>IFERROR(__xludf.DUMMYFUNCTION("""COMPUTED_VALUE"""),"A20N")</f>
        <v>A20N</v>
      </c>
      <c r="C427" s="1" t="str">
        <f>IFERROR(__xludf.DUMMYFUNCTION("""COMPUTED_VALUE"""),"LPPT")</f>
        <v>LPPT</v>
      </c>
      <c r="D427" s="1" t="str">
        <f>IFERROR(__xludf.DUMMYFUNCTION("""COMPUTED_VALUE"""),"LEBL")</f>
        <v>LEBL</v>
      </c>
      <c r="E427" s="1" t="str">
        <f>IFERROR(__xludf.DUMMYFUNCTION("""COMPUTED_VALUE"""),"CSTVD")</f>
        <v>CSTVD</v>
      </c>
      <c r="F427" s="1">
        <f>IFERROR(__xludf.DUMMYFUNCTION("""COMPUTED_VALUE"""),340.0)</f>
        <v>340</v>
      </c>
      <c r="G427" s="7">
        <f>IFERROR(__xludf.DUMMYFUNCTION("""COMPUTED_VALUE"""),0.7076388888888889)</f>
        <v>0.7076388889</v>
      </c>
      <c r="H427" s="1">
        <f>IFERROR(__xludf.DUMMYFUNCTION("""COMPUTED_VALUE"""),20.0)</f>
        <v>20</v>
      </c>
      <c r="I427" s="7">
        <f>IFERROR(__xludf.DUMMYFUNCTION("""COMPUTED_VALUE"""),0.7743055555555556)</f>
        <v>0.7743055556</v>
      </c>
      <c r="J427" s="1" t="str">
        <f>IFERROR(__xludf.DUMMYFUNCTION("""COMPUTED_VALUE"""),"D")</f>
        <v>D</v>
      </c>
      <c r="K427" s="1">
        <f>IFERROR(__xludf.DUMMYFUNCTION("""COMPUTED_VALUE"""),180.0)</f>
        <v>180</v>
      </c>
      <c r="L427" s="7">
        <f>IFERROR(__xludf.DUMMYFUNCTION("""COMPUTED_VALUE"""),0.06666666666666665)</f>
        <v>0.06666666667</v>
      </c>
      <c r="M427" s="7">
        <f>IFERROR(__xludf.DUMMYFUNCTION("""COMPUTED_VALUE"""),0.04006944444444443)</f>
        <v>0.04006944444</v>
      </c>
      <c r="O427" s="9">
        <f>IFERROR(__xludf.DUMMYFUNCTION("""COMPUTED_VALUE"""),798.1833333333329)</f>
        <v>798.1833333</v>
      </c>
      <c r="P427" s="1" t="str">
        <f>IFERROR(__xludf.DUMMYFUNCTION("""COMPUTED_VALUE"""),"TAP")</f>
        <v>TAP</v>
      </c>
      <c r="Q427" s="1" t="str">
        <f>IFERROR(__xludf.DUMMYFUNCTION("""COMPUTED_VALUE"""),"ECAC")</f>
        <v>ECAC</v>
      </c>
    </row>
    <row r="428">
      <c r="A428" s="1" t="str">
        <f>IFERROR(__xludf.DUMMYFUNCTION("""COMPUTED_VALUE"""),"BEL3FJ")</f>
        <v>BEL3FJ</v>
      </c>
      <c r="B428" s="1" t="str">
        <f>IFERROR(__xludf.DUMMYFUNCTION("""COMPUTED_VALUE"""),"A320")</f>
        <v>A320</v>
      </c>
      <c r="C428" s="1" t="str">
        <f>IFERROR(__xludf.DUMMYFUNCTION("""COMPUTED_VALUE"""),"EBBR")</f>
        <v>EBBR</v>
      </c>
      <c r="D428" s="1" t="str">
        <f>IFERROR(__xludf.DUMMYFUNCTION("""COMPUTED_VALUE"""),"LEBL")</f>
        <v>LEBL</v>
      </c>
      <c r="E428" s="1" t="str">
        <f>IFERROR(__xludf.DUMMYFUNCTION("""COMPUTED_VALUE"""),"OOSNK")</f>
        <v>OOSNK</v>
      </c>
      <c r="F428" s="1">
        <f>IFERROR(__xludf.DUMMYFUNCTION("""COMPUTED_VALUE"""),390.0)</f>
        <v>390</v>
      </c>
      <c r="G428" s="7">
        <f>IFERROR(__xludf.DUMMYFUNCTION("""COMPUTED_VALUE"""),0.7104166666666667)</f>
        <v>0.7104166667</v>
      </c>
      <c r="H428" s="1">
        <f>IFERROR(__xludf.DUMMYFUNCTION("""COMPUTED_VALUE"""),10.0)</f>
        <v>10</v>
      </c>
      <c r="I428" s="7">
        <f>IFERROR(__xludf.DUMMYFUNCTION("""COMPUTED_VALUE"""),0.7743055555555556)</f>
        <v>0.7743055556</v>
      </c>
      <c r="J428" s="1" t="str">
        <f>IFERROR(__xludf.DUMMYFUNCTION("""COMPUTED_VALUE"""),"D")</f>
        <v>D</v>
      </c>
      <c r="K428" s="1">
        <f>IFERROR(__xludf.DUMMYFUNCTION("""COMPUTED_VALUE"""),173.0)</f>
        <v>173</v>
      </c>
      <c r="L428" s="7">
        <f>IFERROR(__xludf.DUMMYFUNCTION("""COMPUTED_VALUE"""),0.06388888888888888)</f>
        <v>0.06388888889</v>
      </c>
      <c r="M428" s="7">
        <f>IFERROR(__xludf.DUMMYFUNCTION("""COMPUTED_VALUE"""),0.0442361111111111)</f>
        <v>0.04423611111</v>
      </c>
      <c r="O428" s="9">
        <f>IFERROR(__xludf.DUMMYFUNCTION("""COMPUTED_VALUE"""),881.1833333333333)</f>
        <v>881.1833333</v>
      </c>
      <c r="P428" s="1" t="str">
        <f>IFERROR(__xludf.DUMMYFUNCTION("""COMPUTED_VALUE"""),"BEL")</f>
        <v>BEL</v>
      </c>
      <c r="Q428" s="1" t="str">
        <f>IFERROR(__xludf.DUMMYFUNCTION("""COMPUTED_VALUE"""),"ECAC")</f>
        <v>ECAC</v>
      </c>
    </row>
    <row r="429">
      <c r="A429" s="1" t="str">
        <f>IFERROR(__xludf.DUMMYFUNCTION("""COMPUTED_VALUE"""),"VLG9PW")</f>
        <v>VLG9PW</v>
      </c>
      <c r="B429" s="1" t="str">
        <f>IFERROR(__xludf.DUMMYFUNCTION("""COMPUTED_VALUE"""),"A320")</f>
        <v>A320</v>
      </c>
      <c r="C429" s="1" t="str">
        <f>IFERROR(__xludf.DUMMYFUNCTION("""COMPUTED_VALUE"""),"LEPA")</f>
        <v>LEPA</v>
      </c>
      <c r="D429" s="1" t="str">
        <f>IFERROR(__xludf.DUMMYFUNCTION("""COMPUTED_VALUE"""),"LEBL")</f>
        <v>LEBL</v>
      </c>
      <c r="E429" s="1" t="str">
        <f>IFERROR(__xludf.DUMMYFUNCTION("""COMPUTED_VALUE"""),"ECMLE")</f>
        <v>ECMLE</v>
      </c>
      <c r="F429" s="1">
        <f>IFERROR(__xludf.DUMMYFUNCTION("""COMPUTED_VALUE"""),180.0)</f>
        <v>180</v>
      </c>
      <c r="G429" s="7">
        <f>IFERROR(__xludf.DUMMYFUNCTION("""COMPUTED_VALUE"""),0.7513888888888889)</f>
        <v>0.7513888889</v>
      </c>
      <c r="H429" s="1">
        <f>IFERROR(__xludf.DUMMYFUNCTION("""COMPUTED_VALUE"""),17.0)</f>
        <v>17</v>
      </c>
      <c r="I429" s="7">
        <f>IFERROR(__xludf.DUMMYFUNCTION("""COMPUTED_VALUE"""),0.7777777777777778)</f>
        <v>0.7777777778</v>
      </c>
      <c r="J429" s="1" t="str">
        <f>IFERROR(__xludf.DUMMYFUNCTION("""COMPUTED_VALUE"""),"D")</f>
        <v>D</v>
      </c>
      <c r="K429" s="1">
        <f>IFERROR(__xludf.DUMMYFUNCTION("""COMPUTED_VALUE"""),173.0)</f>
        <v>173</v>
      </c>
      <c r="L429" s="7">
        <f>IFERROR(__xludf.DUMMYFUNCTION("""COMPUTED_VALUE"""),0.026388888888888906)</f>
        <v>0.02638888889</v>
      </c>
      <c r="M429" s="7">
        <f>IFERROR(__xludf.DUMMYFUNCTION("""COMPUTED_VALUE"""),0.0018750000000000173)</f>
        <v>0.001875</v>
      </c>
      <c r="O429" s="9">
        <f>IFERROR(__xludf.DUMMYFUNCTION("""COMPUTED_VALUE"""),37.35000000000034)</f>
        <v>37.35</v>
      </c>
      <c r="P429" s="1" t="str">
        <f>IFERROR(__xludf.DUMMYFUNCTION("""COMPUTED_VALUE"""),"VLG")</f>
        <v>VLG</v>
      </c>
      <c r="Q429" s="1" t="str">
        <f>IFERROR(__xludf.DUMMYFUNCTION("""COMPUTED_VALUE"""),"ECAC")</f>
        <v>ECAC</v>
      </c>
    </row>
    <row r="430">
      <c r="A430" s="1" t="str">
        <f>IFERROR(__xludf.DUMMYFUNCTION("""COMPUTED_VALUE"""),"VLG768Q")</f>
        <v>VLG768Q</v>
      </c>
      <c r="B430" s="1" t="str">
        <f>IFERROR(__xludf.DUMMYFUNCTION("""COMPUTED_VALUE"""),"A320")</f>
        <v>A320</v>
      </c>
      <c r="C430" s="1" t="str">
        <f>IFERROR(__xludf.DUMMYFUNCTION("""COMPUTED_VALUE"""),"LEMG")</f>
        <v>LEMG</v>
      </c>
      <c r="D430" s="1" t="str">
        <f>IFERROR(__xludf.DUMMYFUNCTION("""COMPUTED_VALUE"""),"LEBL")</f>
        <v>LEBL</v>
      </c>
      <c r="E430" s="1" t="str">
        <f>IFERROR(__xludf.DUMMYFUNCTION("""COMPUTED_VALUE"""),"ECOJG")</f>
        <v>ECOJG</v>
      </c>
      <c r="F430" s="1">
        <f>IFERROR(__xludf.DUMMYFUNCTION("""COMPUTED_VALUE"""),380.0)</f>
        <v>380</v>
      </c>
      <c r="G430" s="7">
        <f>IFERROR(__xludf.DUMMYFUNCTION("""COMPUTED_VALUE"""),0.7236111111111111)</f>
        <v>0.7236111111</v>
      </c>
      <c r="H430" s="1">
        <f>IFERROR(__xludf.DUMMYFUNCTION("""COMPUTED_VALUE"""),16.0)</f>
        <v>16</v>
      </c>
      <c r="I430" s="7">
        <f>IFERROR(__xludf.DUMMYFUNCTION("""COMPUTED_VALUE"""),0.7777777777777778)</f>
        <v>0.7777777778</v>
      </c>
      <c r="J430" s="1" t="str">
        <f>IFERROR(__xludf.DUMMYFUNCTION("""COMPUTED_VALUE"""),"D")</f>
        <v>D</v>
      </c>
      <c r="K430" s="1">
        <f>IFERROR(__xludf.DUMMYFUNCTION("""COMPUTED_VALUE"""),173.0)</f>
        <v>173</v>
      </c>
      <c r="L430" s="7">
        <f>IFERROR(__xludf.DUMMYFUNCTION("""COMPUTED_VALUE"""),0.054166666666666696)</f>
        <v>0.05416666667</v>
      </c>
      <c r="M430" s="7">
        <f>IFERROR(__xludf.DUMMYFUNCTION("""COMPUTED_VALUE"""),0.030347222222222248)</f>
        <v>0.03034722222</v>
      </c>
      <c r="O430" s="9">
        <f>IFERROR(__xludf.DUMMYFUNCTION("""COMPUTED_VALUE"""),604.5166666666672)</f>
        <v>604.5166667</v>
      </c>
      <c r="P430" s="1" t="str">
        <f>IFERROR(__xludf.DUMMYFUNCTION("""COMPUTED_VALUE"""),"VLG")</f>
        <v>VLG</v>
      </c>
      <c r="Q430" s="1" t="str">
        <f>IFERROR(__xludf.DUMMYFUNCTION("""COMPUTED_VALUE"""),"ECAC")</f>
        <v>ECAC</v>
      </c>
    </row>
    <row r="431">
      <c r="A431" s="1" t="str">
        <f>IFERROR(__xludf.DUMMYFUNCTION("""COMPUTED_VALUE"""),"EZY54QC")</f>
        <v>EZY54QC</v>
      </c>
      <c r="B431" s="1" t="str">
        <f>IFERROR(__xludf.DUMMYFUNCTION("""COMPUTED_VALUE"""),"A320")</f>
        <v>A320</v>
      </c>
      <c r="C431" s="1" t="str">
        <f>IFERROR(__xludf.DUMMYFUNCTION("""COMPUTED_VALUE"""),"EGGP")</f>
        <v>EGGP</v>
      </c>
      <c r="D431" s="1" t="str">
        <f>IFERROR(__xludf.DUMMYFUNCTION("""COMPUTED_VALUE"""),"LEBL")</f>
        <v>LEBL</v>
      </c>
      <c r="E431" s="1" t="str">
        <f>IFERROR(__xludf.DUMMYFUNCTION("""COMPUTED_VALUE"""),"GEZTG")</f>
        <v>GEZTG</v>
      </c>
      <c r="F431" s="1">
        <f>IFERROR(__xludf.DUMMYFUNCTION("""COMPUTED_VALUE"""),390.0)</f>
        <v>390</v>
      </c>
      <c r="G431" s="7">
        <f>IFERROR(__xludf.DUMMYFUNCTION("""COMPUTED_VALUE"""),0.7055555555555556)</f>
        <v>0.7055555556</v>
      </c>
      <c r="H431" s="1">
        <f>IFERROR(__xludf.DUMMYFUNCTION("""COMPUTED_VALUE"""),10.0)</f>
        <v>10</v>
      </c>
      <c r="I431" s="7">
        <f>IFERROR(__xludf.DUMMYFUNCTION("""COMPUTED_VALUE"""),0.78125)</f>
        <v>0.78125</v>
      </c>
      <c r="J431" s="1" t="str">
        <f>IFERROR(__xludf.DUMMYFUNCTION("""COMPUTED_VALUE"""),"D")</f>
        <v>D</v>
      </c>
      <c r="K431" s="1">
        <f>IFERROR(__xludf.DUMMYFUNCTION("""COMPUTED_VALUE"""),173.0)</f>
        <v>173</v>
      </c>
      <c r="L431" s="7">
        <f>IFERROR(__xludf.DUMMYFUNCTION("""COMPUTED_VALUE"""),0.0756944444444444)</f>
        <v>0.07569444444</v>
      </c>
      <c r="M431" s="7">
        <f>IFERROR(__xludf.DUMMYFUNCTION("""COMPUTED_VALUE"""),0.056041666666666615)</f>
        <v>0.05604166667</v>
      </c>
      <c r="O431" s="9">
        <f>IFERROR(__xludf.DUMMYFUNCTION("""COMPUTED_VALUE"""),1116.349999999999)</f>
        <v>1116.35</v>
      </c>
      <c r="P431" s="1" t="str">
        <f>IFERROR(__xludf.DUMMYFUNCTION("""COMPUTED_VALUE"""),"EZY")</f>
        <v>EZY</v>
      </c>
      <c r="Q431" s="1" t="str">
        <f>IFERROR(__xludf.DUMMYFUNCTION("""COMPUTED_VALUE"""),"ECAC")</f>
        <v>ECAC</v>
      </c>
    </row>
    <row r="432">
      <c r="A432" s="1" t="str">
        <f>IFERROR(__xludf.DUMMYFUNCTION("""COMPUTED_VALUE"""),"VLG20PQ")</f>
        <v>VLG20PQ</v>
      </c>
      <c r="B432" s="1" t="str">
        <f>IFERROR(__xludf.DUMMYFUNCTION("""COMPUTED_VALUE"""),"A20N")</f>
        <v>A20N</v>
      </c>
      <c r="C432" s="1" t="str">
        <f>IFERROR(__xludf.DUMMYFUNCTION("""COMPUTED_VALUE"""),"LIRQ")</f>
        <v>LIRQ</v>
      </c>
      <c r="D432" s="1" t="str">
        <f>IFERROR(__xludf.DUMMYFUNCTION("""COMPUTED_VALUE"""),"LEBL")</f>
        <v>LEBL</v>
      </c>
      <c r="E432" s="1" t="str">
        <f>IFERROR(__xludf.DUMMYFUNCTION("""COMPUTED_VALUE"""),"ECNDA")</f>
        <v>ECNDA</v>
      </c>
      <c r="F432" s="1">
        <f>IFERROR(__xludf.DUMMYFUNCTION("""COMPUTED_VALUE"""),310.0)</f>
        <v>310</v>
      </c>
      <c r="G432" s="7">
        <f>IFERROR(__xludf.DUMMYFUNCTION("""COMPUTED_VALUE"""),0.7368055555555556)</f>
        <v>0.7368055556</v>
      </c>
      <c r="H432" s="1">
        <f>IFERROR(__xludf.DUMMYFUNCTION("""COMPUTED_VALUE"""),20.0)</f>
        <v>20</v>
      </c>
      <c r="I432" s="7">
        <f>IFERROR(__xludf.DUMMYFUNCTION("""COMPUTED_VALUE"""),0.78125)</f>
        <v>0.78125</v>
      </c>
      <c r="J432" s="1" t="str">
        <f>IFERROR(__xludf.DUMMYFUNCTION("""COMPUTED_VALUE"""),"D")</f>
        <v>D</v>
      </c>
      <c r="K432" s="1">
        <f>IFERROR(__xludf.DUMMYFUNCTION("""COMPUTED_VALUE"""),180.0)</f>
        <v>180</v>
      </c>
      <c r="L432" s="7">
        <f>IFERROR(__xludf.DUMMYFUNCTION("""COMPUTED_VALUE"""),0.0444444444444444)</f>
        <v>0.04444444444</v>
      </c>
      <c r="M432" s="7">
        <f>IFERROR(__xludf.DUMMYFUNCTION("""COMPUTED_VALUE"""),0.017847222222222174)</f>
        <v>0.01784722222</v>
      </c>
      <c r="O432" s="9">
        <f>IFERROR(__xludf.DUMMYFUNCTION("""COMPUTED_VALUE"""),355.5166666666657)</f>
        <v>355.5166667</v>
      </c>
      <c r="P432" s="1" t="str">
        <f>IFERROR(__xludf.DUMMYFUNCTION("""COMPUTED_VALUE"""),"VLG")</f>
        <v>VLG</v>
      </c>
      <c r="Q432" s="1" t="str">
        <f>IFERROR(__xludf.DUMMYFUNCTION("""COMPUTED_VALUE"""),"ECAC")</f>
        <v>ECAC</v>
      </c>
    </row>
    <row r="433">
      <c r="A433" s="1" t="str">
        <f>IFERROR(__xludf.DUMMYFUNCTION("""COMPUTED_VALUE"""),"EZY23NU")</f>
        <v>EZY23NU</v>
      </c>
      <c r="B433" s="1" t="str">
        <f>IFERROR(__xludf.DUMMYFUNCTION("""COMPUTED_VALUE"""),"A320")</f>
        <v>A320</v>
      </c>
      <c r="C433" s="1" t="str">
        <f>IFERROR(__xludf.DUMMYFUNCTION("""COMPUTED_VALUE"""),"EGKK")</f>
        <v>EGKK</v>
      </c>
      <c r="D433" s="1" t="str">
        <f>IFERROR(__xludf.DUMMYFUNCTION("""COMPUTED_VALUE"""),"LEBL")</f>
        <v>LEBL</v>
      </c>
      <c r="E433" s="1" t="str">
        <f>IFERROR(__xludf.DUMMYFUNCTION("""COMPUTED_VALUE"""),"GEZPX")</f>
        <v>GEZPX</v>
      </c>
      <c r="F433" s="1">
        <f>IFERROR(__xludf.DUMMYFUNCTION("""COMPUTED_VALUE"""),390.0)</f>
        <v>390</v>
      </c>
      <c r="G433" s="7">
        <f>IFERROR(__xludf.DUMMYFUNCTION("""COMPUTED_VALUE"""),0.7152777777777778)</f>
        <v>0.7152777778</v>
      </c>
      <c r="H433" s="1">
        <f>IFERROR(__xludf.DUMMYFUNCTION("""COMPUTED_VALUE"""),23.0)</f>
        <v>23</v>
      </c>
      <c r="I433" s="7">
        <f>IFERROR(__xludf.DUMMYFUNCTION("""COMPUTED_VALUE"""),0.78125)</f>
        <v>0.78125</v>
      </c>
      <c r="J433" s="1" t="str">
        <f>IFERROR(__xludf.DUMMYFUNCTION("""COMPUTED_VALUE"""),"D")</f>
        <v>D</v>
      </c>
      <c r="K433" s="1">
        <f>IFERROR(__xludf.DUMMYFUNCTION("""COMPUTED_VALUE"""),173.0)</f>
        <v>173</v>
      </c>
      <c r="L433" s="7">
        <f>IFERROR(__xludf.DUMMYFUNCTION("""COMPUTED_VALUE"""),0.06597222222222221)</f>
        <v>0.06597222222</v>
      </c>
      <c r="M433" s="7">
        <f>IFERROR(__xludf.DUMMYFUNCTION("""COMPUTED_VALUE"""),0.037291666666666654)</f>
        <v>0.03729166667</v>
      </c>
      <c r="O433" s="9">
        <f>IFERROR(__xludf.DUMMYFUNCTION("""COMPUTED_VALUE"""),742.8499999999997)</f>
        <v>742.85</v>
      </c>
      <c r="P433" s="1" t="str">
        <f>IFERROR(__xludf.DUMMYFUNCTION("""COMPUTED_VALUE"""),"EZY")</f>
        <v>EZY</v>
      </c>
      <c r="Q433" s="1" t="str">
        <f>IFERROR(__xludf.DUMMYFUNCTION("""COMPUTED_VALUE"""),"ECAC")</f>
        <v>ECAC</v>
      </c>
    </row>
    <row r="434">
      <c r="A434" s="1" t="str">
        <f>IFERROR(__xludf.DUMMYFUNCTION("""COMPUTED_VALUE"""),"VLG7JZ")</f>
        <v>VLG7JZ</v>
      </c>
      <c r="B434" s="1" t="str">
        <f>IFERROR(__xludf.DUMMYFUNCTION("""COMPUTED_VALUE"""),"A20N")</f>
        <v>A20N</v>
      </c>
      <c r="C434" s="1" t="str">
        <f>IFERROR(__xludf.DUMMYFUNCTION("""COMPUTED_VALUE"""),"EGKK")</f>
        <v>EGKK</v>
      </c>
      <c r="D434" s="1" t="str">
        <f>IFERROR(__xludf.DUMMYFUNCTION("""COMPUTED_VALUE"""),"LEBL")</f>
        <v>LEBL</v>
      </c>
      <c r="E434" s="1" t="str">
        <f>IFERROR(__xludf.DUMMYFUNCTION("""COMPUTED_VALUE"""),"ECNIY")</f>
        <v>ECNIY</v>
      </c>
      <c r="F434" s="1">
        <f>IFERROR(__xludf.DUMMYFUNCTION("""COMPUTED_VALUE"""),390.0)</f>
        <v>390</v>
      </c>
      <c r="G434" s="7">
        <f>IFERROR(__xludf.DUMMYFUNCTION("""COMPUTED_VALUE"""),0.7173611111111111)</f>
        <v>0.7173611111</v>
      </c>
      <c r="H434" s="1">
        <f>IFERROR(__xludf.DUMMYFUNCTION("""COMPUTED_VALUE"""),15.0)</f>
        <v>15</v>
      </c>
      <c r="I434" s="7">
        <f>IFERROR(__xludf.DUMMYFUNCTION("""COMPUTED_VALUE"""),0.7847222222222222)</f>
        <v>0.7847222222</v>
      </c>
      <c r="J434" s="1" t="str">
        <f>IFERROR(__xludf.DUMMYFUNCTION("""COMPUTED_VALUE"""),"D")</f>
        <v>D</v>
      </c>
      <c r="K434" s="1">
        <f>IFERROR(__xludf.DUMMYFUNCTION("""COMPUTED_VALUE"""),180.0)</f>
        <v>180</v>
      </c>
      <c r="L434" s="7">
        <f>IFERROR(__xludf.DUMMYFUNCTION("""COMPUTED_VALUE"""),0.0673611111111111)</f>
        <v>0.06736111111</v>
      </c>
      <c r="M434" s="7">
        <f>IFERROR(__xludf.DUMMYFUNCTION("""COMPUTED_VALUE"""),0.044236111111111094)</f>
        <v>0.04423611111</v>
      </c>
      <c r="O434" s="9">
        <f>IFERROR(__xludf.DUMMYFUNCTION("""COMPUTED_VALUE"""),881.183333333333)</f>
        <v>881.1833333</v>
      </c>
      <c r="P434" s="1" t="str">
        <f>IFERROR(__xludf.DUMMYFUNCTION("""COMPUTED_VALUE"""),"VLG")</f>
        <v>VLG</v>
      </c>
      <c r="Q434" s="1" t="str">
        <f>IFERROR(__xludf.DUMMYFUNCTION("""COMPUTED_VALUE"""),"ECAC")</f>
        <v>ECAC</v>
      </c>
    </row>
    <row r="435">
      <c r="A435" s="1" t="str">
        <f>IFERROR(__xludf.DUMMYFUNCTION("""COMPUTED_VALUE"""),"VLG5BK")</f>
        <v>VLG5BK</v>
      </c>
      <c r="B435" s="1" t="str">
        <f>IFERROR(__xludf.DUMMYFUNCTION("""COMPUTED_VALUE"""),"A321")</f>
        <v>A321</v>
      </c>
      <c r="C435" s="1" t="str">
        <f>IFERROR(__xludf.DUMMYFUNCTION("""COMPUTED_VALUE"""),"EHAM")</f>
        <v>EHAM</v>
      </c>
      <c r="D435" s="1" t="str">
        <f>IFERROR(__xludf.DUMMYFUNCTION("""COMPUTED_VALUE"""),"LEBL")</f>
        <v>LEBL</v>
      </c>
      <c r="E435" s="1" t="str">
        <f>IFERROR(__xludf.DUMMYFUNCTION("""COMPUTED_VALUE"""),"ECMQB")</f>
        <v>ECMQB</v>
      </c>
      <c r="F435" s="1">
        <f>IFERROR(__xludf.DUMMYFUNCTION("""COMPUTED_VALUE"""),330.0)</f>
        <v>330</v>
      </c>
      <c r="G435" s="7">
        <f>IFERROR(__xludf.DUMMYFUNCTION("""COMPUTED_VALUE"""),0.7138888888888889)</f>
        <v>0.7138888889</v>
      </c>
      <c r="H435" s="1">
        <f>IFERROR(__xludf.DUMMYFUNCTION("""COMPUTED_VALUE"""),20.0)</f>
        <v>20</v>
      </c>
      <c r="I435" s="7">
        <f>IFERROR(__xludf.DUMMYFUNCTION("""COMPUTED_VALUE"""),0.7847222222222222)</f>
        <v>0.7847222222</v>
      </c>
      <c r="J435" s="1" t="str">
        <f>IFERROR(__xludf.DUMMYFUNCTION("""COMPUTED_VALUE"""),"D")</f>
        <v>D</v>
      </c>
      <c r="K435" s="1">
        <f>IFERROR(__xludf.DUMMYFUNCTION("""COMPUTED_VALUE"""),207.0)</f>
        <v>207</v>
      </c>
      <c r="L435" s="7">
        <f>IFERROR(__xludf.DUMMYFUNCTION("""COMPUTED_VALUE"""),0.0708333333333333)</f>
        <v>0.07083333333</v>
      </c>
      <c r="M435" s="7">
        <f>IFERROR(__xludf.DUMMYFUNCTION("""COMPUTED_VALUE"""),0.04423611111111108)</f>
        <v>0.04423611111</v>
      </c>
      <c r="O435" s="9">
        <f>IFERROR(__xludf.DUMMYFUNCTION("""COMPUTED_VALUE"""),881.1833333333327)</f>
        <v>881.1833333</v>
      </c>
      <c r="P435" s="1" t="str">
        <f>IFERROR(__xludf.DUMMYFUNCTION("""COMPUTED_VALUE"""),"VLG")</f>
        <v>VLG</v>
      </c>
      <c r="Q435" s="1" t="str">
        <f>IFERROR(__xludf.DUMMYFUNCTION("""COMPUTED_VALUE"""),"ECAC")</f>
        <v>ECAC</v>
      </c>
    </row>
    <row r="436">
      <c r="A436" s="1" t="str">
        <f>IFERROR(__xludf.DUMMYFUNCTION("""COMPUTED_VALUE"""),"VJH713")</f>
        <v>VJH713</v>
      </c>
      <c r="B436" s="1" t="str">
        <f>IFERROR(__xludf.DUMMYFUNCTION("""COMPUTED_VALUE"""),"E35L")</f>
        <v>E35L</v>
      </c>
      <c r="C436" s="1" t="str">
        <f>IFERROR(__xludf.DUMMYFUNCTION("""COMPUTED_VALUE"""),"LDZD")</f>
        <v>LDZD</v>
      </c>
      <c r="D436" s="1" t="str">
        <f>IFERROR(__xludf.DUMMYFUNCTION("""COMPUTED_VALUE"""),"LEBL")</f>
        <v>LEBL</v>
      </c>
      <c r="E436" s="1" t="str">
        <f>IFERROR(__xludf.DUMMYFUNCTION("""COMPUTED_VALUE"""),"DANCE")</f>
        <v>DANCE</v>
      </c>
      <c r="F436" s="1">
        <f>IFERROR(__xludf.DUMMYFUNCTION("""COMPUTED_VALUE"""),370.0)</f>
        <v>370</v>
      </c>
      <c r="G436" s="7">
        <f>IFERROR(__xludf.DUMMYFUNCTION("""COMPUTED_VALUE"""),0.7263888888888889)</f>
        <v>0.7263888889</v>
      </c>
      <c r="H436" s="1">
        <f>IFERROR(__xludf.DUMMYFUNCTION("""COMPUTED_VALUE"""),15.0)</f>
        <v>15</v>
      </c>
      <c r="I436" s="7">
        <f>IFERROR(__xludf.DUMMYFUNCTION("""COMPUTED_VALUE"""),0.7847222222222222)</f>
        <v>0.7847222222</v>
      </c>
      <c r="J436" s="1" t="str">
        <f>IFERROR(__xludf.DUMMYFUNCTION("""COMPUTED_VALUE"""),"E")</f>
        <v>E</v>
      </c>
      <c r="K436" s="1">
        <f>IFERROR(__xludf.DUMMYFUNCTION("""COMPUTED_VALUE"""),13.0)</f>
        <v>13</v>
      </c>
      <c r="L436" s="7">
        <f>IFERROR(__xludf.DUMMYFUNCTION("""COMPUTED_VALUE"""),0.05833333333333335)</f>
        <v>0.05833333333</v>
      </c>
      <c r="M436" s="7">
        <f>IFERROR(__xludf.DUMMYFUNCTION("""COMPUTED_VALUE"""),0.03520833333333335)</f>
        <v>0.03520833333</v>
      </c>
      <c r="O436" s="9">
        <f>IFERROR(__xludf.DUMMYFUNCTION("""COMPUTED_VALUE"""),380.25000000000017)</f>
        <v>380.25</v>
      </c>
      <c r="P436" s="1" t="str">
        <f>IFERROR(__xludf.DUMMYFUNCTION("""COMPUTED_VALUE"""),"VJH")</f>
        <v>VJH</v>
      </c>
      <c r="Q436" s="1" t="str">
        <f>IFERROR(__xludf.DUMMYFUNCTION("""COMPUTED_VALUE"""),"ECAC")</f>
        <v>ECAC</v>
      </c>
    </row>
    <row r="437">
      <c r="A437" s="1" t="str">
        <f>IFERROR(__xludf.DUMMYFUNCTION("""COMPUTED_VALUE"""),"AFR32HU")</f>
        <v>AFR32HU</v>
      </c>
      <c r="B437" s="1" t="str">
        <f>IFERROR(__xludf.DUMMYFUNCTION("""COMPUTED_VALUE"""),"BCS3")</f>
        <v>BCS3</v>
      </c>
      <c r="C437" s="1" t="str">
        <f>IFERROR(__xludf.DUMMYFUNCTION("""COMPUTED_VALUE"""),"LFPG")</f>
        <v>LFPG</v>
      </c>
      <c r="D437" s="1" t="str">
        <f>IFERROR(__xludf.DUMMYFUNCTION("""COMPUTED_VALUE"""),"LEBL")</f>
        <v>LEBL</v>
      </c>
      <c r="E437" s="1" t="str">
        <f>IFERROR(__xludf.DUMMYFUNCTION("""COMPUTED_VALUE"""),"FHPNJ")</f>
        <v>FHPNJ</v>
      </c>
      <c r="F437" s="1">
        <f>IFERROR(__xludf.DUMMYFUNCTION("""COMPUTED_VALUE"""),390.0)</f>
        <v>390</v>
      </c>
      <c r="G437" s="7">
        <f>IFERROR(__xludf.DUMMYFUNCTION("""COMPUTED_VALUE"""),0.7388888888888889)</f>
        <v>0.7388888889</v>
      </c>
      <c r="H437" s="1">
        <f>IFERROR(__xludf.DUMMYFUNCTION("""COMPUTED_VALUE"""),11.0)</f>
        <v>11</v>
      </c>
      <c r="I437" s="7">
        <f>IFERROR(__xludf.DUMMYFUNCTION("""COMPUTED_VALUE"""),0.7881944444444444)</f>
        <v>0.7881944444</v>
      </c>
      <c r="J437" s="1" t="str">
        <f>IFERROR(__xludf.DUMMYFUNCTION("""COMPUTED_VALUE"""),"D")</f>
        <v>D</v>
      </c>
      <c r="K437" s="1">
        <f>IFERROR(__xludf.DUMMYFUNCTION("""COMPUTED_VALUE"""),148.0)</f>
        <v>148</v>
      </c>
      <c r="L437" s="7">
        <f>IFERROR(__xludf.DUMMYFUNCTION("""COMPUTED_VALUE"""),0.04930555555555549)</f>
        <v>0.04930555556</v>
      </c>
      <c r="M437" s="7">
        <f>IFERROR(__xludf.DUMMYFUNCTION("""COMPUTED_VALUE"""),0.028958333333333267)</f>
        <v>0.02895833333</v>
      </c>
      <c r="O437" s="9">
        <f>IFERROR(__xludf.DUMMYFUNCTION("""COMPUTED_VALUE"""),576.8499999999987)</f>
        <v>576.85</v>
      </c>
      <c r="P437" s="1" t="str">
        <f>IFERROR(__xludf.DUMMYFUNCTION("""COMPUTED_VALUE"""),"AFR")</f>
        <v>AFR</v>
      </c>
      <c r="Q437" s="1" t="str">
        <f>IFERROR(__xludf.DUMMYFUNCTION("""COMPUTED_VALUE"""),"ECAC")</f>
        <v>ECAC</v>
      </c>
    </row>
    <row r="438">
      <c r="A438" s="1" t="str">
        <f>IFERROR(__xludf.DUMMYFUNCTION("""COMPUTED_VALUE"""),"VLG30NL")</f>
        <v>VLG30NL</v>
      </c>
      <c r="B438" s="1" t="str">
        <f>IFERROR(__xludf.DUMMYFUNCTION("""COMPUTED_VALUE"""),"A320")</f>
        <v>A320</v>
      </c>
      <c r="C438" s="1" t="str">
        <f>IFERROR(__xludf.DUMMYFUNCTION("""COMPUTED_VALUE"""),"LIBD")</f>
        <v>LIBD</v>
      </c>
      <c r="D438" s="1" t="str">
        <f>IFERROR(__xludf.DUMMYFUNCTION("""COMPUTED_VALUE"""),"LEBL")</f>
        <v>LEBL</v>
      </c>
      <c r="E438" s="1" t="str">
        <f>IFERROR(__xludf.DUMMYFUNCTION("""COMPUTED_VALUE"""),"ECOGE")</f>
        <v>ECOGE</v>
      </c>
      <c r="F438" s="1">
        <f>IFERROR(__xludf.DUMMYFUNCTION("""COMPUTED_VALUE"""),350.0)</f>
        <v>350</v>
      </c>
      <c r="G438" s="7">
        <f>IFERROR(__xludf.DUMMYFUNCTION("""COMPUTED_VALUE"""),0.7097222222222223)</f>
        <v>0.7097222222</v>
      </c>
      <c r="H438" s="1">
        <f>IFERROR(__xludf.DUMMYFUNCTION("""COMPUTED_VALUE"""),8.0)</f>
        <v>8</v>
      </c>
      <c r="I438" s="7">
        <f>IFERROR(__xludf.DUMMYFUNCTION("""COMPUTED_VALUE"""),0.7881944444444444)</f>
        <v>0.7881944444</v>
      </c>
      <c r="J438" s="1" t="str">
        <f>IFERROR(__xludf.DUMMYFUNCTION("""COMPUTED_VALUE"""),"D")</f>
        <v>D</v>
      </c>
      <c r="K438" s="1">
        <f>IFERROR(__xludf.DUMMYFUNCTION("""COMPUTED_VALUE"""),173.0)</f>
        <v>173</v>
      </c>
      <c r="L438" s="7">
        <f>IFERROR(__xludf.DUMMYFUNCTION("""COMPUTED_VALUE"""),0.07847222222222217)</f>
        <v>0.07847222222</v>
      </c>
      <c r="M438" s="7">
        <f>IFERROR(__xludf.DUMMYFUNCTION("""COMPUTED_VALUE"""),0.060208333333333273)</f>
        <v>0.06020833333</v>
      </c>
      <c r="O438" s="9">
        <f>IFERROR(__xludf.DUMMYFUNCTION("""COMPUTED_VALUE"""),1199.3499999999988)</f>
        <v>1199.35</v>
      </c>
      <c r="P438" s="1" t="str">
        <f>IFERROR(__xludf.DUMMYFUNCTION("""COMPUTED_VALUE"""),"VLG")</f>
        <v>VLG</v>
      </c>
      <c r="Q438" s="1" t="str">
        <f>IFERROR(__xludf.DUMMYFUNCTION("""COMPUTED_VALUE"""),"ECAC")</f>
        <v>ECAC</v>
      </c>
    </row>
    <row r="439">
      <c r="A439" s="1" t="str">
        <f>IFERROR(__xludf.DUMMYFUNCTION("""COMPUTED_VALUE"""),"RYR61WY")</f>
        <v>RYR61WY</v>
      </c>
      <c r="B439" s="1" t="str">
        <f>IFERROR(__xludf.DUMMYFUNCTION("""COMPUTED_VALUE"""),"B738")</f>
        <v>B738</v>
      </c>
      <c r="C439" s="1" t="str">
        <f>IFERROR(__xludf.DUMMYFUNCTION("""COMPUTED_VALUE"""),"EIDW")</f>
        <v>EIDW</v>
      </c>
      <c r="D439" s="1" t="str">
        <f>IFERROR(__xludf.DUMMYFUNCTION("""COMPUTED_VALUE"""),"LEBL")</f>
        <v>LEBL</v>
      </c>
      <c r="E439" s="1" t="str">
        <f>IFERROR(__xludf.DUMMYFUNCTION("""COMPUTED_VALUE"""),"9HQFK")</f>
        <v>9HQFK</v>
      </c>
      <c r="F439" s="1">
        <f>IFERROR(__xludf.DUMMYFUNCTION("""COMPUTED_VALUE"""),370.0)</f>
        <v>370</v>
      </c>
      <c r="G439" s="7">
        <f>IFERROR(__xludf.DUMMYFUNCTION("""COMPUTED_VALUE"""),0.7069444444444445)</f>
        <v>0.7069444444</v>
      </c>
      <c r="H439" s="1">
        <f>IFERROR(__xludf.DUMMYFUNCTION("""COMPUTED_VALUE"""),18.0)</f>
        <v>18</v>
      </c>
      <c r="I439" s="7">
        <f>IFERROR(__xludf.DUMMYFUNCTION("""COMPUTED_VALUE"""),0.7916666666666666)</f>
        <v>0.7916666667</v>
      </c>
      <c r="J439" s="1" t="str">
        <f>IFERROR(__xludf.DUMMYFUNCTION("""COMPUTED_VALUE"""),"D")</f>
        <v>D</v>
      </c>
      <c r="K439" s="1">
        <f>IFERROR(__xludf.DUMMYFUNCTION("""COMPUTED_VALUE"""),184.0)</f>
        <v>184</v>
      </c>
      <c r="L439" s="7">
        <f>IFERROR(__xludf.DUMMYFUNCTION("""COMPUTED_VALUE"""),0.08472222222222214)</f>
        <v>0.08472222222</v>
      </c>
      <c r="M439" s="7">
        <f>IFERROR(__xludf.DUMMYFUNCTION("""COMPUTED_VALUE"""),0.05951388888888881)</f>
        <v>0.05951388889</v>
      </c>
      <c r="O439" s="9">
        <f>IFERROR(__xludf.DUMMYFUNCTION("""COMPUTED_VALUE"""),1185.516666666665)</f>
        <v>1185.516667</v>
      </c>
      <c r="P439" s="1" t="str">
        <f>IFERROR(__xludf.DUMMYFUNCTION("""COMPUTED_VALUE"""),"RYR")</f>
        <v>RYR</v>
      </c>
      <c r="Q439" s="1" t="str">
        <f>IFERROR(__xludf.DUMMYFUNCTION("""COMPUTED_VALUE"""),"ECAC")</f>
        <v>ECAC</v>
      </c>
    </row>
    <row r="440">
      <c r="A440" s="1" t="str">
        <f>IFERROR(__xludf.DUMMYFUNCTION("""COMPUTED_VALUE"""),"QTR93J")</f>
        <v>QTR93J</v>
      </c>
      <c r="B440" s="1" t="str">
        <f>IFERROR(__xludf.DUMMYFUNCTION("""COMPUTED_VALUE"""),"B789")</f>
        <v>B789</v>
      </c>
      <c r="C440" s="1" t="str">
        <f>IFERROR(__xludf.DUMMYFUNCTION("""COMPUTED_VALUE"""),"OTHH")</f>
        <v>OTHH</v>
      </c>
      <c r="D440" s="1" t="str">
        <f>IFERROR(__xludf.DUMMYFUNCTION("""COMPUTED_VALUE"""),"LEBL")</f>
        <v>LEBL</v>
      </c>
      <c r="E440" s="1" t="str">
        <f>IFERROR(__xludf.DUMMYFUNCTION("""COMPUTED_VALUE"""),"A7BHO")</f>
        <v>A7BHO</v>
      </c>
      <c r="F440" s="1">
        <f>IFERROR(__xludf.DUMMYFUNCTION("""COMPUTED_VALUE"""),400.0)</f>
        <v>400</v>
      </c>
      <c r="G440" s="7">
        <f>IFERROR(__xludf.DUMMYFUNCTION("""COMPUTED_VALUE"""),0.5416666666666666)</f>
        <v>0.5416666667</v>
      </c>
      <c r="H440" s="1">
        <f>IFERROR(__xludf.DUMMYFUNCTION("""COMPUTED_VALUE"""),10.0)</f>
        <v>10</v>
      </c>
      <c r="I440" s="7">
        <f>IFERROR(__xludf.DUMMYFUNCTION("""COMPUTED_VALUE"""),0.7916666666666666)</f>
        <v>0.7916666667</v>
      </c>
      <c r="J440" s="1" t="str">
        <f>IFERROR(__xludf.DUMMYFUNCTION("""COMPUTED_VALUE"""),"B")</f>
        <v>B</v>
      </c>
      <c r="K440" s="1">
        <f>IFERROR(__xludf.DUMMYFUNCTION("""COMPUTED_VALUE"""),284.0)</f>
        <v>284</v>
      </c>
      <c r="L440" s="7">
        <f>IFERROR(__xludf.DUMMYFUNCTION("""COMPUTED_VALUE"""),0.25)</f>
        <v>0.25</v>
      </c>
      <c r="M440" s="7">
        <f>IFERROR(__xludf.DUMMYFUNCTION("""COMPUTED_VALUE"""),0.23034722222222223)</f>
        <v>0.2303472222</v>
      </c>
      <c r="O440" s="9">
        <f>IFERROR(__xludf.DUMMYFUNCTION("""COMPUTED_VALUE"""),4975.5)</f>
        <v>4975.5</v>
      </c>
      <c r="P440" s="1" t="str">
        <f>IFERROR(__xludf.DUMMYFUNCTION("""COMPUTED_VALUE"""),"QTR")</f>
        <v>QTR</v>
      </c>
      <c r="Q440" s="1" t="str">
        <f>IFERROR(__xludf.DUMMYFUNCTION("""COMPUTED_VALUE"""),"NO ECAC")</f>
        <v>NO ECAC</v>
      </c>
    </row>
    <row r="441">
      <c r="A441" s="1" t="str">
        <f>IFERROR(__xludf.DUMMYFUNCTION("""COMPUTED_VALUE"""),"RYR886W")</f>
        <v>RYR886W</v>
      </c>
      <c r="B441" s="1" t="str">
        <f>IFERROR(__xludf.DUMMYFUNCTION("""COMPUTED_VALUE"""),"B738")</f>
        <v>B738</v>
      </c>
      <c r="C441" s="1" t="str">
        <f>IFERROR(__xludf.DUMMYFUNCTION("""COMPUTED_VALUE"""),"LIMC")</f>
        <v>LIMC</v>
      </c>
      <c r="D441" s="1" t="str">
        <f>IFERROR(__xludf.DUMMYFUNCTION("""COMPUTED_VALUE"""),"LEBL")</f>
        <v>LEBL</v>
      </c>
      <c r="E441" s="1" t="str">
        <f>IFERROR(__xludf.DUMMYFUNCTION("""COMPUTED_VALUE"""),"EIEBF")</f>
        <v>EIEBF</v>
      </c>
      <c r="F441" s="1">
        <f>IFERROR(__xludf.DUMMYFUNCTION("""COMPUTED_VALUE"""),330.0)</f>
        <v>330</v>
      </c>
      <c r="G441" s="7">
        <f>IFERROR(__xludf.DUMMYFUNCTION("""COMPUTED_VALUE"""),0.7479166666666667)</f>
        <v>0.7479166667</v>
      </c>
      <c r="H441" s="1">
        <f>IFERROR(__xludf.DUMMYFUNCTION("""COMPUTED_VALUE"""),13.0)</f>
        <v>13</v>
      </c>
      <c r="I441" s="7">
        <f>IFERROR(__xludf.DUMMYFUNCTION("""COMPUTED_VALUE"""),0.7916666666666666)</f>
        <v>0.7916666667</v>
      </c>
      <c r="J441" s="1" t="str">
        <f>IFERROR(__xludf.DUMMYFUNCTION("""COMPUTED_VALUE"""),"D")</f>
        <v>D</v>
      </c>
      <c r="K441" s="1">
        <f>IFERROR(__xludf.DUMMYFUNCTION("""COMPUTED_VALUE"""),184.0)</f>
        <v>184</v>
      </c>
      <c r="L441" s="7">
        <f>IFERROR(__xludf.DUMMYFUNCTION("""COMPUTED_VALUE"""),0.043749999999999956)</f>
        <v>0.04375</v>
      </c>
      <c r="M441" s="7">
        <f>IFERROR(__xludf.DUMMYFUNCTION("""COMPUTED_VALUE"""),0.022013888888888843)</f>
        <v>0.02201388889</v>
      </c>
      <c r="O441" s="9">
        <f>IFERROR(__xludf.DUMMYFUNCTION("""COMPUTED_VALUE"""),438.51666666666574)</f>
        <v>438.5166667</v>
      </c>
      <c r="P441" s="1" t="str">
        <f>IFERROR(__xludf.DUMMYFUNCTION("""COMPUTED_VALUE"""),"RYR")</f>
        <v>RYR</v>
      </c>
      <c r="Q441" s="1" t="str">
        <f>IFERROR(__xludf.DUMMYFUNCTION("""COMPUTED_VALUE"""),"ECAC")</f>
        <v>ECAC</v>
      </c>
    </row>
    <row r="442">
      <c r="A442" s="1" t="str">
        <f>IFERROR(__xludf.DUMMYFUNCTION("""COMPUTED_VALUE"""),"VLG3071")</f>
        <v>VLG3071</v>
      </c>
      <c r="B442" s="1" t="str">
        <f>IFERROR(__xludf.DUMMYFUNCTION("""COMPUTED_VALUE"""),"A320")</f>
        <v>A320</v>
      </c>
      <c r="C442" s="1" t="str">
        <f>IFERROR(__xludf.DUMMYFUNCTION("""COMPUTED_VALUE"""),"LTFM")</f>
        <v>LTFM</v>
      </c>
      <c r="D442" s="1" t="str">
        <f>IFERROR(__xludf.DUMMYFUNCTION("""COMPUTED_VALUE"""),"LEBL")</f>
        <v>LEBL</v>
      </c>
      <c r="E442" s="1" t="str">
        <f>IFERROR(__xludf.DUMMYFUNCTION("""COMPUTED_VALUE"""),"ECMCU")</f>
        <v>ECMCU</v>
      </c>
      <c r="F442" s="1">
        <f>IFERROR(__xludf.DUMMYFUNCTION("""COMPUTED_VALUE"""),360.0)</f>
        <v>360</v>
      </c>
      <c r="G442" s="7">
        <f>IFERROR(__xludf.DUMMYFUNCTION("""COMPUTED_VALUE"""),0.66875)</f>
        <v>0.66875</v>
      </c>
      <c r="H442" s="1">
        <f>IFERROR(__xludf.DUMMYFUNCTION("""COMPUTED_VALUE"""),20.0)</f>
        <v>20</v>
      </c>
      <c r="I442" s="7">
        <f>IFERROR(__xludf.DUMMYFUNCTION("""COMPUTED_VALUE"""),0.7951388888888888)</f>
        <v>0.7951388889</v>
      </c>
      <c r="J442" s="1" t="str">
        <f>IFERROR(__xludf.DUMMYFUNCTION("""COMPUTED_VALUE"""),"D")</f>
        <v>D</v>
      </c>
      <c r="K442" s="1">
        <f>IFERROR(__xludf.DUMMYFUNCTION("""COMPUTED_VALUE"""),173.0)</f>
        <v>173</v>
      </c>
      <c r="L442" s="7">
        <f>IFERROR(__xludf.DUMMYFUNCTION("""COMPUTED_VALUE"""),0.12638888888888888)</f>
        <v>0.1263888889</v>
      </c>
      <c r="M442" s="7">
        <f>IFERROR(__xludf.DUMMYFUNCTION("""COMPUTED_VALUE"""),0.09979166666666667)</f>
        <v>0.09979166667</v>
      </c>
      <c r="O442" s="9">
        <f>IFERROR(__xludf.DUMMYFUNCTION("""COMPUTED_VALUE"""),1987.85)</f>
        <v>1987.85</v>
      </c>
      <c r="P442" s="1" t="str">
        <f>IFERROR(__xludf.DUMMYFUNCTION("""COMPUTED_VALUE"""),"VLG")</f>
        <v>VLG</v>
      </c>
      <c r="Q442" s="1" t="str">
        <f>IFERROR(__xludf.DUMMYFUNCTION("""COMPUTED_VALUE"""),"ECAC")</f>
        <v>ECAC</v>
      </c>
    </row>
    <row r="443">
      <c r="A443" s="1" t="str">
        <f>IFERROR(__xludf.DUMMYFUNCTION("""COMPUTED_VALUE"""),"VLG9EA")</f>
        <v>VLG9EA</v>
      </c>
      <c r="B443" s="1" t="str">
        <f>IFERROR(__xludf.DUMMYFUNCTION("""COMPUTED_VALUE"""),"A320")</f>
        <v>A320</v>
      </c>
      <c r="C443" s="1" t="str">
        <f>IFERROR(__xludf.DUMMYFUNCTION("""COMPUTED_VALUE"""),"LPPT")</f>
        <v>LPPT</v>
      </c>
      <c r="D443" s="1" t="str">
        <f>IFERROR(__xludf.DUMMYFUNCTION("""COMPUTED_VALUE"""),"LEBL")</f>
        <v>LEBL</v>
      </c>
      <c r="E443" s="1" t="str">
        <f>IFERROR(__xludf.DUMMYFUNCTION("""COMPUTED_VALUE"""),"ECOFH")</f>
        <v>ECOFH</v>
      </c>
      <c r="F443" s="1">
        <f>IFERROR(__xludf.DUMMYFUNCTION("""COMPUTED_VALUE"""),402.0)</f>
        <v>402</v>
      </c>
      <c r="G443" s="7">
        <f>IFERROR(__xludf.DUMMYFUNCTION("""COMPUTED_VALUE"""),0.7333333333333333)</f>
        <v>0.7333333333</v>
      </c>
      <c r="H443" s="1">
        <f>IFERROR(__xludf.DUMMYFUNCTION("""COMPUTED_VALUE"""),19.0)</f>
        <v>19</v>
      </c>
      <c r="I443" s="7">
        <f>IFERROR(__xludf.DUMMYFUNCTION("""COMPUTED_VALUE"""),0.7951388888888888)</f>
        <v>0.7951388889</v>
      </c>
      <c r="J443" s="1" t="str">
        <f>IFERROR(__xludf.DUMMYFUNCTION("""COMPUTED_VALUE"""),"D")</f>
        <v>D</v>
      </c>
      <c r="K443" s="1">
        <f>IFERROR(__xludf.DUMMYFUNCTION("""COMPUTED_VALUE"""),173.0)</f>
        <v>173</v>
      </c>
      <c r="L443" s="7">
        <f>IFERROR(__xludf.DUMMYFUNCTION("""COMPUTED_VALUE"""),0.06180555555555556)</f>
        <v>0.06180555556</v>
      </c>
      <c r="M443" s="7">
        <f>IFERROR(__xludf.DUMMYFUNCTION("""COMPUTED_VALUE"""),0.035902777777777777)</f>
        <v>0.03590277778</v>
      </c>
      <c r="O443" s="9">
        <f>IFERROR(__xludf.DUMMYFUNCTION("""COMPUTED_VALUE"""),715.1833333333333)</f>
        <v>715.1833333</v>
      </c>
      <c r="P443" s="1" t="str">
        <f>IFERROR(__xludf.DUMMYFUNCTION("""COMPUTED_VALUE"""),"VLG")</f>
        <v>VLG</v>
      </c>
      <c r="Q443" s="1" t="str">
        <f>IFERROR(__xludf.DUMMYFUNCTION("""COMPUTED_VALUE"""),"ECAC")</f>
        <v>ECAC</v>
      </c>
    </row>
    <row r="444">
      <c r="A444" s="1" t="str">
        <f>IFERROR(__xludf.DUMMYFUNCTION("""COMPUTED_VALUE"""),"IBE04VK")</f>
        <v>IBE04VK</v>
      </c>
      <c r="B444" s="1" t="str">
        <f>IFERROR(__xludf.DUMMYFUNCTION("""COMPUTED_VALUE"""),"A319")</f>
        <v>A319</v>
      </c>
      <c r="C444" s="1" t="str">
        <f>IFERROR(__xludf.DUMMYFUNCTION("""COMPUTED_VALUE"""),"LEMD")</f>
        <v>LEMD</v>
      </c>
      <c r="D444" s="1" t="str">
        <f>IFERROR(__xludf.DUMMYFUNCTION("""COMPUTED_VALUE"""),"LEBL")</f>
        <v>LEBL</v>
      </c>
      <c r="E444" s="1" t="str">
        <f>IFERROR(__xludf.DUMMYFUNCTION("""COMPUTED_VALUE"""),"ECKUB")</f>
        <v>ECKUB</v>
      </c>
      <c r="F444" s="1">
        <f>IFERROR(__xludf.DUMMYFUNCTION("""COMPUTED_VALUE"""),280.0)</f>
        <v>280</v>
      </c>
      <c r="G444" s="7">
        <f>IFERROR(__xludf.DUMMYFUNCTION("""COMPUTED_VALUE"""),0.7611111111111111)</f>
        <v>0.7611111111</v>
      </c>
      <c r="H444" s="1">
        <f>IFERROR(__xludf.DUMMYFUNCTION("""COMPUTED_VALUE"""),16.0)</f>
        <v>16</v>
      </c>
      <c r="I444" s="7">
        <f>IFERROR(__xludf.DUMMYFUNCTION("""COMPUTED_VALUE"""),0.7951388888888888)</f>
        <v>0.7951388889</v>
      </c>
      <c r="J444" s="1" t="str">
        <f>IFERROR(__xludf.DUMMYFUNCTION("""COMPUTED_VALUE"""),"D")</f>
        <v>D</v>
      </c>
      <c r="K444" s="1">
        <f>IFERROR(__xludf.DUMMYFUNCTION("""COMPUTED_VALUE"""),144.0)</f>
        <v>144</v>
      </c>
      <c r="L444" s="7">
        <f>IFERROR(__xludf.DUMMYFUNCTION("""COMPUTED_VALUE"""),0.03402777777777777)</f>
        <v>0.03402777778</v>
      </c>
      <c r="M444" s="7">
        <f>IFERROR(__xludf.DUMMYFUNCTION("""COMPUTED_VALUE"""),0.010208333333333321)</f>
        <v>0.01020833333</v>
      </c>
      <c r="O444" s="9">
        <f>IFERROR(__xludf.DUMMYFUNCTION("""COMPUTED_VALUE"""),203.34999999999977)</f>
        <v>203.35</v>
      </c>
      <c r="P444" s="1" t="str">
        <f>IFERROR(__xludf.DUMMYFUNCTION("""COMPUTED_VALUE"""),"IBE")</f>
        <v>IBE</v>
      </c>
      <c r="Q444" s="1" t="str">
        <f>IFERROR(__xludf.DUMMYFUNCTION("""COMPUTED_VALUE"""),"ECAC")</f>
        <v>ECAC</v>
      </c>
    </row>
    <row r="445">
      <c r="A445" s="1" t="str">
        <f>IFERROR(__xludf.DUMMYFUNCTION("""COMPUTED_VALUE"""),"VLG6167")</f>
        <v>VLG6167</v>
      </c>
      <c r="B445" s="1" t="str">
        <f>IFERROR(__xludf.DUMMYFUNCTION("""COMPUTED_VALUE"""),"A320")</f>
        <v>A320</v>
      </c>
      <c r="C445" s="1" t="str">
        <f>IFERROR(__xludf.DUMMYFUNCTION("""COMPUTED_VALUE"""),"LIEE")</f>
        <v>LIEE</v>
      </c>
      <c r="D445" s="1" t="str">
        <f>IFERROR(__xludf.DUMMYFUNCTION("""COMPUTED_VALUE"""),"LEBL")</f>
        <v>LEBL</v>
      </c>
      <c r="E445" s="1" t="str">
        <f>IFERROR(__xludf.DUMMYFUNCTION("""COMPUTED_VALUE"""),"ECLLJ")</f>
        <v>ECLLJ</v>
      </c>
      <c r="F445" s="1">
        <f>IFERROR(__xludf.DUMMYFUNCTION("""COMPUTED_VALUE"""),360.0)</f>
        <v>360</v>
      </c>
      <c r="G445" s="7">
        <f>IFERROR(__xludf.DUMMYFUNCTION("""COMPUTED_VALUE"""),0.7569444444444444)</f>
        <v>0.7569444444</v>
      </c>
      <c r="H445" s="1">
        <f>IFERROR(__xludf.DUMMYFUNCTION("""COMPUTED_VALUE"""),15.0)</f>
        <v>15</v>
      </c>
      <c r="I445" s="7">
        <f>IFERROR(__xludf.DUMMYFUNCTION("""COMPUTED_VALUE"""),0.7986111111111112)</f>
        <v>0.7986111111</v>
      </c>
      <c r="J445" s="1" t="str">
        <f>IFERROR(__xludf.DUMMYFUNCTION("""COMPUTED_VALUE"""),"D")</f>
        <v>D</v>
      </c>
      <c r="K445" s="1">
        <f>IFERROR(__xludf.DUMMYFUNCTION("""COMPUTED_VALUE"""),173.0)</f>
        <v>173</v>
      </c>
      <c r="L445" s="7">
        <f>IFERROR(__xludf.DUMMYFUNCTION("""COMPUTED_VALUE"""),0.04166666666666674)</f>
        <v>0.04166666667</v>
      </c>
      <c r="M445" s="7">
        <f>IFERROR(__xludf.DUMMYFUNCTION("""COMPUTED_VALUE"""),0.01854166666666674)</f>
        <v>0.01854166667</v>
      </c>
      <c r="O445" s="9">
        <f>IFERROR(__xludf.DUMMYFUNCTION("""COMPUTED_VALUE"""),369.3500000000015)</f>
        <v>369.35</v>
      </c>
      <c r="P445" s="1" t="str">
        <f>IFERROR(__xludf.DUMMYFUNCTION("""COMPUTED_VALUE"""),"VLG")</f>
        <v>VLG</v>
      </c>
      <c r="Q445" s="1" t="str">
        <f>IFERROR(__xludf.DUMMYFUNCTION("""COMPUTED_VALUE"""),"ECAC")</f>
        <v>ECAC</v>
      </c>
    </row>
    <row r="446">
      <c r="A446" s="1" t="str">
        <f>IFERROR(__xludf.DUMMYFUNCTION("""COMPUTED_VALUE"""),"WZZ9DE")</f>
        <v>WZZ9DE</v>
      </c>
      <c r="B446" s="1" t="str">
        <f>IFERROR(__xludf.DUMMYFUNCTION("""COMPUTED_VALUE"""),"A21N")</f>
        <v>A21N</v>
      </c>
      <c r="C446" s="1" t="str">
        <f>IFERROR(__xludf.DUMMYFUNCTION("""COMPUTED_VALUE"""),"EPGD")</f>
        <v>EPGD</v>
      </c>
      <c r="D446" s="1" t="str">
        <f>IFERROR(__xludf.DUMMYFUNCTION("""COMPUTED_VALUE"""),"LEBL")</f>
        <v>LEBL</v>
      </c>
      <c r="E446" s="1" t="str">
        <f>IFERROR(__xludf.DUMMYFUNCTION("""COMPUTED_VALUE"""),"9HWDX")</f>
        <v>9HWDX</v>
      </c>
      <c r="F446" s="1">
        <f>IFERROR(__xludf.DUMMYFUNCTION("""COMPUTED_VALUE"""),370.0)</f>
        <v>370</v>
      </c>
      <c r="G446" s="7">
        <f>IFERROR(__xludf.DUMMYFUNCTION("""COMPUTED_VALUE"""),0.6909722222222222)</f>
        <v>0.6909722222</v>
      </c>
      <c r="H446" s="1">
        <f>IFERROR(__xludf.DUMMYFUNCTION("""COMPUTED_VALUE"""),13.0)</f>
        <v>13</v>
      </c>
      <c r="I446" s="7">
        <f>IFERROR(__xludf.DUMMYFUNCTION("""COMPUTED_VALUE"""),0.7986111111111112)</f>
        <v>0.7986111111</v>
      </c>
      <c r="J446" s="1" t="str">
        <f>IFERROR(__xludf.DUMMYFUNCTION("""COMPUTED_VALUE"""),"D")</f>
        <v>D</v>
      </c>
      <c r="K446" s="1">
        <f>IFERROR(__xludf.DUMMYFUNCTION("""COMPUTED_VALUE"""),200.0)</f>
        <v>200</v>
      </c>
      <c r="L446" s="7">
        <f>IFERROR(__xludf.DUMMYFUNCTION("""COMPUTED_VALUE"""),0.10763888888888895)</f>
        <v>0.1076388889</v>
      </c>
      <c r="M446" s="7">
        <f>IFERROR(__xludf.DUMMYFUNCTION("""COMPUTED_VALUE"""),0.08590277777777784)</f>
        <v>0.08590277778</v>
      </c>
      <c r="O446" s="9">
        <f>IFERROR(__xludf.DUMMYFUNCTION("""COMPUTED_VALUE"""),1711.1833333333348)</f>
        <v>1711.183333</v>
      </c>
      <c r="P446" s="1" t="str">
        <f>IFERROR(__xludf.DUMMYFUNCTION("""COMPUTED_VALUE"""),"WZZ")</f>
        <v>WZZ</v>
      </c>
      <c r="Q446" s="1" t="str">
        <f>IFERROR(__xludf.DUMMYFUNCTION("""COMPUTED_VALUE"""),"ECAC")</f>
        <v>ECAC</v>
      </c>
    </row>
    <row r="447">
      <c r="A447" s="1" t="str">
        <f>IFERROR(__xludf.DUMMYFUNCTION("""COMPUTED_VALUE"""),"VLG7FJ")</f>
        <v>VLG7FJ</v>
      </c>
      <c r="B447" s="1" t="str">
        <f>IFERROR(__xludf.DUMMYFUNCTION("""COMPUTED_VALUE"""),"A20N")</f>
        <v>A20N</v>
      </c>
      <c r="C447" s="1" t="str">
        <f>IFERROR(__xludf.DUMMYFUNCTION("""COMPUTED_VALUE"""),"LFPO")</f>
        <v>LFPO</v>
      </c>
      <c r="D447" s="1" t="str">
        <f>IFERROR(__xludf.DUMMYFUNCTION("""COMPUTED_VALUE"""),"LEBL")</f>
        <v>LEBL</v>
      </c>
      <c r="E447" s="1" t="str">
        <f>IFERROR(__xludf.DUMMYFUNCTION("""COMPUTED_VALUE"""),"ECNCU")</f>
        <v>ECNCU</v>
      </c>
      <c r="F447" s="1">
        <f>IFERROR(__xludf.DUMMYFUNCTION("""COMPUTED_VALUE"""),390.0)</f>
        <v>390</v>
      </c>
      <c r="G447" s="7">
        <f>IFERROR(__xludf.DUMMYFUNCTION("""COMPUTED_VALUE"""),0.7597222222222222)</f>
        <v>0.7597222222</v>
      </c>
      <c r="H447" s="1">
        <f>IFERROR(__xludf.DUMMYFUNCTION("""COMPUTED_VALUE"""),10.0)</f>
        <v>10</v>
      </c>
      <c r="I447" s="7">
        <f>IFERROR(__xludf.DUMMYFUNCTION("""COMPUTED_VALUE"""),0.8020833333333334)</f>
        <v>0.8020833333</v>
      </c>
      <c r="J447" s="1" t="str">
        <f>IFERROR(__xludf.DUMMYFUNCTION("""COMPUTED_VALUE"""),"D")</f>
        <v>D</v>
      </c>
      <c r="K447" s="1">
        <f>IFERROR(__xludf.DUMMYFUNCTION("""COMPUTED_VALUE"""),180.0)</f>
        <v>180</v>
      </c>
      <c r="L447" s="7">
        <f>IFERROR(__xludf.DUMMYFUNCTION("""COMPUTED_VALUE"""),0.04236111111111118)</f>
        <v>0.04236111111</v>
      </c>
      <c r="M447" s="7">
        <f>IFERROR(__xludf.DUMMYFUNCTION("""COMPUTED_VALUE"""),0.022708333333333403)</f>
        <v>0.02270833333</v>
      </c>
      <c r="O447" s="9">
        <f>IFERROR(__xludf.DUMMYFUNCTION("""COMPUTED_VALUE"""),452.3500000000014)</f>
        <v>452.35</v>
      </c>
      <c r="P447" s="1" t="str">
        <f>IFERROR(__xludf.DUMMYFUNCTION("""COMPUTED_VALUE"""),"VLG")</f>
        <v>VLG</v>
      </c>
      <c r="Q447" s="1" t="str">
        <f>IFERROR(__xludf.DUMMYFUNCTION("""COMPUTED_VALUE"""),"ECAC")</f>
        <v>ECAC</v>
      </c>
    </row>
    <row r="448">
      <c r="A448" s="1" t="str">
        <f>IFERROR(__xludf.DUMMYFUNCTION("""COMPUTED_VALUE"""),"RYR4WR")</f>
        <v>RYR4WR</v>
      </c>
      <c r="B448" s="1" t="str">
        <f>IFERROR(__xludf.DUMMYFUNCTION("""COMPUTED_VALUE"""),"B738")</f>
        <v>B738</v>
      </c>
      <c r="C448" s="1" t="str">
        <f>IFERROR(__xludf.DUMMYFUNCTION("""COMPUTED_VALUE"""),"GMFF")</f>
        <v>GMFF</v>
      </c>
      <c r="D448" s="1" t="str">
        <f>IFERROR(__xludf.DUMMYFUNCTION("""COMPUTED_VALUE"""),"LEBL")</f>
        <v>LEBL</v>
      </c>
      <c r="E448" s="1" t="str">
        <f>IFERROR(__xludf.DUMMYFUNCTION("""COMPUTED_VALUE"""),"EIDPH")</f>
        <v>EIDPH</v>
      </c>
      <c r="F448" s="1">
        <f>IFERROR(__xludf.DUMMYFUNCTION("""COMPUTED_VALUE"""),380.0)</f>
        <v>380</v>
      </c>
      <c r="G448" s="7">
        <f>IFERROR(__xludf.DUMMYFUNCTION("""COMPUTED_VALUE"""),0.7361111111111112)</f>
        <v>0.7361111111</v>
      </c>
      <c r="H448" s="1">
        <f>IFERROR(__xludf.DUMMYFUNCTION("""COMPUTED_VALUE"""),15.0)</f>
        <v>15</v>
      </c>
      <c r="I448" s="7">
        <f>IFERROR(__xludf.DUMMYFUNCTION("""COMPUTED_VALUE"""),0.8020833333333334)</f>
        <v>0.8020833333</v>
      </c>
      <c r="J448" s="1" t="str">
        <f>IFERROR(__xludf.DUMMYFUNCTION("""COMPUTED_VALUE"""),"D")</f>
        <v>D</v>
      </c>
      <c r="K448" s="1">
        <f>IFERROR(__xludf.DUMMYFUNCTION("""COMPUTED_VALUE"""),184.0)</f>
        <v>184</v>
      </c>
      <c r="L448" s="7">
        <f>IFERROR(__xludf.DUMMYFUNCTION("""COMPUTED_VALUE"""),0.06597222222222221)</f>
        <v>0.06597222222</v>
      </c>
      <c r="M448" s="7">
        <f>IFERROR(__xludf.DUMMYFUNCTION("""COMPUTED_VALUE"""),0.04284722222222221)</f>
        <v>0.04284722222</v>
      </c>
      <c r="O448" s="9">
        <f>IFERROR(__xludf.DUMMYFUNCTION("""COMPUTED_VALUE"""),853.5166666666664)</f>
        <v>853.5166667</v>
      </c>
      <c r="P448" s="1" t="str">
        <f>IFERROR(__xludf.DUMMYFUNCTION("""COMPUTED_VALUE"""),"RYR")</f>
        <v>RYR</v>
      </c>
      <c r="Q448" s="1" t="str">
        <f>IFERROR(__xludf.DUMMYFUNCTION("""COMPUTED_VALUE"""),"NO ECAC")</f>
        <v>NO ECAC</v>
      </c>
    </row>
    <row r="449">
      <c r="A449" s="1" t="str">
        <f>IFERROR(__xludf.DUMMYFUNCTION("""COMPUTED_VALUE"""),"WZZ4RZ")</f>
        <v>WZZ4RZ</v>
      </c>
      <c r="B449" s="1" t="str">
        <f>IFERROR(__xludf.DUMMYFUNCTION("""COMPUTED_VALUE"""),"A320")</f>
        <v>A320</v>
      </c>
      <c r="C449" s="1" t="str">
        <f>IFERROR(__xludf.DUMMYFUNCTION("""COMPUTED_VALUE"""),"LYBE")</f>
        <v>LYBE</v>
      </c>
      <c r="D449" s="1" t="str">
        <f>IFERROR(__xludf.DUMMYFUNCTION("""COMPUTED_VALUE"""),"LEBL")</f>
        <v>LEBL</v>
      </c>
      <c r="E449" s="1" t="str">
        <f>IFERROR(__xludf.DUMMYFUNCTION("""COMPUTED_VALUE"""),"HALYG")</f>
        <v>HALYG</v>
      </c>
      <c r="F449" s="1">
        <f>IFERROR(__xludf.DUMMYFUNCTION("""COMPUTED_VALUE"""),350.0)</f>
        <v>350</v>
      </c>
      <c r="G449" s="7">
        <f>IFERROR(__xludf.DUMMYFUNCTION("""COMPUTED_VALUE"""),0.7138888888888889)</f>
        <v>0.7138888889</v>
      </c>
      <c r="H449" s="1">
        <f>IFERROR(__xludf.DUMMYFUNCTION("""COMPUTED_VALUE"""),13.0)</f>
        <v>13</v>
      </c>
      <c r="I449" s="7">
        <f>IFERROR(__xludf.DUMMYFUNCTION("""COMPUTED_VALUE"""),0.8020833333333334)</f>
        <v>0.8020833333</v>
      </c>
      <c r="J449" s="1" t="str">
        <f>IFERROR(__xludf.DUMMYFUNCTION("""COMPUTED_VALUE"""),"D")</f>
        <v>D</v>
      </c>
      <c r="K449" s="1">
        <f>IFERROR(__xludf.DUMMYFUNCTION("""COMPUTED_VALUE"""),173.0)</f>
        <v>173</v>
      </c>
      <c r="L449" s="7">
        <f>IFERROR(__xludf.DUMMYFUNCTION("""COMPUTED_VALUE"""),0.08819444444444446)</f>
        <v>0.08819444444</v>
      </c>
      <c r="M449" s="7">
        <f>IFERROR(__xludf.DUMMYFUNCTION("""COMPUTED_VALUE"""),0.06645833333333336)</f>
        <v>0.06645833333</v>
      </c>
      <c r="O449" s="9">
        <f>IFERROR(__xludf.DUMMYFUNCTION("""COMPUTED_VALUE"""),1323.8500000000006)</f>
        <v>1323.85</v>
      </c>
      <c r="P449" s="1" t="str">
        <f>IFERROR(__xludf.DUMMYFUNCTION("""COMPUTED_VALUE"""),"WZZ")</f>
        <v>WZZ</v>
      </c>
      <c r="Q449" s="1" t="str">
        <f>IFERROR(__xludf.DUMMYFUNCTION("""COMPUTED_VALUE"""),"ECAC")</f>
        <v>ECAC</v>
      </c>
    </row>
    <row r="450">
      <c r="A450" s="1" t="str">
        <f>IFERROR(__xludf.DUMMYFUNCTION("""COMPUTED_VALUE"""),"DLH66Y")</f>
        <v>DLH66Y</v>
      </c>
      <c r="B450" s="1" t="str">
        <f>IFERROR(__xludf.DUMMYFUNCTION("""COMPUTED_VALUE"""),"A321")</f>
        <v>A321</v>
      </c>
      <c r="C450" s="1" t="str">
        <f>IFERROR(__xludf.DUMMYFUNCTION("""COMPUTED_VALUE"""),"EDDM")</f>
        <v>EDDM</v>
      </c>
      <c r="D450" s="1" t="str">
        <f>IFERROR(__xludf.DUMMYFUNCTION("""COMPUTED_VALUE"""),"LEBL")</f>
        <v>LEBL</v>
      </c>
      <c r="E450" s="1" t="str">
        <f>IFERROR(__xludf.DUMMYFUNCTION("""COMPUTED_VALUE"""),"DAIRF")</f>
        <v>DAIRF</v>
      </c>
      <c r="F450" s="1">
        <f>IFERROR(__xludf.DUMMYFUNCTION("""COMPUTED_VALUE"""),370.0)</f>
        <v>370</v>
      </c>
      <c r="G450" s="7">
        <f>IFERROR(__xludf.DUMMYFUNCTION("""COMPUTED_VALUE"""),0.7444444444444445)</f>
        <v>0.7444444444</v>
      </c>
      <c r="H450" s="1">
        <f>IFERROR(__xludf.DUMMYFUNCTION("""COMPUTED_VALUE"""),12.0)</f>
        <v>12</v>
      </c>
      <c r="I450" s="7">
        <f>IFERROR(__xludf.DUMMYFUNCTION("""COMPUTED_VALUE"""),0.8055555555555556)</f>
        <v>0.8055555556</v>
      </c>
      <c r="J450" s="1" t="str">
        <f>IFERROR(__xludf.DUMMYFUNCTION("""COMPUTED_VALUE"""),"D")</f>
        <v>D</v>
      </c>
      <c r="K450" s="1">
        <f>IFERROR(__xludf.DUMMYFUNCTION("""COMPUTED_VALUE"""),207.0)</f>
        <v>207</v>
      </c>
      <c r="L450" s="7">
        <f>IFERROR(__xludf.DUMMYFUNCTION("""COMPUTED_VALUE"""),0.061111111111111116)</f>
        <v>0.06111111111</v>
      </c>
      <c r="M450" s="7">
        <f>IFERROR(__xludf.DUMMYFUNCTION("""COMPUTED_VALUE"""),0.04006944444444445)</f>
        <v>0.04006944444</v>
      </c>
      <c r="O450" s="9">
        <f>IFERROR(__xludf.DUMMYFUNCTION("""COMPUTED_VALUE"""),798.1833333333334)</f>
        <v>798.1833333</v>
      </c>
      <c r="P450" s="1" t="str">
        <f>IFERROR(__xludf.DUMMYFUNCTION("""COMPUTED_VALUE"""),"DLH")</f>
        <v>DLH</v>
      </c>
      <c r="Q450" s="1" t="str">
        <f>IFERROR(__xludf.DUMMYFUNCTION("""COMPUTED_VALUE"""),"ECAC")</f>
        <v>ECAC</v>
      </c>
    </row>
    <row r="451">
      <c r="A451" s="1" t="str">
        <f>IFERROR(__xludf.DUMMYFUNCTION("""COMPUTED_VALUE"""),"AEA23GZ")</f>
        <v>AEA23GZ</v>
      </c>
      <c r="B451" s="1" t="str">
        <f>IFERROR(__xludf.DUMMYFUNCTION("""COMPUTED_VALUE"""),"B738")</f>
        <v>B738</v>
      </c>
      <c r="C451" s="1" t="str">
        <f>IFERROR(__xludf.DUMMYFUNCTION("""COMPUTED_VALUE"""),"LEPA")</f>
        <v>LEPA</v>
      </c>
      <c r="D451" s="1" t="str">
        <f>IFERROR(__xludf.DUMMYFUNCTION("""COMPUTED_VALUE"""),"LEBL")</f>
        <v>LEBL</v>
      </c>
      <c r="E451" s="1" t="str">
        <f>IFERROR(__xludf.DUMMYFUNCTION("""COMPUTED_VALUE"""),"ECLQX")</f>
        <v>ECLQX</v>
      </c>
      <c r="F451" s="1">
        <f>IFERROR(__xludf.DUMMYFUNCTION("""COMPUTED_VALUE"""),180.0)</f>
        <v>180</v>
      </c>
      <c r="G451" s="7">
        <f>IFERROR(__xludf.DUMMYFUNCTION("""COMPUTED_VALUE"""),0.7840277777777778)</f>
        <v>0.7840277778</v>
      </c>
      <c r="H451" s="1">
        <f>IFERROR(__xludf.DUMMYFUNCTION("""COMPUTED_VALUE"""),17.0)</f>
        <v>17</v>
      </c>
      <c r="I451" s="7">
        <f>IFERROR(__xludf.DUMMYFUNCTION("""COMPUTED_VALUE"""),0.8055555555555556)</f>
        <v>0.8055555556</v>
      </c>
      <c r="J451" s="1" t="str">
        <f>IFERROR(__xludf.DUMMYFUNCTION("""COMPUTED_VALUE"""),"D")</f>
        <v>D</v>
      </c>
      <c r="K451" s="1">
        <f>IFERROR(__xludf.DUMMYFUNCTION("""COMPUTED_VALUE"""),184.0)</f>
        <v>184</v>
      </c>
      <c r="L451" s="7">
        <f>IFERROR(__xludf.DUMMYFUNCTION("""COMPUTED_VALUE"""),0.021527777777777812)</f>
        <v>0.02152777778</v>
      </c>
      <c r="M451" s="7">
        <f>IFERROR(__xludf.DUMMYFUNCTION("""COMPUTED_VALUE"""),0.009722222222222257)</f>
        <v>0.009722222222</v>
      </c>
      <c r="O451" s="9">
        <f>IFERROR(__xludf.DUMMYFUNCTION("""COMPUTED_VALUE"""),193.66666666666737)</f>
        <v>193.6666667</v>
      </c>
      <c r="P451" s="1" t="str">
        <f>IFERROR(__xludf.DUMMYFUNCTION("""COMPUTED_VALUE"""),"AEA")</f>
        <v>AEA</v>
      </c>
      <c r="Q451" s="1" t="str">
        <f>IFERROR(__xludf.DUMMYFUNCTION("""COMPUTED_VALUE"""),"ECAC")</f>
        <v>ECAC</v>
      </c>
    </row>
    <row r="452">
      <c r="A452" s="1" t="str">
        <f>IFERROR(__xludf.DUMMYFUNCTION("""COMPUTED_VALUE"""),"FPY6")</f>
        <v>FPY6</v>
      </c>
      <c r="B452" s="1" t="str">
        <f>IFERROR(__xludf.DUMMYFUNCTION("""COMPUTED_VALUE"""),"A20N")</f>
        <v>A20N</v>
      </c>
      <c r="C452" s="1" t="str">
        <f>IFERROR(__xludf.DUMMYFUNCTION("""COMPUTED_VALUE"""),"BIKF")</f>
        <v>BIKF</v>
      </c>
      <c r="D452" s="1" t="str">
        <f>IFERROR(__xludf.DUMMYFUNCTION("""COMPUTED_VALUE"""),"LEBL")</f>
        <v>LEBL</v>
      </c>
      <c r="E452" s="1" t="str">
        <f>IFERROR(__xludf.DUMMYFUNCTION("""COMPUTED_VALUE"""),"TFPPD")</f>
        <v>TFPPD</v>
      </c>
      <c r="F452" s="1">
        <f>IFERROR(__xludf.DUMMYFUNCTION("""COMPUTED_VALUE"""),390.0)</f>
        <v>390</v>
      </c>
      <c r="G452" s="7">
        <f>IFERROR(__xludf.DUMMYFUNCTION("""COMPUTED_VALUE"""),0.6458333333333334)</f>
        <v>0.6458333333</v>
      </c>
      <c r="H452" s="1">
        <f>IFERROR(__xludf.DUMMYFUNCTION("""COMPUTED_VALUE"""),10.0)</f>
        <v>10</v>
      </c>
      <c r="I452" s="7">
        <f>IFERROR(__xludf.DUMMYFUNCTION("""COMPUTED_VALUE"""),0.8090277777777778)</f>
        <v>0.8090277778</v>
      </c>
      <c r="J452" s="1" t="str">
        <f>IFERROR(__xludf.DUMMYFUNCTION("""COMPUTED_VALUE"""),"D")</f>
        <v>D</v>
      </c>
      <c r="K452" s="1">
        <f>IFERROR(__xludf.DUMMYFUNCTION("""COMPUTED_VALUE"""),180.0)</f>
        <v>180</v>
      </c>
      <c r="L452" s="7">
        <f>IFERROR(__xludf.DUMMYFUNCTION("""COMPUTED_VALUE"""),0.16319444444444442)</f>
        <v>0.1631944444</v>
      </c>
      <c r="M452" s="7">
        <f>IFERROR(__xludf.DUMMYFUNCTION("""COMPUTED_VALUE"""),0.14354166666666665)</f>
        <v>0.1435416667</v>
      </c>
      <c r="O452" s="9">
        <f>IFERROR(__xludf.DUMMYFUNCTION("""COMPUTED_VALUE"""),2859.3499999999995)</f>
        <v>2859.35</v>
      </c>
      <c r="P452" s="1" t="str">
        <f>IFERROR(__xludf.DUMMYFUNCTION("""COMPUTED_VALUE"""),"FPY")</f>
        <v>FPY</v>
      </c>
      <c r="Q452" s="1" t="str">
        <f>IFERROR(__xludf.DUMMYFUNCTION("""COMPUTED_VALUE"""),"ECAC")</f>
        <v>ECAC</v>
      </c>
    </row>
    <row r="453">
      <c r="A453" s="1" t="str">
        <f>IFERROR(__xludf.DUMMYFUNCTION("""COMPUTED_VALUE"""),"RYR7495")</f>
        <v>RYR7495</v>
      </c>
      <c r="B453" s="1" t="str">
        <f>IFERROR(__xludf.DUMMYFUNCTION("""COMPUTED_VALUE"""),"B738")</f>
        <v>B738</v>
      </c>
      <c r="C453" s="1" t="str">
        <f>IFERROR(__xludf.DUMMYFUNCTION("""COMPUTED_VALUE"""),"EGSS")</f>
        <v>EGSS</v>
      </c>
      <c r="D453" s="1" t="str">
        <f>IFERROR(__xludf.DUMMYFUNCTION("""COMPUTED_VALUE"""),"LEBL")</f>
        <v>LEBL</v>
      </c>
      <c r="E453" s="1" t="str">
        <f>IFERROR(__xludf.DUMMYFUNCTION("""COMPUTED_VALUE"""),"EIGXN")</f>
        <v>EIGXN</v>
      </c>
      <c r="F453" s="1">
        <f>IFERROR(__xludf.DUMMYFUNCTION("""COMPUTED_VALUE"""),370.0)</f>
        <v>370</v>
      </c>
      <c r="G453" s="7">
        <f>IFERROR(__xludf.DUMMYFUNCTION("""COMPUTED_VALUE"""),0.7423611111111111)</f>
        <v>0.7423611111</v>
      </c>
      <c r="H453" s="1">
        <f>IFERROR(__xludf.DUMMYFUNCTION("""COMPUTED_VALUE"""),10.0)</f>
        <v>10</v>
      </c>
      <c r="I453" s="7">
        <f>IFERROR(__xludf.DUMMYFUNCTION("""COMPUTED_VALUE"""),0.8125)</f>
        <v>0.8125</v>
      </c>
      <c r="J453" s="1" t="str">
        <f>IFERROR(__xludf.DUMMYFUNCTION("""COMPUTED_VALUE"""),"D")</f>
        <v>D</v>
      </c>
      <c r="K453" s="1">
        <f>IFERROR(__xludf.DUMMYFUNCTION("""COMPUTED_VALUE"""),184.0)</f>
        <v>184</v>
      </c>
      <c r="L453" s="7">
        <f>IFERROR(__xludf.DUMMYFUNCTION("""COMPUTED_VALUE"""),0.07013888888888886)</f>
        <v>0.07013888889</v>
      </c>
      <c r="M453" s="7">
        <f>IFERROR(__xludf.DUMMYFUNCTION("""COMPUTED_VALUE"""),0.05048611111111108)</f>
        <v>0.05048611111</v>
      </c>
      <c r="O453" s="9">
        <f>IFERROR(__xludf.DUMMYFUNCTION("""COMPUTED_VALUE"""),1005.6833333333328)</f>
        <v>1005.683333</v>
      </c>
      <c r="P453" s="1" t="str">
        <f>IFERROR(__xludf.DUMMYFUNCTION("""COMPUTED_VALUE"""),"RYR")</f>
        <v>RYR</v>
      </c>
      <c r="Q453" s="1" t="str">
        <f>IFERROR(__xludf.DUMMYFUNCTION("""COMPUTED_VALUE"""),"ECAC")</f>
        <v>ECAC</v>
      </c>
    </row>
    <row r="454">
      <c r="A454" s="1" t="str">
        <f>IFERROR(__xludf.DUMMYFUNCTION("""COMPUTED_VALUE"""),"WMT773")</f>
        <v>WMT773</v>
      </c>
      <c r="B454" s="1" t="str">
        <f>IFERROR(__xludf.DUMMYFUNCTION("""COMPUTED_VALUE"""),"A21N")</f>
        <v>A21N</v>
      </c>
      <c r="C454" s="1" t="str">
        <f>IFERROR(__xludf.DUMMYFUNCTION("""COMPUTED_VALUE"""),"LATI")</f>
        <v>LATI</v>
      </c>
      <c r="D454" s="1" t="str">
        <f>IFERROR(__xludf.DUMMYFUNCTION("""COMPUTED_VALUE"""),"LEBL")</f>
        <v>LEBL</v>
      </c>
      <c r="E454" s="1" t="str">
        <f>IFERROR(__xludf.DUMMYFUNCTION("""COMPUTED_VALUE"""),"9HWDR")</f>
        <v>9HWDR</v>
      </c>
      <c r="F454" s="1">
        <f>IFERROR(__xludf.DUMMYFUNCTION("""COMPUTED_VALUE"""),360.0)</f>
        <v>360</v>
      </c>
      <c r="G454" s="7">
        <f>IFERROR(__xludf.DUMMYFUNCTION("""COMPUTED_VALUE"""),0.7354166666666667)</f>
        <v>0.7354166667</v>
      </c>
      <c r="H454" s="1">
        <f>IFERROR(__xludf.DUMMYFUNCTION("""COMPUTED_VALUE"""),14.0)</f>
        <v>14</v>
      </c>
      <c r="I454" s="7">
        <f>IFERROR(__xludf.DUMMYFUNCTION("""COMPUTED_VALUE"""),0.8159722222222222)</f>
        <v>0.8159722222</v>
      </c>
      <c r="J454" s="1" t="str">
        <f>IFERROR(__xludf.DUMMYFUNCTION("""COMPUTED_VALUE"""),"D")</f>
        <v>D</v>
      </c>
      <c r="K454" s="1">
        <f>IFERROR(__xludf.DUMMYFUNCTION("""COMPUTED_VALUE"""),200.0)</f>
        <v>200</v>
      </c>
      <c r="L454" s="7">
        <f>IFERROR(__xludf.DUMMYFUNCTION("""COMPUTED_VALUE"""),0.08055555555555549)</f>
        <v>0.08055555556</v>
      </c>
      <c r="M454" s="7">
        <f>IFERROR(__xludf.DUMMYFUNCTION("""COMPUTED_VALUE"""),0.058124999999999934)</f>
        <v>0.058125</v>
      </c>
      <c r="O454" s="9">
        <f>IFERROR(__xludf.DUMMYFUNCTION("""COMPUTED_VALUE"""),1157.8499999999988)</f>
        <v>1157.85</v>
      </c>
      <c r="P454" s="1" t="str">
        <f>IFERROR(__xludf.DUMMYFUNCTION("""COMPUTED_VALUE"""),"WMT")</f>
        <v>WMT</v>
      </c>
      <c r="Q454" s="1" t="str">
        <f>IFERROR(__xludf.DUMMYFUNCTION("""COMPUTED_VALUE"""),"ECAC")</f>
        <v>ECAC</v>
      </c>
    </row>
    <row r="455">
      <c r="A455" s="1" t="str">
        <f>IFERROR(__xludf.DUMMYFUNCTION("""COMPUTED_VALUE"""),"LBT608")</f>
        <v>LBT608</v>
      </c>
      <c r="B455" s="1" t="str">
        <f>IFERROR(__xludf.DUMMYFUNCTION("""COMPUTED_VALUE"""),"A320")</f>
        <v>A320</v>
      </c>
      <c r="C455" s="1" t="str">
        <f>IFERROR(__xludf.DUMMYFUNCTION("""COMPUTED_VALUE"""),"DTTA")</f>
        <v>DTTA</v>
      </c>
      <c r="D455" s="1" t="str">
        <f>IFERROR(__xludf.DUMMYFUNCTION("""COMPUTED_VALUE"""),"LEBL")</f>
        <v>LEBL</v>
      </c>
      <c r="E455" s="1" t="str">
        <f>IFERROR(__xludf.DUMMYFUNCTION("""COMPUTED_VALUE"""),"TSINU")</f>
        <v>TSINU</v>
      </c>
      <c r="F455" s="1">
        <f>IFERROR(__xludf.DUMMYFUNCTION("""COMPUTED_VALUE"""),360.0)</f>
        <v>360</v>
      </c>
      <c r="G455" s="7">
        <f>IFERROR(__xludf.DUMMYFUNCTION("""COMPUTED_VALUE"""),0.7604166666666666)</f>
        <v>0.7604166667</v>
      </c>
      <c r="H455" s="1">
        <f>IFERROR(__xludf.DUMMYFUNCTION("""COMPUTED_VALUE"""),10.0)</f>
        <v>10</v>
      </c>
      <c r="I455" s="7">
        <f>IFERROR(__xludf.DUMMYFUNCTION("""COMPUTED_VALUE"""),0.8159722222222222)</f>
        <v>0.8159722222</v>
      </c>
      <c r="J455" s="1" t="str">
        <f>IFERROR(__xludf.DUMMYFUNCTION("""COMPUTED_VALUE"""),"D")</f>
        <v>D</v>
      </c>
      <c r="K455" s="1">
        <f>IFERROR(__xludf.DUMMYFUNCTION("""COMPUTED_VALUE"""),173.0)</f>
        <v>173</v>
      </c>
      <c r="L455" s="7">
        <f>IFERROR(__xludf.DUMMYFUNCTION("""COMPUTED_VALUE"""),0.05555555555555558)</f>
        <v>0.05555555556</v>
      </c>
      <c r="M455" s="7">
        <f>IFERROR(__xludf.DUMMYFUNCTION("""COMPUTED_VALUE"""),0.0359027777777778)</f>
        <v>0.03590277778</v>
      </c>
      <c r="O455" s="9">
        <f>IFERROR(__xludf.DUMMYFUNCTION("""COMPUTED_VALUE"""),715.1833333333337)</f>
        <v>715.1833333</v>
      </c>
      <c r="P455" s="1" t="str">
        <f>IFERROR(__xludf.DUMMYFUNCTION("""COMPUTED_VALUE"""),"LBT")</f>
        <v>LBT</v>
      </c>
      <c r="Q455" s="1" t="str">
        <f>IFERROR(__xludf.DUMMYFUNCTION("""COMPUTED_VALUE"""),"NO ECAC")</f>
        <v>NO ECAC</v>
      </c>
    </row>
    <row r="456">
      <c r="A456" s="1" t="str">
        <f>IFERROR(__xludf.DUMMYFUNCTION("""COMPUTED_VALUE"""),"EZY97KW")</f>
        <v>EZY97KW</v>
      </c>
      <c r="B456" s="1" t="str">
        <f>IFERROR(__xludf.DUMMYFUNCTION("""COMPUTED_VALUE"""),"A320")</f>
        <v>A320</v>
      </c>
      <c r="C456" s="1" t="str">
        <f>IFERROR(__xludf.DUMMYFUNCTION("""COMPUTED_VALUE"""),"EGCC")</f>
        <v>EGCC</v>
      </c>
      <c r="D456" s="1" t="str">
        <f>IFERROR(__xludf.DUMMYFUNCTION("""COMPUTED_VALUE"""),"LEBL")</f>
        <v>LEBL</v>
      </c>
      <c r="E456" s="1" t="str">
        <f>IFERROR(__xludf.DUMMYFUNCTION("""COMPUTED_VALUE"""),"GEZUZ")</f>
        <v>GEZUZ</v>
      </c>
      <c r="F456" s="1">
        <f>IFERROR(__xludf.DUMMYFUNCTION("""COMPUTED_VALUE"""),390.0)</f>
        <v>390</v>
      </c>
      <c r="G456" s="7">
        <f>IFERROR(__xludf.DUMMYFUNCTION("""COMPUTED_VALUE"""),0.7430555555555556)</f>
        <v>0.7430555556</v>
      </c>
      <c r="H456" s="1">
        <f>IFERROR(__xludf.DUMMYFUNCTION("""COMPUTED_VALUE"""),14.0)</f>
        <v>14</v>
      </c>
      <c r="I456" s="7">
        <f>IFERROR(__xludf.DUMMYFUNCTION("""COMPUTED_VALUE"""),0.8194444444444444)</f>
        <v>0.8194444444</v>
      </c>
      <c r="J456" s="1" t="str">
        <f>IFERROR(__xludf.DUMMYFUNCTION("""COMPUTED_VALUE"""),"D")</f>
        <v>D</v>
      </c>
      <c r="K456" s="1">
        <f>IFERROR(__xludf.DUMMYFUNCTION("""COMPUTED_VALUE"""),173.0)</f>
        <v>173</v>
      </c>
      <c r="L456" s="7">
        <f>IFERROR(__xludf.DUMMYFUNCTION("""COMPUTED_VALUE"""),0.07638888888888884)</f>
        <v>0.07638888889</v>
      </c>
      <c r="M456" s="7">
        <f>IFERROR(__xludf.DUMMYFUNCTION("""COMPUTED_VALUE"""),0.05395833333333328)</f>
        <v>0.05395833333</v>
      </c>
      <c r="O456" s="9">
        <f>IFERROR(__xludf.DUMMYFUNCTION("""COMPUTED_VALUE"""),1074.849999999999)</f>
        <v>1074.85</v>
      </c>
      <c r="P456" s="1" t="str">
        <f>IFERROR(__xludf.DUMMYFUNCTION("""COMPUTED_VALUE"""),"EZY")</f>
        <v>EZY</v>
      </c>
      <c r="Q456" s="1" t="str">
        <f>IFERROR(__xludf.DUMMYFUNCTION("""COMPUTED_VALUE"""),"ECAC")</f>
        <v>ECAC</v>
      </c>
    </row>
    <row r="457">
      <c r="A457" s="1" t="str">
        <f>IFERROR(__xludf.DUMMYFUNCTION("""COMPUTED_VALUE"""),"VLG9CP")</f>
        <v>VLG9CP</v>
      </c>
      <c r="B457" s="1" t="str">
        <f>IFERROR(__xludf.DUMMYFUNCTION("""COMPUTED_VALUE"""),"A20N")</f>
        <v>A20N</v>
      </c>
      <c r="C457" s="1" t="str">
        <f>IFERROR(__xludf.DUMMYFUNCTION("""COMPUTED_VALUE"""),"LEAL")</f>
        <v>LEAL</v>
      </c>
      <c r="D457" s="1" t="str">
        <f>IFERROR(__xludf.DUMMYFUNCTION("""COMPUTED_VALUE"""),"LEBL")</f>
        <v>LEBL</v>
      </c>
      <c r="E457" s="1" t="str">
        <f>IFERROR(__xludf.DUMMYFUNCTION("""COMPUTED_VALUE"""),"ECNDB")</f>
        <v>ECNDB</v>
      </c>
      <c r="F457" s="1">
        <f>IFERROR(__xludf.DUMMYFUNCTION("""COMPUTED_VALUE"""),300.0)</f>
        <v>300</v>
      </c>
      <c r="G457" s="7">
        <f>IFERROR(__xludf.DUMMYFUNCTION("""COMPUTED_VALUE"""),0.7826388888888889)</f>
        <v>0.7826388889</v>
      </c>
      <c r="H457" s="1">
        <f>IFERROR(__xludf.DUMMYFUNCTION("""COMPUTED_VALUE"""),9.0)</f>
        <v>9</v>
      </c>
      <c r="I457" s="7">
        <f>IFERROR(__xludf.DUMMYFUNCTION("""COMPUTED_VALUE"""),0.8194444444444444)</f>
        <v>0.8194444444</v>
      </c>
      <c r="J457" s="1" t="str">
        <f>IFERROR(__xludf.DUMMYFUNCTION("""COMPUTED_VALUE"""),"D")</f>
        <v>D</v>
      </c>
      <c r="K457" s="1">
        <f>IFERROR(__xludf.DUMMYFUNCTION("""COMPUTED_VALUE"""),180.0)</f>
        <v>180</v>
      </c>
      <c r="L457" s="7">
        <f>IFERROR(__xludf.DUMMYFUNCTION("""COMPUTED_VALUE"""),0.036805555555555536)</f>
        <v>0.03680555556</v>
      </c>
      <c r="M457" s="7">
        <f>IFERROR(__xludf.DUMMYFUNCTION("""COMPUTED_VALUE"""),0.017847222222222202)</f>
        <v>0.01784722222</v>
      </c>
      <c r="O457" s="9">
        <f>IFERROR(__xludf.DUMMYFUNCTION("""COMPUTED_VALUE"""),355.51666666666625)</f>
        <v>355.5166667</v>
      </c>
      <c r="P457" s="1" t="str">
        <f>IFERROR(__xludf.DUMMYFUNCTION("""COMPUTED_VALUE"""),"VLG")</f>
        <v>VLG</v>
      </c>
      <c r="Q457" s="1" t="str">
        <f>IFERROR(__xludf.DUMMYFUNCTION("""COMPUTED_VALUE"""),"ECAC")</f>
        <v>ECAC</v>
      </c>
    </row>
    <row r="458">
      <c r="A458" s="1" t="str">
        <f>IFERROR(__xludf.DUMMYFUNCTION("""COMPUTED_VALUE"""),"VLG67DR")</f>
        <v>VLG67DR</v>
      </c>
      <c r="B458" s="1" t="str">
        <f>IFERROR(__xludf.DUMMYFUNCTION("""COMPUTED_VALUE"""),"A320")</f>
        <v>A320</v>
      </c>
      <c r="C458" s="1" t="str">
        <f>IFERROR(__xludf.DUMMYFUNCTION("""COMPUTED_VALUE"""),"EGKK")</f>
        <v>EGKK</v>
      </c>
      <c r="D458" s="1" t="str">
        <f>IFERROR(__xludf.DUMMYFUNCTION("""COMPUTED_VALUE"""),"LEBL")</f>
        <v>LEBL</v>
      </c>
      <c r="E458" s="1" t="str">
        <f>IFERROR(__xludf.DUMMYFUNCTION("""COMPUTED_VALUE"""),"ECMAN")</f>
        <v>ECMAN</v>
      </c>
      <c r="F458" s="1">
        <f>IFERROR(__xludf.DUMMYFUNCTION("""COMPUTED_VALUE"""),390.0)</f>
        <v>390</v>
      </c>
      <c r="G458" s="7">
        <f>IFERROR(__xludf.DUMMYFUNCTION("""COMPUTED_VALUE"""),0.7555555555555555)</f>
        <v>0.7555555556</v>
      </c>
      <c r="H458" s="1">
        <f>IFERROR(__xludf.DUMMYFUNCTION("""COMPUTED_VALUE"""),14.0)</f>
        <v>14</v>
      </c>
      <c r="I458" s="7">
        <f>IFERROR(__xludf.DUMMYFUNCTION("""COMPUTED_VALUE"""),0.8194444444444444)</f>
        <v>0.8194444444</v>
      </c>
      <c r="J458" s="1" t="str">
        <f>IFERROR(__xludf.DUMMYFUNCTION("""COMPUTED_VALUE"""),"D")</f>
        <v>D</v>
      </c>
      <c r="K458" s="1">
        <f>IFERROR(__xludf.DUMMYFUNCTION("""COMPUTED_VALUE"""),173.0)</f>
        <v>173</v>
      </c>
      <c r="L458" s="7">
        <f>IFERROR(__xludf.DUMMYFUNCTION("""COMPUTED_VALUE"""),0.06388888888888888)</f>
        <v>0.06388888889</v>
      </c>
      <c r="M458" s="7">
        <f>IFERROR(__xludf.DUMMYFUNCTION("""COMPUTED_VALUE"""),0.041458333333333326)</f>
        <v>0.04145833333</v>
      </c>
      <c r="O458" s="9">
        <f>IFERROR(__xludf.DUMMYFUNCTION("""COMPUTED_VALUE"""),825.8499999999999)</f>
        <v>825.85</v>
      </c>
      <c r="P458" s="1" t="str">
        <f>IFERROR(__xludf.DUMMYFUNCTION("""COMPUTED_VALUE"""),"VLG")</f>
        <v>VLG</v>
      </c>
      <c r="Q458" s="1" t="str">
        <f>IFERROR(__xludf.DUMMYFUNCTION("""COMPUTED_VALUE"""),"ECAC")</f>
        <v>ECAC</v>
      </c>
    </row>
    <row r="459">
      <c r="A459" s="1" t="str">
        <f>IFERROR(__xludf.DUMMYFUNCTION("""COMPUTED_VALUE"""),"VLG91ZA")</f>
        <v>VLG91ZA</v>
      </c>
      <c r="B459" s="1" t="str">
        <f>IFERROR(__xludf.DUMMYFUNCTION("""COMPUTED_VALUE"""),"A320")</f>
        <v>A320</v>
      </c>
      <c r="C459" s="1" t="str">
        <f>IFERROR(__xludf.DUMMYFUNCTION("""COMPUTED_VALUE"""),"LIRF")</f>
        <v>LIRF</v>
      </c>
      <c r="D459" s="1" t="str">
        <f>IFERROR(__xludf.DUMMYFUNCTION("""COMPUTED_VALUE"""),"LEBL")</f>
        <v>LEBL</v>
      </c>
      <c r="E459" s="1" t="str">
        <f>IFERROR(__xludf.DUMMYFUNCTION("""COMPUTED_VALUE"""),"ECMGE")</f>
        <v>ECMGE</v>
      </c>
      <c r="F459" s="1">
        <f>IFERROR(__xludf.DUMMYFUNCTION("""COMPUTED_VALUE"""),350.0)</f>
        <v>350</v>
      </c>
      <c r="G459" s="7">
        <f>IFERROR(__xludf.DUMMYFUNCTION("""COMPUTED_VALUE"""),0.7722222222222223)</f>
        <v>0.7722222222</v>
      </c>
      <c r="H459" s="1">
        <f>IFERROR(__xludf.DUMMYFUNCTION("""COMPUTED_VALUE"""),16.0)</f>
        <v>16</v>
      </c>
      <c r="I459" s="7">
        <f>IFERROR(__xludf.DUMMYFUNCTION("""COMPUTED_VALUE"""),0.8229166666666666)</f>
        <v>0.8229166667</v>
      </c>
      <c r="J459" s="1" t="str">
        <f>IFERROR(__xludf.DUMMYFUNCTION("""COMPUTED_VALUE"""),"D")</f>
        <v>D</v>
      </c>
      <c r="K459" s="1">
        <f>IFERROR(__xludf.DUMMYFUNCTION("""COMPUTED_VALUE"""),173.0)</f>
        <v>173</v>
      </c>
      <c r="L459" s="7">
        <f>IFERROR(__xludf.DUMMYFUNCTION("""COMPUTED_VALUE"""),0.050694444444444375)</f>
        <v>0.05069444444</v>
      </c>
      <c r="M459" s="7">
        <f>IFERROR(__xludf.DUMMYFUNCTION("""COMPUTED_VALUE"""),0.026874999999999927)</f>
        <v>0.026875</v>
      </c>
      <c r="O459" s="9">
        <f>IFERROR(__xludf.DUMMYFUNCTION("""COMPUTED_VALUE"""),535.3499999999985)</f>
        <v>535.35</v>
      </c>
      <c r="P459" s="1" t="str">
        <f>IFERROR(__xludf.DUMMYFUNCTION("""COMPUTED_VALUE"""),"VLG")</f>
        <v>VLG</v>
      </c>
      <c r="Q459" s="1" t="str">
        <f>IFERROR(__xludf.DUMMYFUNCTION("""COMPUTED_VALUE"""),"ECAC")</f>
        <v>ECAC</v>
      </c>
    </row>
    <row r="460">
      <c r="A460" s="1" t="str">
        <f>IFERROR(__xludf.DUMMYFUNCTION("""COMPUTED_VALUE"""),"VLG2NC")</f>
        <v>VLG2NC</v>
      </c>
      <c r="B460" s="1" t="str">
        <f>IFERROR(__xludf.DUMMYFUNCTION("""COMPUTED_VALUE"""),"A20N")</f>
        <v>A20N</v>
      </c>
      <c r="C460" s="1" t="str">
        <f>IFERROR(__xludf.DUMMYFUNCTION("""COMPUTED_VALUE"""),"LEMG")</f>
        <v>LEMG</v>
      </c>
      <c r="D460" s="1" t="str">
        <f>IFERROR(__xludf.DUMMYFUNCTION("""COMPUTED_VALUE"""),"LEBL")</f>
        <v>LEBL</v>
      </c>
      <c r="E460" s="1" t="str">
        <f>IFERROR(__xludf.DUMMYFUNCTION("""COMPUTED_VALUE"""),"ECNCF")</f>
        <v>ECNCF</v>
      </c>
      <c r="F460" s="1">
        <f>IFERROR(__xludf.DUMMYFUNCTION("""COMPUTED_VALUE"""),380.0)</f>
        <v>380</v>
      </c>
      <c r="G460" s="7">
        <f>IFERROR(__xludf.DUMMYFUNCTION("""COMPUTED_VALUE"""),0.775)</f>
        <v>0.775</v>
      </c>
      <c r="H460" s="1">
        <f>IFERROR(__xludf.DUMMYFUNCTION("""COMPUTED_VALUE"""),11.0)</f>
        <v>11</v>
      </c>
      <c r="I460" s="7">
        <f>IFERROR(__xludf.DUMMYFUNCTION("""COMPUTED_VALUE"""),0.8263888888888888)</f>
        <v>0.8263888889</v>
      </c>
      <c r="J460" s="1" t="str">
        <f>IFERROR(__xludf.DUMMYFUNCTION("""COMPUTED_VALUE"""),"D")</f>
        <v>D</v>
      </c>
      <c r="K460" s="1">
        <f>IFERROR(__xludf.DUMMYFUNCTION("""COMPUTED_VALUE"""),180.0)</f>
        <v>180</v>
      </c>
      <c r="L460" s="7">
        <f>IFERROR(__xludf.DUMMYFUNCTION("""COMPUTED_VALUE"""),0.05138888888888882)</f>
        <v>0.05138888889</v>
      </c>
      <c r="M460" s="7">
        <f>IFERROR(__xludf.DUMMYFUNCTION("""COMPUTED_VALUE"""),0.031041666666666592)</f>
        <v>0.03104166667</v>
      </c>
      <c r="O460" s="9">
        <f>IFERROR(__xludf.DUMMYFUNCTION("""COMPUTED_VALUE"""),618.3499999999985)</f>
        <v>618.35</v>
      </c>
      <c r="P460" s="1" t="str">
        <f>IFERROR(__xludf.DUMMYFUNCTION("""COMPUTED_VALUE"""),"VLG")</f>
        <v>VLG</v>
      </c>
      <c r="Q460" s="1" t="str">
        <f>IFERROR(__xludf.DUMMYFUNCTION("""COMPUTED_VALUE"""),"ECAC")</f>
        <v>ECAC</v>
      </c>
    </row>
    <row r="461">
      <c r="A461" s="1" t="str">
        <f>IFERROR(__xludf.DUMMYFUNCTION("""COMPUTED_VALUE"""),"VLG66ED")</f>
        <v>VLG66ED</v>
      </c>
      <c r="B461" s="1" t="str">
        <f>IFERROR(__xludf.DUMMYFUNCTION("""COMPUTED_VALUE"""),"A320")</f>
        <v>A320</v>
      </c>
      <c r="C461" s="1" t="str">
        <f>IFERROR(__xludf.DUMMYFUNCTION("""COMPUTED_VALUE"""),"EHAM")</f>
        <v>EHAM</v>
      </c>
      <c r="D461" s="1" t="str">
        <f>IFERROR(__xludf.DUMMYFUNCTION("""COMPUTED_VALUE"""),"LEBL")</f>
        <v>LEBL</v>
      </c>
      <c r="E461" s="1" t="str">
        <f>IFERROR(__xludf.DUMMYFUNCTION("""COMPUTED_VALUE"""),"ECMVO")</f>
        <v>ECMVO</v>
      </c>
      <c r="F461" s="1">
        <f>IFERROR(__xludf.DUMMYFUNCTION("""COMPUTED_VALUE"""),390.0)</f>
        <v>390</v>
      </c>
      <c r="G461" s="7">
        <f>IFERROR(__xludf.DUMMYFUNCTION("""COMPUTED_VALUE"""),0.7618055555555555)</f>
        <v>0.7618055556</v>
      </c>
      <c r="H461" s="1">
        <f>IFERROR(__xludf.DUMMYFUNCTION("""COMPUTED_VALUE"""),17.0)</f>
        <v>17</v>
      </c>
      <c r="I461" s="7">
        <f>IFERROR(__xludf.DUMMYFUNCTION("""COMPUTED_VALUE"""),0.8298611111111112)</f>
        <v>0.8298611111</v>
      </c>
      <c r="J461" s="1" t="str">
        <f>IFERROR(__xludf.DUMMYFUNCTION("""COMPUTED_VALUE"""),"D")</f>
        <v>D</v>
      </c>
      <c r="K461" s="1">
        <f>IFERROR(__xludf.DUMMYFUNCTION("""COMPUTED_VALUE"""),173.0)</f>
        <v>173</v>
      </c>
      <c r="L461" s="7">
        <f>IFERROR(__xludf.DUMMYFUNCTION("""COMPUTED_VALUE"""),0.06805555555555565)</f>
        <v>0.06805555556</v>
      </c>
      <c r="M461" s="7">
        <f>IFERROR(__xludf.DUMMYFUNCTION("""COMPUTED_VALUE"""),0.043541666666666756)</f>
        <v>0.04354166667</v>
      </c>
      <c r="O461" s="9">
        <f>IFERROR(__xludf.DUMMYFUNCTION("""COMPUTED_VALUE"""),867.3500000000017)</f>
        <v>867.35</v>
      </c>
      <c r="P461" s="1" t="str">
        <f>IFERROR(__xludf.DUMMYFUNCTION("""COMPUTED_VALUE"""),"VLG")</f>
        <v>VLG</v>
      </c>
      <c r="Q461" s="1" t="str">
        <f>IFERROR(__xludf.DUMMYFUNCTION("""COMPUTED_VALUE"""),"ECAC")</f>
        <v>ECAC</v>
      </c>
    </row>
    <row r="462">
      <c r="A462" s="1" t="str">
        <f>IFERROR(__xludf.DUMMYFUNCTION("""COMPUTED_VALUE"""),"DAH2018")</f>
        <v>DAH2018</v>
      </c>
      <c r="B462" s="1" t="str">
        <f>IFERROR(__xludf.DUMMYFUNCTION("""COMPUTED_VALUE"""),"B738")</f>
        <v>B738</v>
      </c>
      <c r="C462" s="1" t="str">
        <f>IFERROR(__xludf.DUMMYFUNCTION("""COMPUTED_VALUE"""),"DAOO")</f>
        <v>DAOO</v>
      </c>
      <c r="D462" s="1" t="str">
        <f>IFERROR(__xludf.DUMMYFUNCTION("""COMPUTED_VALUE"""),"LEBL")</f>
        <v>LEBL</v>
      </c>
      <c r="E462" s="1" t="str">
        <f>IFERROR(__xludf.DUMMYFUNCTION("""COMPUTED_VALUE"""),"7TVJK")</f>
        <v>7TVJK</v>
      </c>
      <c r="F462" s="1">
        <f>IFERROR(__xludf.DUMMYFUNCTION("""COMPUTED_VALUE"""),280.0)</f>
        <v>280</v>
      </c>
      <c r="G462" s="7">
        <f>IFERROR(__xludf.DUMMYFUNCTION("""COMPUTED_VALUE"""),0.7868055555555555)</f>
        <v>0.7868055556</v>
      </c>
      <c r="H462" s="1">
        <f>IFERROR(__xludf.DUMMYFUNCTION("""COMPUTED_VALUE"""),8.0)</f>
        <v>8</v>
      </c>
      <c r="I462" s="7">
        <f>IFERROR(__xludf.DUMMYFUNCTION("""COMPUTED_VALUE"""),0.8333333333333334)</f>
        <v>0.8333333333</v>
      </c>
      <c r="J462" s="1" t="str">
        <f>IFERROR(__xludf.DUMMYFUNCTION("""COMPUTED_VALUE"""),"D")</f>
        <v>D</v>
      </c>
      <c r="K462" s="1">
        <f>IFERROR(__xludf.DUMMYFUNCTION("""COMPUTED_VALUE"""),184.0)</f>
        <v>184</v>
      </c>
      <c r="L462" s="7">
        <f>IFERROR(__xludf.DUMMYFUNCTION("""COMPUTED_VALUE"""),0.046527777777777835)</f>
        <v>0.04652777778</v>
      </c>
      <c r="M462" s="7">
        <f>IFERROR(__xludf.DUMMYFUNCTION("""COMPUTED_VALUE"""),0.028263888888888943)</f>
        <v>0.02826388889</v>
      </c>
      <c r="O462" s="9">
        <f>IFERROR(__xludf.DUMMYFUNCTION("""COMPUTED_VALUE"""),563.0166666666677)</f>
        <v>563.0166667</v>
      </c>
      <c r="P462" s="1" t="str">
        <f>IFERROR(__xludf.DUMMYFUNCTION("""COMPUTED_VALUE"""),"DAH")</f>
        <v>DAH</v>
      </c>
      <c r="Q462" s="1" t="str">
        <f>IFERROR(__xludf.DUMMYFUNCTION("""COMPUTED_VALUE"""),"NO ECAC")</f>
        <v>NO ECAC</v>
      </c>
    </row>
    <row r="463">
      <c r="A463" s="1" t="str">
        <f>IFERROR(__xludf.DUMMYFUNCTION("""COMPUTED_VALUE"""),"EZY41GN")</f>
        <v>EZY41GN</v>
      </c>
      <c r="B463" s="1" t="str">
        <f>IFERROR(__xludf.DUMMYFUNCTION("""COMPUTED_VALUE"""),"A320")</f>
        <v>A320</v>
      </c>
      <c r="C463" s="1" t="str">
        <f>IFERROR(__xludf.DUMMYFUNCTION("""COMPUTED_VALUE"""),"EGGD")</f>
        <v>EGGD</v>
      </c>
      <c r="D463" s="1" t="str">
        <f>IFERROR(__xludf.DUMMYFUNCTION("""COMPUTED_VALUE"""),"LEBL")</f>
        <v>LEBL</v>
      </c>
      <c r="E463" s="1" t="str">
        <f>IFERROR(__xludf.DUMMYFUNCTION("""COMPUTED_VALUE"""),"GEZPB")</f>
        <v>GEZPB</v>
      </c>
      <c r="F463" s="1">
        <f>IFERROR(__xludf.DUMMYFUNCTION("""COMPUTED_VALUE"""),390.0)</f>
        <v>390</v>
      </c>
      <c r="G463" s="7">
        <f>IFERROR(__xludf.DUMMYFUNCTION("""COMPUTED_VALUE"""),0.7597222222222222)</f>
        <v>0.7597222222</v>
      </c>
      <c r="H463" s="1">
        <f>IFERROR(__xludf.DUMMYFUNCTION("""COMPUTED_VALUE"""),9.0)</f>
        <v>9</v>
      </c>
      <c r="I463" s="7">
        <f>IFERROR(__xludf.DUMMYFUNCTION("""COMPUTED_VALUE"""),0.8333333333333334)</f>
        <v>0.8333333333</v>
      </c>
      <c r="J463" s="1" t="str">
        <f>IFERROR(__xludf.DUMMYFUNCTION("""COMPUTED_VALUE"""),"D")</f>
        <v>D</v>
      </c>
      <c r="K463" s="1">
        <f>IFERROR(__xludf.DUMMYFUNCTION("""COMPUTED_VALUE"""),173.0)</f>
        <v>173</v>
      </c>
      <c r="L463" s="7">
        <f>IFERROR(__xludf.DUMMYFUNCTION("""COMPUTED_VALUE"""),0.07361111111111118)</f>
        <v>0.07361111111</v>
      </c>
      <c r="M463" s="7">
        <f>IFERROR(__xludf.DUMMYFUNCTION("""COMPUTED_VALUE"""),0.05465277777777785)</f>
        <v>0.05465277778</v>
      </c>
      <c r="O463" s="9">
        <f>IFERROR(__xludf.DUMMYFUNCTION("""COMPUTED_VALUE"""),1088.6833333333348)</f>
        <v>1088.683333</v>
      </c>
      <c r="P463" s="1" t="str">
        <f>IFERROR(__xludf.DUMMYFUNCTION("""COMPUTED_VALUE"""),"EZY")</f>
        <v>EZY</v>
      </c>
      <c r="Q463" s="1" t="str">
        <f>IFERROR(__xludf.DUMMYFUNCTION("""COMPUTED_VALUE"""),"ECAC")</f>
        <v>ECAC</v>
      </c>
    </row>
    <row r="464">
      <c r="A464" s="1" t="str">
        <f>IFERROR(__xludf.DUMMYFUNCTION("""COMPUTED_VALUE"""),"ELY391")</f>
        <v>ELY391</v>
      </c>
      <c r="B464" s="1" t="str">
        <f>IFERROR(__xludf.DUMMYFUNCTION("""COMPUTED_VALUE"""),"B738")</f>
        <v>B738</v>
      </c>
      <c r="C464" s="1" t="str">
        <f>IFERROR(__xludf.DUMMYFUNCTION("""COMPUTED_VALUE"""),"LLBG")</f>
        <v>LLBG</v>
      </c>
      <c r="D464" s="1" t="str">
        <f>IFERROR(__xludf.DUMMYFUNCTION("""COMPUTED_VALUE"""),"LEBL")</f>
        <v>LEBL</v>
      </c>
      <c r="E464" s="1" t="str">
        <f>IFERROR(__xludf.DUMMYFUNCTION("""COMPUTED_VALUE"""),"4XEKF")</f>
        <v>4XEKF</v>
      </c>
      <c r="F464" s="1">
        <f>IFERROR(__xludf.DUMMYFUNCTION("""COMPUTED_VALUE"""),380.0)</f>
        <v>380</v>
      </c>
      <c r="G464" s="7">
        <f>IFERROR(__xludf.DUMMYFUNCTION("""COMPUTED_VALUE"""),0.6597222222222222)</f>
        <v>0.6597222222</v>
      </c>
      <c r="H464" s="1">
        <f>IFERROR(__xludf.DUMMYFUNCTION("""COMPUTED_VALUE"""),15.0)</f>
        <v>15</v>
      </c>
      <c r="I464" s="7">
        <f>IFERROR(__xludf.DUMMYFUNCTION("""COMPUTED_VALUE"""),0.8333333333333334)</f>
        <v>0.8333333333</v>
      </c>
      <c r="J464" s="1" t="str">
        <f>IFERROR(__xludf.DUMMYFUNCTION("""COMPUTED_VALUE"""),"D")</f>
        <v>D</v>
      </c>
      <c r="K464" s="1">
        <f>IFERROR(__xludf.DUMMYFUNCTION("""COMPUTED_VALUE"""),184.0)</f>
        <v>184</v>
      </c>
      <c r="L464" s="7">
        <f>IFERROR(__xludf.DUMMYFUNCTION("""COMPUTED_VALUE"""),0.17361111111111116)</f>
        <v>0.1736111111</v>
      </c>
      <c r="M464" s="7">
        <f>IFERROR(__xludf.DUMMYFUNCTION("""COMPUTED_VALUE"""),0.15048611111111118)</f>
        <v>0.1504861111</v>
      </c>
      <c r="O464" s="9">
        <f>IFERROR(__xludf.DUMMYFUNCTION("""COMPUTED_VALUE"""),2997.6833333333348)</f>
        <v>2997.683333</v>
      </c>
      <c r="P464" s="1" t="str">
        <f>IFERROR(__xludf.DUMMYFUNCTION("""COMPUTED_VALUE"""),"ELY")</f>
        <v>ELY</v>
      </c>
      <c r="Q464" s="1" t="str">
        <f>IFERROR(__xludf.DUMMYFUNCTION("""COMPUTED_VALUE"""),"NO ECAC")</f>
        <v>NO ECAC</v>
      </c>
    </row>
    <row r="465">
      <c r="A465" s="1" t="str">
        <f>IFERROR(__xludf.DUMMYFUNCTION("""COMPUTED_VALUE"""),"WMT6YB")</f>
        <v>WMT6YB</v>
      </c>
      <c r="B465" s="1" t="str">
        <f>IFERROR(__xludf.DUMMYFUNCTION("""COMPUTED_VALUE"""),"A21N")</f>
        <v>A21N</v>
      </c>
      <c r="C465" s="1" t="str">
        <f>IFERROR(__xludf.DUMMYFUNCTION("""COMPUTED_VALUE"""),"LOWW")</f>
        <v>LOWW</v>
      </c>
      <c r="D465" s="1" t="str">
        <f>IFERROR(__xludf.DUMMYFUNCTION("""COMPUTED_VALUE"""),"LEBL")</f>
        <v>LEBL</v>
      </c>
      <c r="E465" s="1" t="str">
        <f>IFERROR(__xludf.DUMMYFUNCTION("""COMPUTED_VALUE"""),"9HWDV")</f>
        <v>9HWDV</v>
      </c>
      <c r="F465" s="1">
        <f>IFERROR(__xludf.DUMMYFUNCTION("""COMPUTED_VALUE"""),350.0)</f>
        <v>350</v>
      </c>
      <c r="G465" s="7">
        <f>IFERROR(__xludf.DUMMYFUNCTION("""COMPUTED_VALUE"""),0.7645833333333333)</f>
        <v>0.7645833333</v>
      </c>
      <c r="H465" s="1">
        <f>IFERROR(__xludf.DUMMYFUNCTION("""COMPUTED_VALUE"""),11.0)</f>
        <v>11</v>
      </c>
      <c r="I465" s="7">
        <f>IFERROR(__xludf.DUMMYFUNCTION("""COMPUTED_VALUE"""),0.8368055555555556)</f>
        <v>0.8368055556</v>
      </c>
      <c r="J465" s="1" t="str">
        <f>IFERROR(__xludf.DUMMYFUNCTION("""COMPUTED_VALUE"""),"D")</f>
        <v>D</v>
      </c>
      <c r="K465" s="1">
        <f>IFERROR(__xludf.DUMMYFUNCTION("""COMPUTED_VALUE"""),200.0)</f>
        <v>200</v>
      </c>
      <c r="L465" s="7">
        <f>IFERROR(__xludf.DUMMYFUNCTION("""COMPUTED_VALUE"""),0.0722222222222223)</f>
        <v>0.07222222222</v>
      </c>
      <c r="M465" s="7">
        <f>IFERROR(__xludf.DUMMYFUNCTION("""COMPUTED_VALUE"""),0.051875000000000074)</f>
        <v>0.051875</v>
      </c>
      <c r="O465" s="9">
        <f>IFERROR(__xludf.DUMMYFUNCTION("""COMPUTED_VALUE"""),1033.3500000000015)</f>
        <v>1033.35</v>
      </c>
      <c r="P465" s="1" t="str">
        <f>IFERROR(__xludf.DUMMYFUNCTION("""COMPUTED_VALUE"""),"WMT")</f>
        <v>WMT</v>
      </c>
      <c r="Q465" s="1" t="str">
        <f>IFERROR(__xludf.DUMMYFUNCTION("""COMPUTED_VALUE"""),"ECAC")</f>
        <v>ECAC</v>
      </c>
    </row>
    <row r="466">
      <c r="A466" s="1" t="str">
        <f>IFERROR(__xludf.DUMMYFUNCTION("""COMPUTED_VALUE"""),"ANE28LD")</f>
        <v>ANE28LD</v>
      </c>
      <c r="B466" s="1" t="str">
        <f>IFERROR(__xludf.DUMMYFUNCTION("""COMPUTED_VALUE"""),"CRJX")</f>
        <v>CRJX</v>
      </c>
      <c r="C466" s="1" t="str">
        <f>IFERROR(__xludf.DUMMYFUNCTION("""COMPUTED_VALUE"""),"LELN")</f>
        <v>LELN</v>
      </c>
      <c r="D466" s="1" t="str">
        <f>IFERROR(__xludf.DUMMYFUNCTION("""COMPUTED_VALUE"""),"LEBL")</f>
        <v>LEBL</v>
      </c>
      <c r="E466" s="1" t="str">
        <f>IFERROR(__xludf.DUMMYFUNCTION("""COMPUTED_VALUE"""),"ECLJX")</f>
        <v>ECLJX</v>
      </c>
      <c r="F466" s="1">
        <f>IFERROR(__xludf.DUMMYFUNCTION("""COMPUTED_VALUE"""),320.0)</f>
        <v>320</v>
      </c>
      <c r="G466" s="7">
        <f>IFERROR(__xludf.DUMMYFUNCTION("""COMPUTED_VALUE"""),0.8055555555555556)</f>
        <v>0.8055555556</v>
      </c>
      <c r="H466" s="1">
        <f>IFERROR(__xludf.DUMMYFUNCTION("""COMPUTED_VALUE"""),5.0)</f>
        <v>5</v>
      </c>
      <c r="I466" s="7">
        <f>IFERROR(__xludf.DUMMYFUNCTION("""COMPUTED_VALUE"""),0.8368055555555556)</f>
        <v>0.8368055556</v>
      </c>
      <c r="J466" s="1" t="str">
        <f>IFERROR(__xludf.DUMMYFUNCTION("""COMPUTED_VALUE"""),"E")</f>
        <v>E</v>
      </c>
      <c r="K466" s="1">
        <f>IFERROR(__xludf.DUMMYFUNCTION("""COMPUTED_VALUE"""),100.0)</f>
        <v>100</v>
      </c>
      <c r="L466" s="7">
        <f>IFERROR(__xludf.DUMMYFUNCTION("""COMPUTED_VALUE"""),0.03125)</f>
        <v>0.03125</v>
      </c>
      <c r="M466" s="7">
        <f>IFERROR(__xludf.DUMMYFUNCTION("""COMPUTED_VALUE"""),0.015069444444444443)</f>
        <v>0.01506944444</v>
      </c>
      <c r="O466" s="9">
        <f>IFERROR(__xludf.DUMMYFUNCTION("""COMPUTED_VALUE"""),162.75)</f>
        <v>162.75</v>
      </c>
      <c r="P466" s="1" t="str">
        <f>IFERROR(__xludf.DUMMYFUNCTION("""COMPUTED_VALUE"""),"ANE")</f>
        <v>ANE</v>
      </c>
      <c r="Q466" s="1" t="str">
        <f>IFERROR(__xludf.DUMMYFUNCTION("""COMPUTED_VALUE"""),"NO ECAC")</f>
        <v>NO ECAC</v>
      </c>
    </row>
    <row r="467">
      <c r="A467" s="1" t="str">
        <f>IFERROR(__xludf.DUMMYFUNCTION("""COMPUTED_VALUE"""),"EJU93FV")</f>
        <v>EJU93FV</v>
      </c>
      <c r="B467" s="1" t="str">
        <f>IFERROR(__xludf.DUMMYFUNCTION("""COMPUTED_VALUE"""),"A319")</f>
        <v>A319</v>
      </c>
      <c r="C467" s="1" t="str">
        <f>IFERROR(__xludf.DUMMYFUNCTION("""COMPUTED_VALUE"""),"LSGG")</f>
        <v>LSGG</v>
      </c>
      <c r="D467" s="1" t="str">
        <f>IFERROR(__xludf.DUMMYFUNCTION("""COMPUTED_VALUE"""),"LEBL")</f>
        <v>LEBL</v>
      </c>
      <c r="E467" s="1" t="str">
        <f>IFERROR(__xludf.DUMMYFUNCTION("""COMPUTED_VALUE"""),"OELKC")</f>
        <v>OELKC</v>
      </c>
      <c r="F467" s="1">
        <f>IFERROR(__xludf.DUMMYFUNCTION("""COMPUTED_VALUE"""),290.0)</f>
        <v>290</v>
      </c>
      <c r="G467" s="7">
        <f>IFERROR(__xludf.DUMMYFUNCTION("""COMPUTED_VALUE"""),0.7951388888888888)</f>
        <v>0.7951388889</v>
      </c>
      <c r="H467" s="1">
        <f>IFERROR(__xludf.DUMMYFUNCTION("""COMPUTED_VALUE"""),10.0)</f>
        <v>10</v>
      </c>
      <c r="I467" s="7">
        <f>IFERROR(__xludf.DUMMYFUNCTION("""COMPUTED_VALUE"""),0.8368055555555556)</f>
        <v>0.8368055556</v>
      </c>
      <c r="J467" s="1" t="str">
        <f>IFERROR(__xludf.DUMMYFUNCTION("""COMPUTED_VALUE"""),"D")</f>
        <v>D</v>
      </c>
      <c r="K467" s="1">
        <f>IFERROR(__xludf.DUMMYFUNCTION("""COMPUTED_VALUE"""),144.0)</f>
        <v>144</v>
      </c>
      <c r="L467" s="7">
        <f>IFERROR(__xludf.DUMMYFUNCTION("""COMPUTED_VALUE"""),0.04166666666666674)</f>
        <v>0.04166666667</v>
      </c>
      <c r="M467" s="7">
        <f>IFERROR(__xludf.DUMMYFUNCTION("""COMPUTED_VALUE"""),0.02201388888888896)</f>
        <v>0.02201388889</v>
      </c>
      <c r="O467" s="9">
        <f>IFERROR(__xludf.DUMMYFUNCTION("""COMPUTED_VALUE"""),438.51666666666813)</f>
        <v>438.5166667</v>
      </c>
      <c r="P467" s="1" t="str">
        <f>IFERROR(__xludf.DUMMYFUNCTION("""COMPUTED_VALUE"""),"EJU")</f>
        <v>EJU</v>
      </c>
      <c r="Q467" s="1" t="str">
        <f>IFERROR(__xludf.DUMMYFUNCTION("""COMPUTED_VALUE"""),"ECAC")</f>
        <v>ECAC</v>
      </c>
    </row>
    <row r="468">
      <c r="A468" s="1" t="str">
        <f>IFERROR(__xludf.DUMMYFUNCTION("""COMPUTED_VALUE"""),"TAP38KJ")</f>
        <v>TAP38KJ</v>
      </c>
      <c r="B468" s="1" t="str">
        <f>IFERROR(__xludf.DUMMYFUNCTION("""COMPUTED_VALUE"""),"A320")</f>
        <v>A320</v>
      </c>
      <c r="C468" s="1" t="str">
        <f>IFERROR(__xludf.DUMMYFUNCTION("""COMPUTED_VALUE"""),"LPPT")</f>
        <v>LPPT</v>
      </c>
      <c r="D468" s="1" t="str">
        <f>IFERROR(__xludf.DUMMYFUNCTION("""COMPUTED_VALUE"""),"LEBL")</f>
        <v>LEBL</v>
      </c>
      <c r="E468" s="1" t="str">
        <f>IFERROR(__xludf.DUMMYFUNCTION("""COMPUTED_VALUE"""),"9HGTS")</f>
        <v>9HGTS</v>
      </c>
      <c r="F468" s="1">
        <f>IFERROR(__xludf.DUMMYFUNCTION("""COMPUTED_VALUE"""),340.0)</f>
        <v>340</v>
      </c>
      <c r="G468" s="7">
        <f>IFERROR(__xludf.DUMMYFUNCTION("""COMPUTED_VALUE"""),0.7631944444444444)</f>
        <v>0.7631944444</v>
      </c>
      <c r="H468" s="1">
        <f>IFERROR(__xludf.DUMMYFUNCTION("""COMPUTED_VALUE"""),14.0)</f>
        <v>14</v>
      </c>
      <c r="I468" s="7">
        <f>IFERROR(__xludf.DUMMYFUNCTION("""COMPUTED_VALUE"""),0.8368055555555556)</f>
        <v>0.8368055556</v>
      </c>
      <c r="J468" s="1" t="str">
        <f>IFERROR(__xludf.DUMMYFUNCTION("""COMPUTED_VALUE"""),"D")</f>
        <v>D</v>
      </c>
      <c r="K468" s="1">
        <f>IFERROR(__xludf.DUMMYFUNCTION("""COMPUTED_VALUE"""),173.0)</f>
        <v>173</v>
      </c>
      <c r="L468" s="7">
        <f>IFERROR(__xludf.DUMMYFUNCTION("""COMPUTED_VALUE"""),0.07361111111111118)</f>
        <v>0.07361111111</v>
      </c>
      <c r="M468" s="7">
        <f>IFERROR(__xludf.DUMMYFUNCTION("""COMPUTED_VALUE"""),0.051180555555555625)</f>
        <v>0.05118055556</v>
      </c>
      <c r="O468" s="9">
        <f>IFERROR(__xludf.DUMMYFUNCTION("""COMPUTED_VALUE"""),1019.5166666666681)</f>
        <v>1019.516667</v>
      </c>
      <c r="P468" s="1" t="str">
        <f>IFERROR(__xludf.DUMMYFUNCTION("""COMPUTED_VALUE"""),"TAP")</f>
        <v>TAP</v>
      </c>
      <c r="Q468" s="1" t="str">
        <f>IFERROR(__xludf.DUMMYFUNCTION("""COMPUTED_VALUE"""),"ECAC")</f>
        <v>ECAC</v>
      </c>
    </row>
    <row r="469">
      <c r="A469" s="1" t="str">
        <f>IFERROR(__xludf.DUMMYFUNCTION("""COMPUTED_VALUE"""),"VLG9VT")</f>
        <v>VLG9VT</v>
      </c>
      <c r="B469" s="1" t="str">
        <f>IFERROR(__xludf.DUMMYFUNCTION("""COMPUTED_VALUE"""),"A321")</f>
        <v>A321</v>
      </c>
      <c r="C469" s="1" t="str">
        <f>IFERROR(__xludf.DUMMYFUNCTION("""COMPUTED_VALUE"""),"LEIB")</f>
        <v>LEIB</v>
      </c>
      <c r="D469" s="1" t="str">
        <f>IFERROR(__xludf.DUMMYFUNCTION("""COMPUTED_VALUE"""),"LEBL")</f>
        <v>LEBL</v>
      </c>
      <c r="E469" s="1" t="str">
        <f>IFERROR(__xludf.DUMMYFUNCTION("""COMPUTED_VALUE"""),"ECMRF")</f>
        <v>ECMRF</v>
      </c>
      <c r="F469" s="1">
        <f>IFERROR(__xludf.DUMMYFUNCTION("""COMPUTED_VALUE"""),180.0)</f>
        <v>180</v>
      </c>
      <c r="G469" s="7">
        <f>IFERROR(__xludf.DUMMYFUNCTION("""COMPUTED_VALUE"""),0.80625)</f>
        <v>0.80625</v>
      </c>
      <c r="H469" s="1">
        <f>IFERROR(__xludf.DUMMYFUNCTION("""COMPUTED_VALUE"""),10.0)</f>
        <v>10</v>
      </c>
      <c r="I469" s="7">
        <f>IFERROR(__xludf.DUMMYFUNCTION("""COMPUTED_VALUE"""),0.8402777777777778)</f>
        <v>0.8402777778</v>
      </c>
      <c r="J469" s="1" t="str">
        <f>IFERROR(__xludf.DUMMYFUNCTION("""COMPUTED_VALUE"""),"D")</f>
        <v>D</v>
      </c>
      <c r="K469" s="1">
        <f>IFERROR(__xludf.DUMMYFUNCTION("""COMPUTED_VALUE"""),207.0)</f>
        <v>207</v>
      </c>
      <c r="L469" s="7">
        <f>IFERROR(__xludf.DUMMYFUNCTION("""COMPUTED_VALUE"""),0.03402777777777777)</f>
        <v>0.03402777778</v>
      </c>
      <c r="M469" s="7">
        <f>IFERROR(__xludf.DUMMYFUNCTION("""COMPUTED_VALUE"""),0.014374999999999988)</f>
        <v>0.014375</v>
      </c>
      <c r="O469" s="9">
        <f>IFERROR(__xludf.DUMMYFUNCTION("""COMPUTED_VALUE"""),286.3499999999998)</f>
        <v>286.35</v>
      </c>
      <c r="P469" s="1" t="str">
        <f>IFERROR(__xludf.DUMMYFUNCTION("""COMPUTED_VALUE"""),"VLG")</f>
        <v>VLG</v>
      </c>
      <c r="Q469" s="1" t="str">
        <f>IFERROR(__xludf.DUMMYFUNCTION("""COMPUTED_VALUE"""),"ECAC")</f>
        <v>ECAC</v>
      </c>
    </row>
    <row r="470">
      <c r="A470" s="1" t="str">
        <f>IFERROR(__xludf.DUMMYFUNCTION("""COMPUTED_VALUE"""),"VLG24BW")</f>
        <v>VLG24BW</v>
      </c>
      <c r="B470" s="1" t="str">
        <f>IFERROR(__xludf.DUMMYFUNCTION("""COMPUTED_VALUE"""),"A320")</f>
        <v>A320</v>
      </c>
      <c r="C470" s="1" t="str">
        <f>IFERROR(__xludf.DUMMYFUNCTION("""COMPUTED_VALUE"""),"LEZL")</f>
        <v>LEZL</v>
      </c>
      <c r="D470" s="1" t="str">
        <f>IFERROR(__xludf.DUMMYFUNCTION("""COMPUTED_VALUE"""),"LEBL")</f>
        <v>LEBL</v>
      </c>
      <c r="E470" s="1" t="str">
        <f>IFERROR(__xludf.DUMMYFUNCTION("""COMPUTED_VALUE"""),"ECMBY")</f>
        <v>ECMBY</v>
      </c>
      <c r="F470" s="1">
        <f>IFERROR(__xludf.DUMMYFUNCTION("""COMPUTED_VALUE"""),340.0)</f>
        <v>340</v>
      </c>
      <c r="G470" s="7">
        <f>IFERROR(__xludf.DUMMYFUNCTION("""COMPUTED_VALUE"""),0.7736111111111111)</f>
        <v>0.7736111111</v>
      </c>
      <c r="H470" s="1">
        <f>IFERROR(__xludf.DUMMYFUNCTION("""COMPUTED_VALUE"""),12.0)</f>
        <v>12</v>
      </c>
      <c r="I470" s="7">
        <f>IFERROR(__xludf.DUMMYFUNCTION("""COMPUTED_VALUE"""),0.8402777777777778)</f>
        <v>0.8402777778</v>
      </c>
      <c r="J470" s="1" t="str">
        <f>IFERROR(__xludf.DUMMYFUNCTION("""COMPUTED_VALUE"""),"D")</f>
        <v>D</v>
      </c>
      <c r="K470" s="1">
        <f>IFERROR(__xludf.DUMMYFUNCTION("""COMPUTED_VALUE"""),173.0)</f>
        <v>173</v>
      </c>
      <c r="L470" s="7">
        <f>IFERROR(__xludf.DUMMYFUNCTION("""COMPUTED_VALUE"""),0.06666666666666665)</f>
        <v>0.06666666667</v>
      </c>
      <c r="M470" s="7">
        <f>IFERROR(__xludf.DUMMYFUNCTION("""COMPUTED_VALUE"""),0.045624999999999985)</f>
        <v>0.045625</v>
      </c>
      <c r="O470" s="9">
        <f>IFERROR(__xludf.DUMMYFUNCTION("""COMPUTED_VALUE"""),908.8499999999998)</f>
        <v>908.85</v>
      </c>
      <c r="P470" s="1" t="str">
        <f>IFERROR(__xludf.DUMMYFUNCTION("""COMPUTED_VALUE"""),"VLG")</f>
        <v>VLG</v>
      </c>
      <c r="Q470" s="1" t="str">
        <f>IFERROR(__xludf.DUMMYFUNCTION("""COMPUTED_VALUE"""),"ECAC")</f>
        <v>ECAC</v>
      </c>
    </row>
    <row r="471">
      <c r="A471" s="1" t="str">
        <f>IFERROR(__xludf.DUMMYFUNCTION("""COMPUTED_VALUE"""),"EIN5ME")</f>
        <v>EIN5ME</v>
      </c>
      <c r="B471" s="1" t="str">
        <f>IFERROR(__xludf.DUMMYFUNCTION("""COMPUTED_VALUE"""),"A320")</f>
        <v>A320</v>
      </c>
      <c r="C471" s="1" t="str">
        <f>IFERROR(__xludf.DUMMYFUNCTION("""COMPUTED_VALUE"""),"EIDW")</f>
        <v>EIDW</v>
      </c>
      <c r="D471" s="1" t="str">
        <f>IFERROR(__xludf.DUMMYFUNCTION("""COMPUTED_VALUE"""),"LEBL")</f>
        <v>LEBL</v>
      </c>
      <c r="E471" s="1" t="str">
        <f>IFERROR(__xludf.DUMMYFUNCTION("""COMPUTED_VALUE"""),"EIDEI")</f>
        <v>EIDEI</v>
      </c>
      <c r="F471" s="1">
        <f>IFERROR(__xludf.DUMMYFUNCTION("""COMPUTED_VALUE"""),370.0)</f>
        <v>370</v>
      </c>
      <c r="G471" s="7">
        <f>IFERROR(__xludf.DUMMYFUNCTION("""COMPUTED_VALUE"""),0.7604166666666666)</f>
        <v>0.7604166667</v>
      </c>
      <c r="H471" s="1">
        <f>IFERROR(__xludf.DUMMYFUNCTION("""COMPUTED_VALUE"""),20.0)</f>
        <v>20</v>
      </c>
      <c r="I471" s="7">
        <f>IFERROR(__xludf.DUMMYFUNCTION("""COMPUTED_VALUE"""),0.8402777777777778)</f>
        <v>0.8402777778</v>
      </c>
      <c r="J471" s="1" t="str">
        <f>IFERROR(__xludf.DUMMYFUNCTION("""COMPUTED_VALUE"""),"D")</f>
        <v>D</v>
      </c>
      <c r="K471" s="1">
        <f>IFERROR(__xludf.DUMMYFUNCTION("""COMPUTED_VALUE"""),173.0)</f>
        <v>173</v>
      </c>
      <c r="L471" s="7">
        <f>IFERROR(__xludf.DUMMYFUNCTION("""COMPUTED_VALUE"""),0.07986111111111116)</f>
        <v>0.07986111111</v>
      </c>
      <c r="M471" s="7">
        <f>IFERROR(__xludf.DUMMYFUNCTION("""COMPUTED_VALUE"""),0.05326388888888894)</f>
        <v>0.05326388889</v>
      </c>
      <c r="O471" s="9">
        <f>IFERROR(__xludf.DUMMYFUNCTION("""COMPUTED_VALUE"""),1061.0166666666676)</f>
        <v>1061.016667</v>
      </c>
      <c r="P471" s="1" t="str">
        <f>IFERROR(__xludf.DUMMYFUNCTION("""COMPUTED_VALUE"""),"EIN")</f>
        <v>EIN</v>
      </c>
      <c r="Q471" s="1" t="str">
        <f>IFERROR(__xludf.DUMMYFUNCTION("""COMPUTED_VALUE"""),"ECAC")</f>
        <v>ECAC</v>
      </c>
    </row>
    <row r="472">
      <c r="A472" s="1" t="str">
        <f>IFERROR(__xludf.DUMMYFUNCTION("""COMPUTED_VALUE"""),"SWT973P")</f>
        <v>SWT973P</v>
      </c>
      <c r="B472" s="1" t="str">
        <f>IFERROR(__xludf.DUMMYFUNCTION("""COMPUTED_VALUE"""),"AT43")</f>
        <v>AT43</v>
      </c>
      <c r="C472" s="1" t="str">
        <f>IFERROR(__xludf.DUMMYFUNCTION("""COMPUTED_VALUE"""),"LEMD")</f>
        <v>LEMD</v>
      </c>
      <c r="D472" s="1" t="str">
        <f>IFERROR(__xludf.DUMMYFUNCTION("""COMPUTED_VALUE"""),"LEBL")</f>
        <v>LEBL</v>
      </c>
      <c r="E472" s="1" t="str">
        <f>IFERROR(__xludf.DUMMYFUNCTION("""COMPUTED_VALUE"""),"ECJAD")</f>
        <v>ECJAD</v>
      </c>
      <c r="F472" s="1">
        <f>IFERROR(__xludf.DUMMYFUNCTION("""COMPUTED_VALUE"""),220.0)</f>
        <v>220</v>
      </c>
      <c r="G472" s="7">
        <f>IFERROR(__xludf.DUMMYFUNCTION("""COMPUTED_VALUE"""),0.7819444444444444)</f>
        <v>0.7819444444</v>
      </c>
      <c r="H472" s="1">
        <f>IFERROR(__xludf.DUMMYFUNCTION("""COMPUTED_VALUE"""),16.0)</f>
        <v>16</v>
      </c>
      <c r="I472" s="7">
        <f>IFERROR(__xludf.DUMMYFUNCTION("""COMPUTED_VALUE"""),0.84375)</f>
        <v>0.84375</v>
      </c>
      <c r="J472" s="1" t="str">
        <f>IFERROR(__xludf.DUMMYFUNCTION("""COMPUTED_VALUE"""),"E")</f>
        <v>E</v>
      </c>
      <c r="K472" s="1">
        <f>IFERROR(__xludf.DUMMYFUNCTION("""COMPUTED_VALUE"""),49.0)</f>
        <v>49</v>
      </c>
      <c r="L472" s="7">
        <f>IFERROR(__xludf.DUMMYFUNCTION("""COMPUTED_VALUE"""),0.06180555555555556)</f>
        <v>0.06180555556</v>
      </c>
      <c r="M472" s="7">
        <f>IFERROR(__xludf.DUMMYFUNCTION("""COMPUTED_VALUE"""),0.03798611111111111)</f>
        <v>0.03798611111</v>
      </c>
      <c r="O472" s="9">
        <f>IFERROR(__xludf.DUMMYFUNCTION("""COMPUTED_VALUE"""),410.25)</f>
        <v>410.25</v>
      </c>
      <c r="P472" s="1" t="str">
        <f>IFERROR(__xludf.DUMMYFUNCTION("""COMPUTED_VALUE"""),"SWT")</f>
        <v>SWT</v>
      </c>
      <c r="Q472" s="1" t="str">
        <f>IFERROR(__xludf.DUMMYFUNCTION("""COMPUTED_VALUE"""),"ECAC")</f>
        <v>ECAC</v>
      </c>
    </row>
    <row r="473">
      <c r="A473" s="1" t="str">
        <f>IFERROR(__xludf.DUMMYFUNCTION("""COMPUTED_VALUE"""),"VLG8581")</f>
        <v>VLG8581</v>
      </c>
      <c r="B473" s="1" t="str">
        <f>IFERROR(__xludf.DUMMYFUNCTION("""COMPUTED_VALUE"""),"A320")</f>
        <v>A320</v>
      </c>
      <c r="C473" s="1" t="str">
        <f>IFERROR(__xludf.DUMMYFUNCTION("""COMPUTED_VALUE"""),"LATI")</f>
        <v>LATI</v>
      </c>
      <c r="D473" s="1" t="str">
        <f>IFERROR(__xludf.DUMMYFUNCTION("""COMPUTED_VALUE"""),"LEBL")</f>
        <v>LEBL</v>
      </c>
      <c r="E473" s="1" t="str">
        <f>IFERROR(__xludf.DUMMYFUNCTION("""COMPUTED_VALUE"""),"ECJTQ")</f>
        <v>ECJTQ</v>
      </c>
      <c r="F473" s="1">
        <f>IFERROR(__xludf.DUMMYFUNCTION("""COMPUTED_VALUE"""),390.0)</f>
        <v>390</v>
      </c>
      <c r="G473" s="7">
        <f>IFERROR(__xludf.DUMMYFUNCTION("""COMPUTED_VALUE"""),0.7673611111111112)</f>
        <v>0.7673611111</v>
      </c>
      <c r="H473" s="1">
        <f>IFERROR(__xludf.DUMMYFUNCTION("""COMPUTED_VALUE"""),10.0)</f>
        <v>10</v>
      </c>
      <c r="I473" s="7">
        <f>IFERROR(__xludf.DUMMYFUNCTION("""COMPUTED_VALUE"""),0.8472222222222222)</f>
        <v>0.8472222222</v>
      </c>
      <c r="J473" s="1" t="str">
        <f>IFERROR(__xludf.DUMMYFUNCTION("""COMPUTED_VALUE"""),"D")</f>
        <v>D</v>
      </c>
      <c r="K473" s="1">
        <f>IFERROR(__xludf.DUMMYFUNCTION("""COMPUTED_VALUE"""),173.0)</f>
        <v>173</v>
      </c>
      <c r="L473" s="7">
        <f>IFERROR(__xludf.DUMMYFUNCTION("""COMPUTED_VALUE"""),0.07986111111111105)</f>
        <v>0.07986111111</v>
      </c>
      <c r="M473" s="7">
        <f>IFERROR(__xludf.DUMMYFUNCTION("""COMPUTED_VALUE"""),0.06020833333333327)</f>
        <v>0.06020833333</v>
      </c>
      <c r="O473" s="9">
        <f>IFERROR(__xludf.DUMMYFUNCTION("""COMPUTED_VALUE"""),1199.3499999999988)</f>
        <v>1199.35</v>
      </c>
      <c r="P473" s="1" t="str">
        <f>IFERROR(__xludf.DUMMYFUNCTION("""COMPUTED_VALUE"""),"VLG")</f>
        <v>VLG</v>
      </c>
      <c r="Q473" s="1" t="str">
        <f>IFERROR(__xludf.DUMMYFUNCTION("""COMPUTED_VALUE"""),"ECAC")</f>
        <v>ECAC</v>
      </c>
    </row>
    <row r="474">
      <c r="A474" s="1" t="str">
        <f>IFERROR(__xludf.DUMMYFUNCTION("""COMPUTED_VALUE"""),"TVF67BM")</f>
        <v>TVF67BM</v>
      </c>
      <c r="B474" s="1" t="str">
        <f>IFERROR(__xludf.DUMMYFUNCTION("""COMPUTED_VALUE"""),"A20N")</f>
        <v>A20N</v>
      </c>
      <c r="C474" s="1" t="str">
        <f>IFERROR(__xludf.DUMMYFUNCTION("""COMPUTED_VALUE"""),"LFPO")</f>
        <v>LFPO</v>
      </c>
      <c r="D474" s="1" t="str">
        <f>IFERROR(__xludf.DUMMYFUNCTION("""COMPUTED_VALUE"""),"LEBL")</f>
        <v>LEBL</v>
      </c>
      <c r="E474" s="1" t="str">
        <f>IFERROR(__xludf.DUMMYFUNCTION("""COMPUTED_VALUE"""),"FHXSA")</f>
        <v>FHXSA</v>
      </c>
      <c r="F474" s="1">
        <f>IFERROR(__xludf.DUMMYFUNCTION("""COMPUTED_VALUE"""),370.0)</f>
        <v>370</v>
      </c>
      <c r="G474" s="7">
        <f>IFERROR(__xludf.DUMMYFUNCTION("""COMPUTED_VALUE"""),0.8034722222222223)</f>
        <v>0.8034722222</v>
      </c>
      <c r="H474" s="1">
        <f>IFERROR(__xludf.DUMMYFUNCTION("""COMPUTED_VALUE"""),11.0)</f>
        <v>11</v>
      </c>
      <c r="I474" s="7">
        <f>IFERROR(__xludf.DUMMYFUNCTION("""COMPUTED_VALUE"""),0.8541666666666666)</f>
        <v>0.8541666667</v>
      </c>
      <c r="J474" s="1" t="str">
        <f>IFERROR(__xludf.DUMMYFUNCTION("""COMPUTED_VALUE"""),"D")</f>
        <v>D</v>
      </c>
      <c r="K474" s="1">
        <f>IFERROR(__xludf.DUMMYFUNCTION("""COMPUTED_VALUE"""),180.0)</f>
        <v>180</v>
      </c>
      <c r="L474" s="7">
        <f>IFERROR(__xludf.DUMMYFUNCTION("""COMPUTED_VALUE"""),0.050694444444444375)</f>
        <v>0.05069444444</v>
      </c>
      <c r="M474" s="7">
        <f>IFERROR(__xludf.DUMMYFUNCTION("""COMPUTED_VALUE"""),0.03034722222222215)</f>
        <v>0.03034722222</v>
      </c>
      <c r="O474" s="9">
        <f>IFERROR(__xludf.DUMMYFUNCTION("""COMPUTED_VALUE"""),604.5166666666653)</f>
        <v>604.5166667</v>
      </c>
      <c r="P474" s="1" t="str">
        <f>IFERROR(__xludf.DUMMYFUNCTION("""COMPUTED_VALUE"""),"TVF")</f>
        <v>TVF</v>
      </c>
      <c r="Q474" s="1" t="str">
        <f>IFERROR(__xludf.DUMMYFUNCTION("""COMPUTED_VALUE"""),"ECAC")</f>
        <v>ECAC</v>
      </c>
    </row>
    <row r="475">
      <c r="A475" s="1" t="str">
        <f>IFERROR(__xludf.DUMMYFUNCTION("""COMPUTED_VALUE"""),"KLM71Z")</f>
        <v>KLM71Z</v>
      </c>
      <c r="B475" s="1" t="str">
        <f>IFERROR(__xludf.DUMMYFUNCTION("""COMPUTED_VALUE"""),"B738")</f>
        <v>B738</v>
      </c>
      <c r="C475" s="1" t="str">
        <f>IFERROR(__xludf.DUMMYFUNCTION("""COMPUTED_VALUE"""),"EHAM")</f>
        <v>EHAM</v>
      </c>
      <c r="D475" s="1" t="str">
        <f>IFERROR(__xludf.DUMMYFUNCTION("""COMPUTED_VALUE"""),"LEBL")</f>
        <v>LEBL</v>
      </c>
      <c r="E475" s="1" t="str">
        <f>IFERROR(__xludf.DUMMYFUNCTION("""COMPUTED_VALUE"""),"PHBXA")</f>
        <v>PHBXA</v>
      </c>
      <c r="F475" s="1">
        <f>IFERROR(__xludf.DUMMYFUNCTION("""COMPUTED_VALUE"""),410.0)</f>
        <v>410</v>
      </c>
      <c r="G475" s="7">
        <f>IFERROR(__xludf.DUMMYFUNCTION("""COMPUTED_VALUE"""),0.7861111111111111)</f>
        <v>0.7861111111</v>
      </c>
      <c r="H475" s="1">
        <f>IFERROR(__xludf.DUMMYFUNCTION("""COMPUTED_VALUE"""),20.0)</f>
        <v>20</v>
      </c>
      <c r="I475" s="7">
        <f>IFERROR(__xludf.DUMMYFUNCTION("""COMPUTED_VALUE"""),0.8541666666666666)</f>
        <v>0.8541666667</v>
      </c>
      <c r="J475" s="1" t="str">
        <f>IFERROR(__xludf.DUMMYFUNCTION("""COMPUTED_VALUE"""),"D")</f>
        <v>D</v>
      </c>
      <c r="K475" s="1">
        <f>IFERROR(__xludf.DUMMYFUNCTION("""COMPUTED_VALUE"""),184.0)</f>
        <v>184</v>
      </c>
      <c r="L475" s="7">
        <f>IFERROR(__xludf.DUMMYFUNCTION("""COMPUTED_VALUE"""),0.06805555555555554)</f>
        <v>0.06805555556</v>
      </c>
      <c r="M475" s="7">
        <f>IFERROR(__xludf.DUMMYFUNCTION("""COMPUTED_VALUE"""),0.04145833333333331)</f>
        <v>0.04145833333</v>
      </c>
      <c r="O475" s="9">
        <f>IFERROR(__xludf.DUMMYFUNCTION("""COMPUTED_VALUE"""),825.8499999999996)</f>
        <v>825.85</v>
      </c>
      <c r="P475" s="1" t="str">
        <f>IFERROR(__xludf.DUMMYFUNCTION("""COMPUTED_VALUE"""),"KLM")</f>
        <v>KLM</v>
      </c>
      <c r="Q475" s="1" t="str">
        <f>IFERROR(__xludf.DUMMYFUNCTION("""COMPUTED_VALUE"""),"ECAC")</f>
        <v>ECAC</v>
      </c>
    </row>
    <row r="476">
      <c r="A476" s="1" t="str">
        <f>IFERROR(__xludf.DUMMYFUNCTION("""COMPUTED_VALUE"""),"NSZ6KY")</f>
        <v>NSZ6KY</v>
      </c>
      <c r="B476" s="1" t="str">
        <f>IFERROR(__xludf.DUMMYFUNCTION("""COMPUTED_VALUE"""),"B738")</f>
        <v>B738</v>
      </c>
      <c r="C476" s="1" t="str">
        <f>IFERROR(__xludf.DUMMYFUNCTION("""COMPUTED_VALUE"""),"ESGG")</f>
        <v>ESGG</v>
      </c>
      <c r="D476" s="1" t="str">
        <f>IFERROR(__xludf.DUMMYFUNCTION("""COMPUTED_VALUE"""),"LEBL")</f>
        <v>LEBL</v>
      </c>
      <c r="E476" s="1" t="str">
        <f>IFERROR(__xludf.DUMMYFUNCTION("""COMPUTED_VALUE"""),"SERPE")</f>
        <v>SERPE</v>
      </c>
      <c r="F476" s="1">
        <f>IFERROR(__xludf.DUMMYFUNCTION("""COMPUTED_VALUE"""),390.0)</f>
        <v>390</v>
      </c>
      <c r="G476" s="7">
        <f>IFERROR(__xludf.DUMMYFUNCTION("""COMPUTED_VALUE"""),0.7576388888888889)</f>
        <v>0.7576388889</v>
      </c>
      <c r="H476" s="1">
        <f>IFERROR(__xludf.DUMMYFUNCTION("""COMPUTED_VALUE"""),8.0)</f>
        <v>8</v>
      </c>
      <c r="I476" s="7">
        <f>IFERROR(__xludf.DUMMYFUNCTION("""COMPUTED_VALUE"""),0.8576388888888888)</f>
        <v>0.8576388889</v>
      </c>
      <c r="J476" s="1" t="str">
        <f>IFERROR(__xludf.DUMMYFUNCTION("""COMPUTED_VALUE"""),"D")</f>
        <v>D</v>
      </c>
      <c r="K476" s="1">
        <f>IFERROR(__xludf.DUMMYFUNCTION("""COMPUTED_VALUE"""),184.0)</f>
        <v>184</v>
      </c>
      <c r="L476" s="7">
        <f>IFERROR(__xludf.DUMMYFUNCTION("""COMPUTED_VALUE"""),0.09999999999999998)</f>
        <v>0.1</v>
      </c>
      <c r="M476" s="7">
        <f>IFERROR(__xludf.DUMMYFUNCTION("""COMPUTED_VALUE"""),0.08173611111111109)</f>
        <v>0.08173611111</v>
      </c>
      <c r="O476" s="9">
        <f>IFERROR(__xludf.DUMMYFUNCTION("""COMPUTED_VALUE"""),1628.183333333333)</f>
        <v>1628.183333</v>
      </c>
      <c r="P476" s="1" t="str">
        <f>IFERROR(__xludf.DUMMYFUNCTION("""COMPUTED_VALUE"""),"NSZ")</f>
        <v>NSZ</v>
      </c>
      <c r="Q476" s="1" t="str">
        <f>IFERROR(__xludf.DUMMYFUNCTION("""COMPUTED_VALUE"""),"ECAC")</f>
        <v>ECAC</v>
      </c>
    </row>
    <row r="477">
      <c r="A477" s="1" t="str">
        <f>IFERROR(__xludf.DUMMYFUNCTION("""COMPUTED_VALUE"""),"THY8HC")</f>
        <v>THY8HC</v>
      </c>
      <c r="B477" s="1" t="str">
        <f>IFERROR(__xludf.DUMMYFUNCTION("""COMPUTED_VALUE"""),"B738")</f>
        <v>B738</v>
      </c>
      <c r="C477" s="1" t="str">
        <f>IFERROR(__xludf.DUMMYFUNCTION("""COMPUTED_VALUE"""),"LTFM")</f>
        <v>LTFM</v>
      </c>
      <c r="D477" s="1" t="str">
        <f>IFERROR(__xludf.DUMMYFUNCTION("""COMPUTED_VALUE"""),"LEBL")</f>
        <v>LEBL</v>
      </c>
      <c r="E477" s="1" t="str">
        <f>IFERROR(__xludf.DUMMYFUNCTION("""COMPUTED_VALUE"""),"TCJZE")</f>
        <v>TCJZE</v>
      </c>
      <c r="F477" s="1">
        <f>IFERROR(__xludf.DUMMYFUNCTION("""COMPUTED_VALUE"""),370.0)</f>
        <v>370</v>
      </c>
      <c r="G477" s="7">
        <f>IFERROR(__xludf.DUMMYFUNCTION("""COMPUTED_VALUE"""),0.7277777777777777)</f>
        <v>0.7277777778</v>
      </c>
      <c r="H477" s="1">
        <f>IFERROR(__xludf.DUMMYFUNCTION("""COMPUTED_VALUE"""),20.0)</f>
        <v>20</v>
      </c>
      <c r="I477" s="7">
        <f>IFERROR(__xludf.DUMMYFUNCTION("""COMPUTED_VALUE"""),0.8576388888888888)</f>
        <v>0.8576388889</v>
      </c>
      <c r="J477" s="1" t="str">
        <f>IFERROR(__xludf.DUMMYFUNCTION("""COMPUTED_VALUE"""),"D")</f>
        <v>D</v>
      </c>
      <c r="K477" s="1">
        <f>IFERROR(__xludf.DUMMYFUNCTION("""COMPUTED_VALUE"""),184.0)</f>
        <v>184</v>
      </c>
      <c r="L477" s="7">
        <f>IFERROR(__xludf.DUMMYFUNCTION("""COMPUTED_VALUE"""),0.1298611111111111)</f>
        <v>0.1298611111</v>
      </c>
      <c r="M477" s="7">
        <f>IFERROR(__xludf.DUMMYFUNCTION("""COMPUTED_VALUE"""),0.10326388888888888)</f>
        <v>0.1032638889</v>
      </c>
      <c r="O477" s="9">
        <f>IFERROR(__xludf.DUMMYFUNCTION("""COMPUTED_VALUE"""),2057.0166666666664)</f>
        <v>2057.016667</v>
      </c>
      <c r="P477" s="1" t="str">
        <f>IFERROR(__xludf.DUMMYFUNCTION("""COMPUTED_VALUE"""),"THY")</f>
        <v>THY</v>
      </c>
      <c r="Q477" s="1" t="str">
        <f>IFERROR(__xludf.DUMMYFUNCTION("""COMPUTED_VALUE"""),"ECAC")</f>
        <v>ECAC</v>
      </c>
    </row>
    <row r="478">
      <c r="A478" s="1" t="str">
        <f>IFERROR(__xludf.DUMMYFUNCTION("""COMPUTED_VALUE"""),"RYR42SY")</f>
        <v>RYR42SY</v>
      </c>
      <c r="B478" s="1" t="str">
        <f>IFERROR(__xludf.DUMMYFUNCTION("""COMPUTED_VALUE"""),"B738")</f>
        <v>B738</v>
      </c>
      <c r="C478" s="1" t="str">
        <f>IFERROR(__xludf.DUMMYFUNCTION("""COMPUTED_VALUE"""),"LEIB")</f>
        <v>LEIB</v>
      </c>
      <c r="D478" s="1" t="str">
        <f>IFERROR(__xludf.DUMMYFUNCTION("""COMPUTED_VALUE"""),"LEBL")</f>
        <v>LEBL</v>
      </c>
      <c r="E478" s="1" t="str">
        <f>IFERROR(__xludf.DUMMYFUNCTION("""COMPUTED_VALUE"""),"9HQBW")</f>
        <v>9HQBW</v>
      </c>
      <c r="F478" s="1">
        <f>IFERROR(__xludf.DUMMYFUNCTION("""COMPUTED_VALUE"""),240.0)</f>
        <v>240</v>
      </c>
      <c r="G478" s="7">
        <f>IFERROR(__xludf.DUMMYFUNCTION("""COMPUTED_VALUE"""),0.8423611111111111)</f>
        <v>0.8423611111</v>
      </c>
      <c r="H478" s="1">
        <f>IFERROR(__xludf.DUMMYFUNCTION("""COMPUTED_VALUE"""),7.0)</f>
        <v>7</v>
      </c>
      <c r="I478" s="7">
        <f>IFERROR(__xludf.DUMMYFUNCTION("""COMPUTED_VALUE"""),0.8645833333333334)</f>
        <v>0.8645833333</v>
      </c>
      <c r="J478" s="1" t="str">
        <f>IFERROR(__xludf.DUMMYFUNCTION("""COMPUTED_VALUE"""),"D")</f>
        <v>D</v>
      </c>
      <c r="K478" s="1">
        <f>IFERROR(__xludf.DUMMYFUNCTION("""COMPUTED_VALUE"""),184.0)</f>
        <v>184</v>
      </c>
      <c r="L478" s="7">
        <f>IFERROR(__xludf.DUMMYFUNCTION("""COMPUTED_VALUE"""),0.022222222222222254)</f>
        <v>0.02222222222</v>
      </c>
      <c r="M478" s="7">
        <f>IFERROR(__xludf.DUMMYFUNCTION("""COMPUTED_VALUE"""),0.0046527777777778095)</f>
        <v>0.004652777778</v>
      </c>
      <c r="O478" s="9">
        <f>IFERROR(__xludf.DUMMYFUNCTION("""COMPUTED_VALUE"""),92.68333333333396)</f>
        <v>92.68333333</v>
      </c>
      <c r="P478" s="1" t="str">
        <f>IFERROR(__xludf.DUMMYFUNCTION("""COMPUTED_VALUE"""),"RYR")</f>
        <v>RYR</v>
      </c>
      <c r="Q478" s="1" t="str">
        <f>IFERROR(__xludf.DUMMYFUNCTION("""COMPUTED_VALUE"""),"ECAC")</f>
        <v>ECAC</v>
      </c>
    </row>
    <row r="479">
      <c r="A479" s="1" t="str">
        <f>IFERROR(__xludf.DUMMYFUNCTION("""COMPUTED_VALUE"""),"VLG963B")</f>
        <v>VLG963B</v>
      </c>
      <c r="B479" s="1" t="str">
        <f>IFERROR(__xludf.DUMMYFUNCTION("""COMPUTED_VALUE"""),"A320")</f>
        <v>A320</v>
      </c>
      <c r="C479" s="1" t="str">
        <f>IFERROR(__xludf.DUMMYFUNCTION("""COMPUTED_VALUE"""),"GCXO")</f>
        <v>GCXO</v>
      </c>
      <c r="D479" s="1" t="str">
        <f>IFERROR(__xludf.DUMMYFUNCTION("""COMPUTED_VALUE"""),"LEBL")</f>
        <v>LEBL</v>
      </c>
      <c r="E479" s="1" t="str">
        <f>IFERROR(__xludf.DUMMYFUNCTION("""COMPUTED_VALUE"""),"ECMFN")</f>
        <v>ECMFN</v>
      </c>
      <c r="F479" s="1">
        <f>IFERROR(__xludf.DUMMYFUNCTION("""COMPUTED_VALUE"""),360.0)</f>
        <v>360</v>
      </c>
      <c r="G479" s="7">
        <f>IFERROR(__xludf.DUMMYFUNCTION("""COMPUTED_VALUE"""),0.7416666666666667)</f>
        <v>0.7416666667</v>
      </c>
      <c r="H479" s="1">
        <f>IFERROR(__xludf.DUMMYFUNCTION("""COMPUTED_VALUE"""),4.0)</f>
        <v>4</v>
      </c>
      <c r="I479" s="7">
        <f>IFERROR(__xludf.DUMMYFUNCTION("""COMPUTED_VALUE"""),0.8645833333333334)</f>
        <v>0.8645833333</v>
      </c>
      <c r="J479" s="1" t="str">
        <f>IFERROR(__xludf.DUMMYFUNCTION("""COMPUTED_VALUE"""),"D")</f>
        <v>D</v>
      </c>
      <c r="K479" s="1">
        <f>IFERROR(__xludf.DUMMYFUNCTION("""COMPUTED_VALUE"""),173.0)</f>
        <v>173</v>
      </c>
      <c r="L479" s="7">
        <f>IFERROR(__xludf.DUMMYFUNCTION("""COMPUTED_VALUE"""),0.12291666666666667)</f>
        <v>0.1229166667</v>
      </c>
      <c r="M479" s="7">
        <f>IFERROR(__xludf.DUMMYFUNCTION("""COMPUTED_VALUE"""),0.10743055555555556)</f>
        <v>0.1074305556</v>
      </c>
      <c r="O479" s="9">
        <f>IFERROR(__xludf.DUMMYFUNCTION("""COMPUTED_VALUE"""),2140.0166666666664)</f>
        <v>2140.016667</v>
      </c>
      <c r="P479" s="1" t="str">
        <f>IFERROR(__xludf.DUMMYFUNCTION("""COMPUTED_VALUE"""),"VLG")</f>
        <v>VLG</v>
      </c>
      <c r="Q479" s="1" t="str">
        <f>IFERROR(__xludf.DUMMYFUNCTION("""COMPUTED_VALUE"""),"ECAC")</f>
        <v>ECAC</v>
      </c>
    </row>
    <row r="480">
      <c r="A480" s="1" t="str">
        <f>IFERROR(__xludf.DUMMYFUNCTION("""COMPUTED_VALUE"""),"RYR539Z")</f>
        <v>RYR539Z</v>
      </c>
      <c r="B480" s="1" t="str">
        <f>IFERROR(__xludf.DUMMYFUNCTION("""COMPUTED_VALUE"""),"A320")</f>
        <v>A320</v>
      </c>
      <c r="C480" s="1" t="str">
        <f>IFERROR(__xludf.DUMMYFUNCTION("""COMPUTED_VALUE"""),"LEPA")</f>
        <v>LEPA</v>
      </c>
      <c r="D480" s="1" t="str">
        <f>IFERROR(__xludf.DUMMYFUNCTION("""COMPUTED_VALUE"""),"LEBL")</f>
        <v>LEBL</v>
      </c>
      <c r="E480" s="1" t="str">
        <f>IFERROR(__xludf.DUMMYFUNCTION("""COMPUTED_VALUE"""),"9HLAX")</f>
        <v>9HLAX</v>
      </c>
      <c r="F480" s="1">
        <f>IFERROR(__xludf.DUMMYFUNCTION("""COMPUTED_VALUE"""),180.0)</f>
        <v>180</v>
      </c>
      <c r="G480" s="7">
        <f>IFERROR(__xludf.DUMMYFUNCTION("""COMPUTED_VALUE"""),0.8444444444444444)</f>
        <v>0.8444444444</v>
      </c>
      <c r="H480" s="1">
        <f>IFERROR(__xludf.DUMMYFUNCTION("""COMPUTED_VALUE"""),15.0)</f>
        <v>15</v>
      </c>
      <c r="I480" s="7">
        <f>IFERROR(__xludf.DUMMYFUNCTION("""COMPUTED_VALUE"""),0.8645833333333334)</f>
        <v>0.8645833333</v>
      </c>
      <c r="J480" s="1" t="str">
        <f>IFERROR(__xludf.DUMMYFUNCTION("""COMPUTED_VALUE"""),"D")</f>
        <v>D</v>
      </c>
      <c r="K480" s="1">
        <f>IFERROR(__xludf.DUMMYFUNCTION("""COMPUTED_VALUE"""),173.0)</f>
        <v>173</v>
      </c>
      <c r="L480" s="7">
        <f>IFERROR(__xludf.DUMMYFUNCTION("""COMPUTED_VALUE"""),0.02013888888888893)</f>
        <v>0.02013888889</v>
      </c>
      <c r="M480" s="7">
        <f>IFERROR(__xludf.DUMMYFUNCTION("""COMPUTED_VALUE"""),0.009722222222222262)</f>
        <v>0.009722222222</v>
      </c>
      <c r="O480" s="9">
        <f>IFERROR(__xludf.DUMMYFUNCTION("""COMPUTED_VALUE"""),193.66666666666745)</f>
        <v>193.6666667</v>
      </c>
      <c r="P480" s="1" t="str">
        <f>IFERROR(__xludf.DUMMYFUNCTION("""COMPUTED_VALUE"""),"RYR")</f>
        <v>RYR</v>
      </c>
      <c r="Q480" s="1" t="str">
        <f>IFERROR(__xludf.DUMMYFUNCTION("""COMPUTED_VALUE"""),"ECAC")</f>
        <v>ECAC</v>
      </c>
    </row>
    <row r="481">
      <c r="A481" s="1" t="str">
        <f>IFERROR(__xludf.DUMMYFUNCTION("""COMPUTED_VALUE"""),"VLG14PF")</f>
        <v>VLG14PF</v>
      </c>
      <c r="B481" s="1" t="str">
        <f>IFERROR(__xludf.DUMMYFUNCTION("""COMPUTED_VALUE"""),"A320")</f>
        <v>A320</v>
      </c>
      <c r="C481" s="1" t="str">
        <f>IFERROR(__xludf.DUMMYFUNCTION("""COMPUTED_VALUE"""),"LIMC")</f>
        <v>LIMC</v>
      </c>
      <c r="D481" s="1" t="str">
        <f>IFERROR(__xludf.DUMMYFUNCTION("""COMPUTED_VALUE"""),"LEBL")</f>
        <v>LEBL</v>
      </c>
      <c r="E481" s="1" t="str">
        <f>IFERROR(__xludf.DUMMYFUNCTION("""COMPUTED_VALUE"""),"ECOKH")</f>
        <v>ECOKH</v>
      </c>
      <c r="F481" s="1">
        <f>IFERROR(__xludf.DUMMYFUNCTION("""COMPUTED_VALUE"""),290.0)</f>
        <v>290</v>
      </c>
      <c r="G481" s="7">
        <f>IFERROR(__xludf.DUMMYFUNCTION("""COMPUTED_VALUE"""),0.8215277777777777)</f>
        <v>0.8215277778</v>
      </c>
      <c r="H481" s="1">
        <f>IFERROR(__xludf.DUMMYFUNCTION("""COMPUTED_VALUE"""),13.0)</f>
        <v>13</v>
      </c>
      <c r="I481" s="7">
        <f>IFERROR(__xludf.DUMMYFUNCTION("""COMPUTED_VALUE"""),0.8680555555555556)</f>
        <v>0.8680555556</v>
      </c>
      <c r="J481" s="1" t="str">
        <f>IFERROR(__xludf.DUMMYFUNCTION("""COMPUTED_VALUE"""),"D")</f>
        <v>D</v>
      </c>
      <c r="K481" s="1">
        <f>IFERROR(__xludf.DUMMYFUNCTION("""COMPUTED_VALUE"""),173.0)</f>
        <v>173</v>
      </c>
      <c r="L481" s="7">
        <f>IFERROR(__xludf.DUMMYFUNCTION("""COMPUTED_VALUE"""),0.046527777777777835)</f>
        <v>0.04652777778</v>
      </c>
      <c r="M481" s="7">
        <f>IFERROR(__xludf.DUMMYFUNCTION("""COMPUTED_VALUE"""),0.024791666666666722)</f>
        <v>0.02479166667</v>
      </c>
      <c r="O481" s="9">
        <f>IFERROR(__xludf.DUMMYFUNCTION("""COMPUTED_VALUE"""),493.8500000000011)</f>
        <v>493.85</v>
      </c>
      <c r="P481" s="1" t="str">
        <f>IFERROR(__xludf.DUMMYFUNCTION("""COMPUTED_VALUE"""),"VLG")</f>
        <v>VLG</v>
      </c>
      <c r="Q481" s="1" t="str">
        <f>IFERROR(__xludf.DUMMYFUNCTION("""COMPUTED_VALUE"""),"ECAC")</f>
        <v>ECAC</v>
      </c>
    </row>
    <row r="482">
      <c r="A482" s="1" t="str">
        <f>IFERROR(__xludf.DUMMYFUNCTION("""COMPUTED_VALUE"""),"IBE04LY")</f>
        <v>IBE04LY</v>
      </c>
      <c r="B482" s="1" t="str">
        <f>IFERROR(__xludf.DUMMYFUNCTION("""COMPUTED_VALUE"""),"A320")</f>
        <v>A320</v>
      </c>
      <c r="C482" s="1" t="str">
        <f>IFERROR(__xludf.DUMMYFUNCTION("""COMPUTED_VALUE"""),"LEMD")</f>
        <v>LEMD</v>
      </c>
      <c r="D482" s="1" t="str">
        <f>IFERROR(__xludf.DUMMYFUNCTION("""COMPUTED_VALUE"""),"LEBL")</f>
        <v>LEBL</v>
      </c>
      <c r="E482" s="1" t="str">
        <f>IFERROR(__xludf.DUMMYFUNCTION("""COMPUTED_VALUE"""),"ECILS")</f>
        <v>ECILS</v>
      </c>
      <c r="F482" s="1">
        <f>IFERROR(__xludf.DUMMYFUNCTION("""COMPUTED_VALUE"""),300.0)</f>
        <v>300</v>
      </c>
      <c r="G482" s="7">
        <f>IFERROR(__xludf.DUMMYFUNCTION("""COMPUTED_VALUE"""),0.8388888888888889)</f>
        <v>0.8388888889</v>
      </c>
      <c r="H482" s="1">
        <f>IFERROR(__xludf.DUMMYFUNCTION("""COMPUTED_VALUE"""),16.0)</f>
        <v>16</v>
      </c>
      <c r="I482" s="7">
        <f>IFERROR(__xludf.DUMMYFUNCTION("""COMPUTED_VALUE"""),0.8715277777777778)</f>
        <v>0.8715277778</v>
      </c>
      <c r="J482" s="1" t="str">
        <f>IFERROR(__xludf.DUMMYFUNCTION("""COMPUTED_VALUE"""),"D")</f>
        <v>D</v>
      </c>
      <c r="K482" s="1">
        <f>IFERROR(__xludf.DUMMYFUNCTION("""COMPUTED_VALUE"""),173.0)</f>
        <v>173</v>
      </c>
      <c r="L482" s="7">
        <f>IFERROR(__xludf.DUMMYFUNCTION("""COMPUTED_VALUE"""),0.032638888888888884)</f>
        <v>0.03263888889</v>
      </c>
      <c r="M482" s="7">
        <f>IFERROR(__xludf.DUMMYFUNCTION("""COMPUTED_VALUE"""),0.008819444444444437)</f>
        <v>0.008819444444</v>
      </c>
      <c r="O482" s="9">
        <f>IFERROR(__xludf.DUMMYFUNCTION("""COMPUTED_VALUE"""),175.6833333333332)</f>
        <v>175.6833333</v>
      </c>
      <c r="P482" s="1" t="str">
        <f>IFERROR(__xludf.DUMMYFUNCTION("""COMPUTED_VALUE"""),"IBE")</f>
        <v>IBE</v>
      </c>
      <c r="Q482" s="1" t="str">
        <f>IFERROR(__xludf.DUMMYFUNCTION("""COMPUTED_VALUE"""),"ECAC")</f>
        <v>ECAC</v>
      </c>
    </row>
    <row r="483">
      <c r="A483" s="1" t="str">
        <f>IFERROR(__xludf.DUMMYFUNCTION("""COMPUTED_VALUE"""),"AFR69BZ")</f>
        <v>AFR69BZ</v>
      </c>
      <c r="B483" s="1" t="str">
        <f>IFERROR(__xludf.DUMMYFUNCTION("""COMPUTED_VALUE"""),"A320")</f>
        <v>A320</v>
      </c>
      <c r="C483" s="1" t="str">
        <f>IFERROR(__xludf.DUMMYFUNCTION("""COMPUTED_VALUE"""),"LFPG")</f>
        <v>LFPG</v>
      </c>
      <c r="D483" s="1" t="str">
        <f>IFERROR(__xludf.DUMMYFUNCTION("""COMPUTED_VALUE"""),"LEBL")</f>
        <v>LEBL</v>
      </c>
      <c r="E483" s="1" t="str">
        <f>IFERROR(__xludf.DUMMYFUNCTION("""COMPUTED_VALUE"""),"FGKXH")</f>
        <v>FGKXH</v>
      </c>
      <c r="F483" s="1">
        <f>IFERROR(__xludf.DUMMYFUNCTION("""COMPUTED_VALUE"""),370.0)</f>
        <v>370</v>
      </c>
      <c r="G483" s="7">
        <f>IFERROR(__xludf.DUMMYFUNCTION("""COMPUTED_VALUE"""),0.80625)</f>
        <v>0.80625</v>
      </c>
      <c r="H483" s="1">
        <f>IFERROR(__xludf.DUMMYFUNCTION("""COMPUTED_VALUE"""),16.0)</f>
        <v>16</v>
      </c>
      <c r="I483" s="7">
        <f>IFERROR(__xludf.DUMMYFUNCTION("""COMPUTED_VALUE"""),0.875)</f>
        <v>0.875</v>
      </c>
      <c r="J483" s="1" t="str">
        <f>IFERROR(__xludf.DUMMYFUNCTION("""COMPUTED_VALUE"""),"D")</f>
        <v>D</v>
      </c>
      <c r="K483" s="1">
        <f>IFERROR(__xludf.DUMMYFUNCTION("""COMPUTED_VALUE"""),173.0)</f>
        <v>173</v>
      </c>
      <c r="L483" s="7">
        <f>IFERROR(__xludf.DUMMYFUNCTION("""COMPUTED_VALUE"""),0.06874999999999998)</f>
        <v>0.06875</v>
      </c>
      <c r="M483" s="7">
        <f>IFERROR(__xludf.DUMMYFUNCTION("""COMPUTED_VALUE"""),0.04493055555555553)</f>
        <v>0.04493055556</v>
      </c>
      <c r="O483" s="9">
        <f>IFERROR(__xludf.DUMMYFUNCTION("""COMPUTED_VALUE"""),895.0166666666662)</f>
        <v>895.0166667</v>
      </c>
      <c r="P483" s="1" t="str">
        <f>IFERROR(__xludf.DUMMYFUNCTION("""COMPUTED_VALUE"""),"AFR")</f>
        <v>AFR</v>
      </c>
      <c r="Q483" s="1" t="str">
        <f>IFERROR(__xludf.DUMMYFUNCTION("""COMPUTED_VALUE"""),"ECAC")</f>
        <v>ECAC</v>
      </c>
    </row>
    <row r="484">
      <c r="A484" s="1" t="str">
        <f>IFERROR(__xludf.DUMMYFUNCTION("""COMPUTED_VALUE"""),"BAW482P")</f>
        <v>BAW482P</v>
      </c>
      <c r="B484" s="1" t="str">
        <f>IFERROR(__xludf.DUMMYFUNCTION("""COMPUTED_VALUE"""),"A320")</f>
        <v>A320</v>
      </c>
      <c r="C484" s="1" t="str">
        <f>IFERROR(__xludf.DUMMYFUNCTION("""COMPUTED_VALUE"""),"EGLL")</f>
        <v>EGLL</v>
      </c>
      <c r="D484" s="1" t="str">
        <f>IFERROR(__xludf.DUMMYFUNCTION("""COMPUTED_VALUE"""),"LEBL")</f>
        <v>LEBL</v>
      </c>
      <c r="E484" s="1" t="str">
        <f>IFERROR(__xludf.DUMMYFUNCTION("""COMPUTED_VALUE"""),"GEUYX")</f>
        <v>GEUYX</v>
      </c>
      <c r="F484" s="1">
        <f>IFERROR(__xludf.DUMMYFUNCTION("""COMPUTED_VALUE"""),290.0)</f>
        <v>290</v>
      </c>
      <c r="G484" s="7">
        <f>IFERROR(__xludf.DUMMYFUNCTION("""COMPUTED_VALUE"""),0.7895833333333333)</f>
        <v>0.7895833333</v>
      </c>
      <c r="H484" s="1">
        <f>IFERROR(__xludf.DUMMYFUNCTION("""COMPUTED_VALUE"""),33.0)</f>
        <v>33</v>
      </c>
      <c r="I484" s="7">
        <f>IFERROR(__xludf.DUMMYFUNCTION("""COMPUTED_VALUE"""),0.875)</f>
        <v>0.875</v>
      </c>
      <c r="J484" s="1" t="str">
        <f>IFERROR(__xludf.DUMMYFUNCTION("""COMPUTED_VALUE"""),"D")</f>
        <v>D</v>
      </c>
      <c r="K484" s="1">
        <f>IFERROR(__xludf.DUMMYFUNCTION("""COMPUTED_VALUE"""),173.0)</f>
        <v>173</v>
      </c>
      <c r="L484" s="7">
        <f>IFERROR(__xludf.DUMMYFUNCTION("""COMPUTED_VALUE"""),0.0854166666666667)</f>
        <v>0.08541666667</v>
      </c>
      <c r="M484" s="7">
        <f>IFERROR(__xludf.DUMMYFUNCTION("""COMPUTED_VALUE"""),0.04979166666666669)</f>
        <v>0.04979166667</v>
      </c>
      <c r="O484" s="9">
        <f>IFERROR(__xludf.DUMMYFUNCTION("""COMPUTED_VALUE"""),991.8500000000006)</f>
        <v>991.85</v>
      </c>
      <c r="P484" s="1" t="str">
        <f>IFERROR(__xludf.DUMMYFUNCTION("""COMPUTED_VALUE"""),"BAW")</f>
        <v>BAW</v>
      </c>
      <c r="Q484" s="1" t="str">
        <f>IFERROR(__xludf.DUMMYFUNCTION("""COMPUTED_VALUE"""),"ECAC")</f>
        <v>ECAC</v>
      </c>
    </row>
    <row r="485">
      <c r="A485" s="1" t="str">
        <f>IFERROR(__xludf.DUMMYFUNCTION("""COMPUTED_VALUE"""),"VLG39YK")</f>
        <v>VLG39YK</v>
      </c>
      <c r="B485" s="1" t="str">
        <f>IFERROR(__xludf.DUMMYFUNCTION("""COMPUTED_VALUE"""),"A320")</f>
        <v>A320</v>
      </c>
      <c r="C485" s="1" t="str">
        <f>IFERROR(__xludf.DUMMYFUNCTION("""COMPUTED_VALUE"""),"EDDL")</f>
        <v>EDDL</v>
      </c>
      <c r="D485" s="1" t="str">
        <f>IFERROR(__xludf.DUMMYFUNCTION("""COMPUTED_VALUE"""),"LEBL")</f>
        <v>LEBL</v>
      </c>
      <c r="E485" s="1" t="str">
        <f>IFERROR(__xludf.DUMMYFUNCTION("""COMPUTED_VALUE"""),"ECKRH")</f>
        <v>ECKRH</v>
      </c>
      <c r="F485" s="1">
        <f>IFERROR(__xludf.DUMMYFUNCTION("""COMPUTED_VALUE"""),390.0)</f>
        <v>390</v>
      </c>
      <c r="G485" s="7">
        <f>IFERROR(__xludf.DUMMYFUNCTION("""COMPUTED_VALUE"""),0.7958333333333333)</f>
        <v>0.7958333333</v>
      </c>
      <c r="H485" s="1">
        <f>IFERROR(__xludf.DUMMYFUNCTION("""COMPUTED_VALUE"""),11.0)</f>
        <v>11</v>
      </c>
      <c r="I485" s="7">
        <f>IFERROR(__xludf.DUMMYFUNCTION("""COMPUTED_VALUE"""),0.875)</f>
        <v>0.875</v>
      </c>
      <c r="J485" s="1" t="str">
        <f>IFERROR(__xludf.DUMMYFUNCTION("""COMPUTED_VALUE"""),"D")</f>
        <v>D</v>
      </c>
      <c r="K485" s="1">
        <f>IFERROR(__xludf.DUMMYFUNCTION("""COMPUTED_VALUE"""),173.0)</f>
        <v>173</v>
      </c>
      <c r="L485" s="7">
        <f>IFERROR(__xludf.DUMMYFUNCTION("""COMPUTED_VALUE"""),0.07916666666666672)</f>
        <v>0.07916666667</v>
      </c>
      <c r="M485" s="7">
        <f>IFERROR(__xludf.DUMMYFUNCTION("""COMPUTED_VALUE"""),0.058819444444444494)</f>
        <v>0.05881944444</v>
      </c>
      <c r="O485" s="9">
        <f>IFERROR(__xludf.DUMMYFUNCTION("""COMPUTED_VALUE"""),1171.6833333333343)</f>
        <v>1171.683333</v>
      </c>
      <c r="P485" s="1" t="str">
        <f>IFERROR(__xludf.DUMMYFUNCTION("""COMPUTED_VALUE"""),"VLG")</f>
        <v>VLG</v>
      </c>
      <c r="Q485" s="1" t="str">
        <f>IFERROR(__xludf.DUMMYFUNCTION("""COMPUTED_VALUE"""),"ECAC")</f>
        <v>ECAC</v>
      </c>
    </row>
    <row r="486">
      <c r="A486" s="1" t="str">
        <f>IFERROR(__xludf.DUMMYFUNCTION("""COMPUTED_VALUE"""),"RYR6975")</f>
        <v>RYR6975</v>
      </c>
      <c r="B486" s="1" t="str">
        <f>IFERROR(__xludf.DUMMYFUNCTION("""COMPUTED_VALUE"""),"B738")</f>
        <v>B738</v>
      </c>
      <c r="C486" s="1" t="str">
        <f>IFERROR(__xludf.DUMMYFUNCTION("""COMPUTED_VALUE"""),"LGKR")</f>
        <v>LGKR</v>
      </c>
      <c r="D486" s="1" t="str">
        <f>IFERROR(__xludf.DUMMYFUNCTION("""COMPUTED_VALUE"""),"LEBL")</f>
        <v>LEBL</v>
      </c>
      <c r="E486" s="1" t="str">
        <f>IFERROR(__xludf.DUMMYFUNCTION("""COMPUTED_VALUE"""),"EIDPI")</f>
        <v>EIDPI</v>
      </c>
      <c r="F486" s="1">
        <f>IFERROR(__xludf.DUMMYFUNCTION("""COMPUTED_VALUE"""),360.0)</f>
        <v>360</v>
      </c>
      <c r="G486" s="7">
        <f>IFERROR(__xludf.DUMMYFUNCTION("""COMPUTED_VALUE"""),0.7881944444444444)</f>
        <v>0.7881944444</v>
      </c>
      <c r="H486" s="1">
        <f>IFERROR(__xludf.DUMMYFUNCTION("""COMPUTED_VALUE"""),15.0)</f>
        <v>15</v>
      </c>
      <c r="I486" s="7">
        <f>IFERROR(__xludf.DUMMYFUNCTION("""COMPUTED_VALUE"""),0.8784722222222222)</f>
        <v>0.8784722222</v>
      </c>
      <c r="J486" s="1" t="str">
        <f>IFERROR(__xludf.DUMMYFUNCTION("""COMPUTED_VALUE"""),"D")</f>
        <v>D</v>
      </c>
      <c r="K486" s="1">
        <f>IFERROR(__xludf.DUMMYFUNCTION("""COMPUTED_VALUE"""),184.0)</f>
        <v>184</v>
      </c>
      <c r="L486" s="7">
        <f>IFERROR(__xludf.DUMMYFUNCTION("""COMPUTED_VALUE"""),0.09027777777777779)</f>
        <v>0.09027777778</v>
      </c>
      <c r="M486" s="7">
        <f>IFERROR(__xludf.DUMMYFUNCTION("""COMPUTED_VALUE"""),0.06715277777777778)</f>
        <v>0.06715277778</v>
      </c>
      <c r="O486" s="9">
        <f>IFERROR(__xludf.DUMMYFUNCTION("""COMPUTED_VALUE"""),1337.6833333333334)</f>
        <v>1337.683333</v>
      </c>
      <c r="P486" s="1" t="str">
        <f>IFERROR(__xludf.DUMMYFUNCTION("""COMPUTED_VALUE"""),"RYR")</f>
        <v>RYR</v>
      </c>
      <c r="Q486" s="1" t="str">
        <f>IFERROR(__xludf.DUMMYFUNCTION("""COMPUTED_VALUE"""),"ECAC")</f>
        <v>ECAC</v>
      </c>
    </row>
    <row r="487">
      <c r="A487" s="1" t="str">
        <f>IFERROR(__xludf.DUMMYFUNCTION("""COMPUTED_VALUE"""),"VLG6PR")</f>
        <v>VLG6PR</v>
      </c>
      <c r="B487" s="1" t="str">
        <f>IFERROR(__xludf.DUMMYFUNCTION("""COMPUTED_VALUE"""),"A21N")</f>
        <v>A21N</v>
      </c>
      <c r="C487" s="1" t="str">
        <f>IFERROR(__xludf.DUMMYFUNCTION("""COMPUTED_VALUE"""),"EGCC")</f>
        <v>EGCC</v>
      </c>
      <c r="D487" s="1" t="str">
        <f>IFERROR(__xludf.DUMMYFUNCTION("""COMPUTED_VALUE"""),"LEBL")</f>
        <v>LEBL</v>
      </c>
      <c r="E487" s="1" t="str">
        <f>IFERROR(__xludf.DUMMYFUNCTION("""COMPUTED_VALUE"""),"ECNYE")</f>
        <v>ECNYE</v>
      </c>
      <c r="F487" s="1">
        <f>IFERROR(__xludf.DUMMYFUNCTION("""COMPUTED_VALUE"""),350.0)</f>
        <v>350</v>
      </c>
      <c r="G487" s="7">
        <f>IFERROR(__xludf.DUMMYFUNCTION("""COMPUTED_VALUE"""),0.7986111111111112)</f>
        <v>0.7986111111</v>
      </c>
      <c r="H487" s="1">
        <f>IFERROR(__xludf.DUMMYFUNCTION("""COMPUTED_VALUE"""),17.0)</f>
        <v>17</v>
      </c>
      <c r="I487" s="7">
        <f>IFERROR(__xludf.DUMMYFUNCTION("""COMPUTED_VALUE"""),0.8784722222222222)</f>
        <v>0.8784722222</v>
      </c>
      <c r="J487" s="1" t="str">
        <f>IFERROR(__xludf.DUMMYFUNCTION("""COMPUTED_VALUE"""),"D")</f>
        <v>D</v>
      </c>
      <c r="K487" s="1">
        <f>IFERROR(__xludf.DUMMYFUNCTION("""COMPUTED_VALUE"""),200.0)</f>
        <v>200</v>
      </c>
      <c r="L487" s="7">
        <f>IFERROR(__xludf.DUMMYFUNCTION("""COMPUTED_VALUE"""),0.07986111111111105)</f>
        <v>0.07986111111</v>
      </c>
      <c r="M487" s="7">
        <f>IFERROR(__xludf.DUMMYFUNCTION("""COMPUTED_VALUE"""),0.05534722222222216)</f>
        <v>0.05534722222</v>
      </c>
      <c r="O487" s="9">
        <f>IFERROR(__xludf.DUMMYFUNCTION("""COMPUTED_VALUE"""),1102.5166666666655)</f>
        <v>1102.516667</v>
      </c>
      <c r="P487" s="1" t="str">
        <f>IFERROR(__xludf.DUMMYFUNCTION("""COMPUTED_VALUE"""),"VLG")</f>
        <v>VLG</v>
      </c>
      <c r="Q487" s="1" t="str">
        <f>IFERROR(__xludf.DUMMYFUNCTION("""COMPUTED_VALUE"""),"ECAC")</f>
        <v>ECAC</v>
      </c>
    </row>
    <row r="488">
      <c r="A488" s="1" t="str">
        <f>IFERROR(__xludf.DUMMYFUNCTION("""COMPUTED_VALUE"""),"ITY078")</f>
        <v>ITY078</v>
      </c>
      <c r="B488" s="1" t="str">
        <f>IFERROR(__xludf.DUMMYFUNCTION("""COMPUTED_VALUE"""),"A20N")</f>
        <v>A20N</v>
      </c>
      <c r="C488" s="1" t="str">
        <f>IFERROR(__xludf.DUMMYFUNCTION("""COMPUTED_VALUE"""),"LIRF")</f>
        <v>LIRF</v>
      </c>
      <c r="D488" s="1" t="str">
        <f>IFERROR(__xludf.DUMMYFUNCTION("""COMPUTED_VALUE"""),"LEBL")</f>
        <v>LEBL</v>
      </c>
      <c r="E488" s="1" t="str">
        <f>IFERROR(__xludf.DUMMYFUNCTION("""COMPUTED_VALUE"""),"EIHOH")</f>
        <v>EIHOH</v>
      </c>
      <c r="F488" s="1">
        <f>IFERROR(__xludf.DUMMYFUNCTION("""COMPUTED_VALUE"""),350.0)</f>
        <v>350</v>
      </c>
      <c r="G488" s="7">
        <f>IFERROR(__xludf.DUMMYFUNCTION("""COMPUTED_VALUE"""),0.8194444444444444)</f>
        <v>0.8194444444</v>
      </c>
      <c r="H488" s="1">
        <f>IFERROR(__xludf.DUMMYFUNCTION("""COMPUTED_VALUE"""),15.0)</f>
        <v>15</v>
      </c>
      <c r="I488" s="7">
        <f>IFERROR(__xludf.DUMMYFUNCTION("""COMPUTED_VALUE"""),0.8819444444444444)</f>
        <v>0.8819444444</v>
      </c>
      <c r="J488" s="1" t="str">
        <f>IFERROR(__xludf.DUMMYFUNCTION("""COMPUTED_VALUE"""),"D")</f>
        <v>D</v>
      </c>
      <c r="K488" s="1">
        <f>IFERROR(__xludf.DUMMYFUNCTION("""COMPUTED_VALUE"""),180.0)</f>
        <v>180</v>
      </c>
      <c r="L488" s="7">
        <f>IFERROR(__xludf.DUMMYFUNCTION("""COMPUTED_VALUE"""),0.0625)</f>
        <v>0.0625</v>
      </c>
      <c r="M488" s="7">
        <f>IFERROR(__xludf.DUMMYFUNCTION("""COMPUTED_VALUE"""),0.039375)</f>
        <v>0.039375</v>
      </c>
      <c r="O488" s="9">
        <f>IFERROR(__xludf.DUMMYFUNCTION("""COMPUTED_VALUE"""),784.35)</f>
        <v>784.35</v>
      </c>
      <c r="P488" s="1" t="str">
        <f>IFERROR(__xludf.DUMMYFUNCTION("""COMPUTED_VALUE"""),"ITY")</f>
        <v>ITY</v>
      </c>
      <c r="Q488" s="1" t="str">
        <f>IFERROR(__xludf.DUMMYFUNCTION("""COMPUTED_VALUE"""),"ECAC")</f>
        <v>ECAC</v>
      </c>
    </row>
    <row r="489">
      <c r="A489" s="1" t="str">
        <f>IFERROR(__xludf.DUMMYFUNCTION("""COMPUTED_VALUE"""),"RYR379H")</f>
        <v>RYR379H</v>
      </c>
      <c r="B489" s="1" t="str">
        <f>IFERROR(__xludf.DUMMYFUNCTION("""COMPUTED_VALUE"""),"B738")</f>
        <v>B738</v>
      </c>
      <c r="C489" s="1" t="str">
        <f>IFERROR(__xludf.DUMMYFUNCTION("""COMPUTED_VALUE"""),"EGPH")</f>
        <v>EGPH</v>
      </c>
      <c r="D489" s="1" t="str">
        <f>IFERROR(__xludf.DUMMYFUNCTION("""COMPUTED_VALUE"""),"LEBL")</f>
        <v>LEBL</v>
      </c>
      <c r="E489" s="1" t="str">
        <f>IFERROR(__xludf.DUMMYFUNCTION("""COMPUTED_VALUE"""),"9HQAL")</f>
        <v>9HQAL</v>
      </c>
      <c r="F489" s="1">
        <f>IFERROR(__xludf.DUMMYFUNCTION("""COMPUTED_VALUE"""),370.0)</f>
        <v>370</v>
      </c>
      <c r="G489" s="7">
        <f>IFERROR(__xludf.DUMMYFUNCTION("""COMPUTED_VALUE"""),0.78125)</f>
        <v>0.78125</v>
      </c>
      <c r="H489" s="1">
        <f>IFERROR(__xludf.DUMMYFUNCTION("""COMPUTED_VALUE"""),13.0)</f>
        <v>13</v>
      </c>
      <c r="I489" s="7">
        <f>IFERROR(__xludf.DUMMYFUNCTION("""COMPUTED_VALUE"""),0.8819444444444444)</f>
        <v>0.8819444444</v>
      </c>
      <c r="J489" s="1" t="str">
        <f>IFERROR(__xludf.DUMMYFUNCTION("""COMPUTED_VALUE"""),"D")</f>
        <v>D</v>
      </c>
      <c r="K489" s="1">
        <f>IFERROR(__xludf.DUMMYFUNCTION("""COMPUTED_VALUE"""),184.0)</f>
        <v>184</v>
      </c>
      <c r="L489" s="7">
        <f>IFERROR(__xludf.DUMMYFUNCTION("""COMPUTED_VALUE"""),0.10069444444444442)</f>
        <v>0.1006944444</v>
      </c>
      <c r="M489" s="7">
        <f>IFERROR(__xludf.DUMMYFUNCTION("""COMPUTED_VALUE"""),0.07895833333333331)</f>
        <v>0.07895833333</v>
      </c>
      <c r="O489" s="9">
        <f>IFERROR(__xludf.DUMMYFUNCTION("""COMPUTED_VALUE"""),1572.8499999999997)</f>
        <v>1572.85</v>
      </c>
      <c r="P489" s="1" t="str">
        <f>IFERROR(__xludf.DUMMYFUNCTION("""COMPUTED_VALUE"""),"RYR")</f>
        <v>RYR</v>
      </c>
      <c r="Q489" s="1" t="str">
        <f>IFERROR(__xludf.DUMMYFUNCTION("""COMPUTED_VALUE"""),"ECAC")</f>
        <v>ECAC</v>
      </c>
    </row>
    <row r="490">
      <c r="A490" s="1" t="str">
        <f>IFERROR(__xludf.DUMMYFUNCTION("""COMPUTED_VALUE"""),"DLH67E")</f>
        <v>DLH67E</v>
      </c>
      <c r="B490" s="1" t="str">
        <f>IFERROR(__xludf.DUMMYFUNCTION("""COMPUTED_VALUE"""),"A320")</f>
        <v>A320</v>
      </c>
      <c r="C490" s="1" t="str">
        <f>IFERROR(__xludf.DUMMYFUNCTION("""COMPUTED_VALUE"""),"EDDF")</f>
        <v>EDDF</v>
      </c>
      <c r="D490" s="1" t="str">
        <f>IFERROR(__xludf.DUMMYFUNCTION("""COMPUTED_VALUE"""),"LEBL")</f>
        <v>LEBL</v>
      </c>
      <c r="E490" s="1" t="str">
        <f>IFERROR(__xludf.DUMMYFUNCTION("""COMPUTED_VALUE"""),"DAIWJ")</f>
        <v>DAIWJ</v>
      </c>
      <c r="F490" s="1">
        <f>IFERROR(__xludf.DUMMYFUNCTION("""COMPUTED_VALUE"""),370.0)</f>
        <v>370</v>
      </c>
      <c r="G490" s="7">
        <f>IFERROR(__xludf.DUMMYFUNCTION("""COMPUTED_VALUE"""),0.8194444444444444)</f>
        <v>0.8194444444</v>
      </c>
      <c r="H490" s="1">
        <f>IFERROR(__xludf.DUMMYFUNCTION("""COMPUTED_VALUE"""),14.0)</f>
        <v>14</v>
      </c>
      <c r="I490" s="7">
        <f>IFERROR(__xludf.DUMMYFUNCTION("""COMPUTED_VALUE"""),0.8819444444444444)</f>
        <v>0.8819444444</v>
      </c>
      <c r="J490" s="1" t="str">
        <f>IFERROR(__xludf.DUMMYFUNCTION("""COMPUTED_VALUE"""),"D")</f>
        <v>D</v>
      </c>
      <c r="K490" s="1">
        <f>IFERROR(__xludf.DUMMYFUNCTION("""COMPUTED_VALUE"""),173.0)</f>
        <v>173</v>
      </c>
      <c r="L490" s="7">
        <f>IFERROR(__xludf.DUMMYFUNCTION("""COMPUTED_VALUE"""),0.0625)</f>
        <v>0.0625</v>
      </c>
      <c r="M490" s="7">
        <f>IFERROR(__xludf.DUMMYFUNCTION("""COMPUTED_VALUE"""),0.04006944444444444)</f>
        <v>0.04006944444</v>
      </c>
      <c r="O490" s="9">
        <f>IFERROR(__xludf.DUMMYFUNCTION("""COMPUTED_VALUE"""),798.1833333333333)</f>
        <v>798.1833333</v>
      </c>
      <c r="P490" s="1" t="str">
        <f>IFERROR(__xludf.DUMMYFUNCTION("""COMPUTED_VALUE"""),"DLH")</f>
        <v>DLH</v>
      </c>
      <c r="Q490" s="1" t="str">
        <f>IFERROR(__xludf.DUMMYFUNCTION("""COMPUTED_VALUE"""),"ECAC")</f>
        <v>ECAC</v>
      </c>
    </row>
    <row r="491">
      <c r="A491" s="1" t="str">
        <f>IFERROR(__xludf.DUMMYFUNCTION("""COMPUTED_VALUE"""),"VLG45NE")</f>
        <v>VLG45NE</v>
      </c>
      <c r="B491" s="1" t="str">
        <f>IFERROR(__xludf.DUMMYFUNCTION("""COMPUTED_VALUE"""),"A20N")</f>
        <v>A20N</v>
      </c>
      <c r="C491" s="1" t="str">
        <f>IFERROR(__xludf.DUMMYFUNCTION("""COMPUTED_VALUE"""),"LEPA")</f>
        <v>LEPA</v>
      </c>
      <c r="D491" s="1" t="str">
        <f>IFERROR(__xludf.DUMMYFUNCTION("""COMPUTED_VALUE"""),"LEBL")</f>
        <v>LEBL</v>
      </c>
      <c r="E491" s="1" t="str">
        <f>IFERROR(__xludf.DUMMYFUNCTION("""COMPUTED_VALUE"""),"ECNFK")</f>
        <v>ECNFK</v>
      </c>
      <c r="F491" s="1">
        <f>IFERROR(__xludf.DUMMYFUNCTION("""COMPUTED_VALUE"""),180.0)</f>
        <v>180</v>
      </c>
      <c r="G491" s="7">
        <f>IFERROR(__xludf.DUMMYFUNCTION("""COMPUTED_VALUE"""),0.8625)</f>
        <v>0.8625</v>
      </c>
      <c r="H491" s="1">
        <f>IFERROR(__xludf.DUMMYFUNCTION("""COMPUTED_VALUE"""),17.0)</f>
        <v>17</v>
      </c>
      <c r="I491" s="7">
        <f>IFERROR(__xludf.DUMMYFUNCTION("""COMPUTED_VALUE"""),0.8854166666666666)</f>
        <v>0.8854166667</v>
      </c>
      <c r="J491" s="1" t="str">
        <f>IFERROR(__xludf.DUMMYFUNCTION("""COMPUTED_VALUE"""),"D")</f>
        <v>D</v>
      </c>
      <c r="K491" s="1">
        <f>IFERROR(__xludf.DUMMYFUNCTION("""COMPUTED_VALUE"""),180.0)</f>
        <v>180</v>
      </c>
      <c r="L491" s="7">
        <f>IFERROR(__xludf.DUMMYFUNCTION("""COMPUTED_VALUE"""),0.022916666666666585)</f>
        <v>0.02291666667</v>
      </c>
      <c r="M491" s="7">
        <f>IFERROR(__xludf.DUMMYFUNCTION("""COMPUTED_VALUE"""),0.01111111111111103)</f>
        <v>0.01111111111</v>
      </c>
      <c r="O491" s="9">
        <f>IFERROR(__xludf.DUMMYFUNCTION("""COMPUTED_VALUE"""),221.33333333333172)</f>
        <v>221.3333333</v>
      </c>
      <c r="P491" s="1" t="str">
        <f>IFERROR(__xludf.DUMMYFUNCTION("""COMPUTED_VALUE"""),"VLG")</f>
        <v>VLG</v>
      </c>
      <c r="Q491" s="1" t="str">
        <f>IFERROR(__xludf.DUMMYFUNCTION("""COMPUTED_VALUE"""),"ECAC")</f>
        <v>ECAC</v>
      </c>
    </row>
    <row r="492">
      <c r="A492" s="1" t="str">
        <f>IFERROR(__xludf.DUMMYFUNCTION("""COMPUTED_VALUE"""),"VLG7BU")</f>
        <v>VLG7BU</v>
      </c>
      <c r="B492" s="1" t="str">
        <f>IFERROR(__xludf.DUMMYFUNCTION("""COMPUTED_VALUE"""),"A320")</f>
        <v>A320</v>
      </c>
      <c r="C492" s="1" t="str">
        <f>IFERROR(__xludf.DUMMYFUNCTION("""COMPUTED_VALUE"""),"LKPR")</f>
        <v>LKPR</v>
      </c>
      <c r="D492" s="1" t="str">
        <f>IFERROR(__xludf.DUMMYFUNCTION("""COMPUTED_VALUE"""),"LEBL")</f>
        <v>LEBL</v>
      </c>
      <c r="E492" s="1" t="str">
        <f>IFERROR(__xludf.DUMMYFUNCTION("""COMPUTED_VALUE"""),"ECOFU")</f>
        <v>ECOFU</v>
      </c>
      <c r="F492" s="1">
        <f>IFERROR(__xludf.DUMMYFUNCTION("""COMPUTED_VALUE"""),360.0)</f>
        <v>360</v>
      </c>
      <c r="G492" s="7">
        <f>IFERROR(__xludf.DUMMYFUNCTION("""COMPUTED_VALUE"""),0.8090277777777778)</f>
        <v>0.8090277778</v>
      </c>
      <c r="H492" s="1">
        <f>IFERROR(__xludf.DUMMYFUNCTION("""COMPUTED_VALUE"""),16.0)</f>
        <v>16</v>
      </c>
      <c r="I492" s="7">
        <f>IFERROR(__xludf.DUMMYFUNCTION("""COMPUTED_VALUE"""),0.8854166666666666)</f>
        <v>0.8854166667</v>
      </c>
      <c r="J492" s="1" t="str">
        <f>IFERROR(__xludf.DUMMYFUNCTION("""COMPUTED_VALUE"""),"D")</f>
        <v>D</v>
      </c>
      <c r="K492" s="1">
        <f>IFERROR(__xludf.DUMMYFUNCTION("""COMPUTED_VALUE"""),173.0)</f>
        <v>173</v>
      </c>
      <c r="L492" s="7">
        <f>IFERROR(__xludf.DUMMYFUNCTION("""COMPUTED_VALUE"""),0.07638888888888884)</f>
        <v>0.07638888889</v>
      </c>
      <c r="M492" s="7">
        <f>IFERROR(__xludf.DUMMYFUNCTION("""COMPUTED_VALUE"""),0.05256944444444439)</f>
        <v>0.05256944444</v>
      </c>
      <c r="O492" s="9">
        <f>IFERROR(__xludf.DUMMYFUNCTION("""COMPUTED_VALUE"""),1047.1833333333323)</f>
        <v>1047.183333</v>
      </c>
      <c r="P492" s="1" t="str">
        <f>IFERROR(__xludf.DUMMYFUNCTION("""COMPUTED_VALUE"""),"VLG")</f>
        <v>VLG</v>
      </c>
      <c r="Q492" s="1" t="str">
        <f>IFERROR(__xludf.DUMMYFUNCTION("""COMPUTED_VALUE"""),"ECAC")</f>
        <v>ECAC</v>
      </c>
    </row>
    <row r="493">
      <c r="A493" s="1" t="str">
        <f>IFERROR(__xludf.DUMMYFUNCTION("""COMPUTED_VALUE"""),"EOA001")</f>
        <v>EOA001</v>
      </c>
      <c r="B493" s="1" t="str">
        <f>IFERROR(__xludf.DUMMYFUNCTION("""COMPUTED_VALUE"""),"C560")</f>
        <v>C560</v>
      </c>
      <c r="C493" s="1" t="str">
        <f>IFERROR(__xludf.DUMMYFUNCTION("""COMPUTED_VALUE"""),"LGMK")</f>
        <v>LGMK</v>
      </c>
      <c r="D493" s="1" t="str">
        <f>IFERROR(__xludf.DUMMYFUNCTION("""COMPUTED_VALUE"""),"LEBL")</f>
        <v>LEBL</v>
      </c>
      <c r="E493" s="1" t="str">
        <f>IFERROR(__xludf.DUMMYFUNCTION("""COMPUTED_VALUE"""),"IZACK")</f>
        <v>IZACK</v>
      </c>
      <c r="F493" s="1">
        <f>IFERROR(__xludf.DUMMYFUNCTION("""COMPUTED_VALUE"""),430.0)</f>
        <v>430</v>
      </c>
      <c r="G493" s="7">
        <f>IFERROR(__xludf.DUMMYFUNCTION("""COMPUTED_VALUE"""),0.7583333333333333)</f>
        <v>0.7583333333</v>
      </c>
      <c r="H493" s="1">
        <f>IFERROR(__xludf.DUMMYFUNCTION("""COMPUTED_VALUE"""),7.0)</f>
        <v>7</v>
      </c>
      <c r="I493" s="7">
        <f>IFERROR(__xludf.DUMMYFUNCTION("""COMPUTED_VALUE"""),0.8888888888888888)</f>
        <v>0.8888888889</v>
      </c>
      <c r="J493" s="1" t="str">
        <f>IFERROR(__xludf.DUMMYFUNCTION("""COMPUTED_VALUE"""),"F")</f>
        <v>F</v>
      </c>
      <c r="K493" s="1">
        <f>IFERROR(__xludf.DUMMYFUNCTION("""COMPUTED_VALUE"""),8.0)</f>
        <v>8</v>
      </c>
      <c r="L493" s="7">
        <f>IFERROR(__xludf.DUMMYFUNCTION("""COMPUTED_VALUE"""),0.13055555555555554)</f>
        <v>0.1305555556</v>
      </c>
      <c r="M493" s="7">
        <f>IFERROR(__xludf.DUMMYFUNCTION("""COMPUTED_VALUE"""),0.11298611111111109)</f>
        <v>0.1129861111</v>
      </c>
      <c r="O493" s="9">
        <f>IFERROR(__xludf.DUMMYFUNCTION("""COMPUTED_VALUE"""),488.0999999999999)</f>
        <v>488.1</v>
      </c>
      <c r="P493" s="1" t="str">
        <f>IFERROR(__xludf.DUMMYFUNCTION("""COMPUTED_VALUE"""),"EOA")</f>
        <v>EOA</v>
      </c>
      <c r="Q493" s="1" t="str">
        <f>IFERROR(__xludf.DUMMYFUNCTION("""COMPUTED_VALUE"""),"ECAC")</f>
        <v>ECAC</v>
      </c>
    </row>
    <row r="494">
      <c r="A494" s="1" t="str">
        <f>IFERROR(__xludf.DUMMYFUNCTION("""COMPUTED_VALUE"""),"RYR806H")</f>
        <v>RYR806H</v>
      </c>
      <c r="B494" s="1" t="str">
        <f>IFERROR(__xludf.DUMMYFUNCTION("""COMPUTED_VALUE"""),"B738")</f>
        <v>B738</v>
      </c>
      <c r="C494" s="1" t="str">
        <f>IFERROR(__xludf.DUMMYFUNCTION("""COMPUTED_VALUE"""),"GMME")</f>
        <v>GMME</v>
      </c>
      <c r="D494" s="1" t="str">
        <f>IFERROR(__xludf.DUMMYFUNCTION("""COMPUTED_VALUE"""),"LEBL")</f>
        <v>LEBL</v>
      </c>
      <c r="E494" s="1" t="str">
        <f>IFERROR(__xludf.DUMMYFUNCTION("""COMPUTED_VALUE"""),"EIDWR")</f>
        <v>EIDWR</v>
      </c>
      <c r="F494" s="1">
        <f>IFERROR(__xludf.DUMMYFUNCTION("""COMPUTED_VALUE"""),380.0)</f>
        <v>380</v>
      </c>
      <c r="G494" s="7">
        <f>IFERROR(__xludf.DUMMYFUNCTION("""COMPUTED_VALUE"""),0.8229166666666666)</f>
        <v>0.8229166667</v>
      </c>
      <c r="H494" s="1">
        <f>IFERROR(__xludf.DUMMYFUNCTION("""COMPUTED_VALUE"""),15.0)</f>
        <v>15</v>
      </c>
      <c r="I494" s="7">
        <f>IFERROR(__xludf.DUMMYFUNCTION("""COMPUTED_VALUE"""),0.8888888888888888)</f>
        <v>0.8888888889</v>
      </c>
      <c r="J494" s="1" t="str">
        <f>IFERROR(__xludf.DUMMYFUNCTION("""COMPUTED_VALUE"""),"D")</f>
        <v>D</v>
      </c>
      <c r="K494" s="1">
        <f>IFERROR(__xludf.DUMMYFUNCTION("""COMPUTED_VALUE"""),184.0)</f>
        <v>184</v>
      </c>
      <c r="L494" s="7">
        <f>IFERROR(__xludf.DUMMYFUNCTION("""COMPUTED_VALUE"""),0.06597222222222221)</f>
        <v>0.06597222222</v>
      </c>
      <c r="M494" s="7">
        <f>IFERROR(__xludf.DUMMYFUNCTION("""COMPUTED_VALUE"""),0.04284722222222221)</f>
        <v>0.04284722222</v>
      </c>
      <c r="O494" s="9">
        <f>IFERROR(__xludf.DUMMYFUNCTION("""COMPUTED_VALUE"""),853.5166666666664)</f>
        <v>853.5166667</v>
      </c>
      <c r="P494" s="1" t="str">
        <f>IFERROR(__xludf.DUMMYFUNCTION("""COMPUTED_VALUE"""),"RYR")</f>
        <v>RYR</v>
      </c>
      <c r="Q494" s="1" t="str">
        <f>IFERROR(__xludf.DUMMYFUNCTION("""COMPUTED_VALUE"""),"NO ECAC")</f>
        <v>NO ECAC</v>
      </c>
    </row>
    <row r="495">
      <c r="A495" s="1" t="str">
        <f>IFERROR(__xludf.DUMMYFUNCTION("""COMPUTED_VALUE"""),"VLG9RB")</f>
        <v>VLG9RB</v>
      </c>
      <c r="B495" s="1" t="str">
        <f>IFERROR(__xludf.DUMMYFUNCTION("""COMPUTED_VALUE"""),"A321")</f>
        <v>A321</v>
      </c>
      <c r="C495" s="1" t="str">
        <f>IFERROR(__xludf.DUMMYFUNCTION("""COMPUTED_VALUE"""),"EHAM")</f>
        <v>EHAM</v>
      </c>
      <c r="D495" s="1" t="str">
        <f>IFERROR(__xludf.DUMMYFUNCTION("""COMPUTED_VALUE"""),"LEBL")</f>
        <v>LEBL</v>
      </c>
      <c r="E495" s="1" t="str">
        <f>IFERROR(__xludf.DUMMYFUNCTION("""COMPUTED_VALUE"""),"ECMHA")</f>
        <v>ECMHA</v>
      </c>
      <c r="F495" s="1">
        <f>IFERROR(__xludf.DUMMYFUNCTION("""COMPUTED_VALUE"""),350.0)</f>
        <v>350</v>
      </c>
      <c r="G495" s="7">
        <f>IFERROR(__xludf.DUMMYFUNCTION("""COMPUTED_VALUE"""),0.8208333333333333)</f>
        <v>0.8208333333</v>
      </c>
      <c r="H495" s="1">
        <f>IFERROR(__xludf.DUMMYFUNCTION("""COMPUTED_VALUE"""),25.0)</f>
        <v>25</v>
      </c>
      <c r="I495" s="7">
        <f>IFERROR(__xludf.DUMMYFUNCTION("""COMPUTED_VALUE"""),0.8888888888888888)</f>
        <v>0.8888888889</v>
      </c>
      <c r="J495" s="1" t="str">
        <f>IFERROR(__xludf.DUMMYFUNCTION("""COMPUTED_VALUE"""),"D")</f>
        <v>D</v>
      </c>
      <c r="K495" s="1">
        <f>IFERROR(__xludf.DUMMYFUNCTION("""COMPUTED_VALUE"""),207.0)</f>
        <v>207</v>
      </c>
      <c r="L495" s="7">
        <f>IFERROR(__xludf.DUMMYFUNCTION("""COMPUTED_VALUE"""),0.06805555555555554)</f>
        <v>0.06805555556</v>
      </c>
      <c r="M495" s="7">
        <f>IFERROR(__xludf.DUMMYFUNCTION("""COMPUTED_VALUE"""),0.03798611111111109)</f>
        <v>0.03798611111</v>
      </c>
      <c r="O495" s="9">
        <f>IFERROR(__xludf.DUMMYFUNCTION("""COMPUTED_VALUE"""),756.6833333333329)</f>
        <v>756.6833333</v>
      </c>
      <c r="P495" s="1" t="str">
        <f>IFERROR(__xludf.DUMMYFUNCTION("""COMPUTED_VALUE"""),"VLG")</f>
        <v>VLG</v>
      </c>
      <c r="Q495" s="1" t="str">
        <f>IFERROR(__xludf.DUMMYFUNCTION("""COMPUTED_VALUE"""),"ECAC")</f>
        <v>ECAC</v>
      </c>
    </row>
    <row r="496">
      <c r="A496" s="1" t="str">
        <f>IFERROR(__xludf.DUMMYFUNCTION("""COMPUTED_VALUE"""),"TAR514")</f>
        <v>TAR514</v>
      </c>
      <c r="B496" s="1" t="str">
        <f>IFERROR(__xludf.DUMMYFUNCTION("""COMPUTED_VALUE"""),"A320")</f>
        <v>A320</v>
      </c>
      <c r="C496" s="1" t="str">
        <f>IFERROR(__xludf.DUMMYFUNCTION("""COMPUTED_VALUE"""),"DTTA")</f>
        <v>DTTA</v>
      </c>
      <c r="D496" s="1" t="str">
        <f>IFERROR(__xludf.DUMMYFUNCTION("""COMPUTED_VALUE"""),"LEBL")</f>
        <v>LEBL</v>
      </c>
      <c r="E496" s="1" t="str">
        <f>IFERROR(__xludf.DUMMYFUNCTION("""COMPUTED_VALUE"""),"LYMLG")</f>
        <v>LYMLG</v>
      </c>
      <c r="F496" s="1">
        <f>IFERROR(__xludf.DUMMYFUNCTION("""COMPUTED_VALUE"""),360.0)</f>
        <v>360</v>
      </c>
      <c r="G496" s="7">
        <f>IFERROR(__xludf.DUMMYFUNCTION("""COMPUTED_VALUE"""),0.8263888888888888)</f>
        <v>0.8263888889</v>
      </c>
      <c r="H496" s="1">
        <f>IFERROR(__xludf.DUMMYFUNCTION("""COMPUTED_VALUE"""),10.0)</f>
        <v>10</v>
      </c>
      <c r="I496" s="7">
        <f>IFERROR(__xludf.DUMMYFUNCTION("""COMPUTED_VALUE"""),0.8923611111111112)</f>
        <v>0.8923611111</v>
      </c>
      <c r="J496" s="1" t="str">
        <f>IFERROR(__xludf.DUMMYFUNCTION("""COMPUTED_VALUE"""),"D")</f>
        <v>D</v>
      </c>
      <c r="K496" s="1">
        <f>IFERROR(__xludf.DUMMYFUNCTION("""COMPUTED_VALUE"""),173.0)</f>
        <v>173</v>
      </c>
      <c r="L496" s="7">
        <f>IFERROR(__xludf.DUMMYFUNCTION("""COMPUTED_VALUE"""),0.06597222222222232)</f>
        <v>0.06597222222</v>
      </c>
      <c r="M496" s="7">
        <f>IFERROR(__xludf.DUMMYFUNCTION("""COMPUTED_VALUE"""),0.04631944444444454)</f>
        <v>0.04631944444</v>
      </c>
      <c r="O496" s="9">
        <f>IFERROR(__xludf.DUMMYFUNCTION("""COMPUTED_VALUE"""),922.6833333333353)</f>
        <v>922.6833333</v>
      </c>
      <c r="P496" s="1" t="str">
        <f>IFERROR(__xludf.DUMMYFUNCTION("""COMPUTED_VALUE"""),"TAR")</f>
        <v>TAR</v>
      </c>
      <c r="Q496" s="1" t="str">
        <f>IFERROR(__xludf.DUMMYFUNCTION("""COMPUTED_VALUE"""),"NO ECAC")</f>
        <v>NO ECAC</v>
      </c>
    </row>
    <row r="497">
      <c r="A497" s="1" t="str">
        <f>IFERROR(__xludf.DUMMYFUNCTION("""COMPUTED_VALUE"""),"VLG30HZ")</f>
        <v>VLG30HZ</v>
      </c>
      <c r="B497" s="1" t="str">
        <f>IFERROR(__xludf.DUMMYFUNCTION("""COMPUTED_VALUE"""),"A320")</f>
        <v>A320</v>
      </c>
      <c r="C497" s="1" t="str">
        <f>IFERROR(__xludf.DUMMYFUNCTION("""COMPUTED_VALUE"""),"EDDM")</f>
        <v>EDDM</v>
      </c>
      <c r="D497" s="1" t="str">
        <f>IFERROR(__xludf.DUMMYFUNCTION("""COMPUTED_VALUE"""),"LEBL")</f>
        <v>LEBL</v>
      </c>
      <c r="E497" s="1" t="str">
        <f>IFERROR(__xludf.DUMMYFUNCTION("""COMPUTED_VALUE"""),"ECMYC")</f>
        <v>ECMYC</v>
      </c>
      <c r="F497" s="1">
        <f>IFERROR(__xludf.DUMMYFUNCTION("""COMPUTED_VALUE"""),370.0)</f>
        <v>370</v>
      </c>
      <c r="G497" s="7">
        <f>IFERROR(__xludf.DUMMYFUNCTION("""COMPUTED_VALUE"""),0.8263888888888888)</f>
        <v>0.8263888889</v>
      </c>
      <c r="H497" s="1">
        <f>IFERROR(__xludf.DUMMYFUNCTION("""COMPUTED_VALUE"""),14.0)</f>
        <v>14</v>
      </c>
      <c r="I497" s="7">
        <f>IFERROR(__xludf.DUMMYFUNCTION("""COMPUTED_VALUE"""),0.8923611111111112)</f>
        <v>0.8923611111</v>
      </c>
      <c r="J497" s="1" t="str">
        <f>IFERROR(__xludf.DUMMYFUNCTION("""COMPUTED_VALUE"""),"D")</f>
        <v>D</v>
      </c>
      <c r="K497" s="1">
        <f>IFERROR(__xludf.DUMMYFUNCTION("""COMPUTED_VALUE"""),173.0)</f>
        <v>173</v>
      </c>
      <c r="L497" s="7">
        <f>IFERROR(__xludf.DUMMYFUNCTION("""COMPUTED_VALUE"""),0.06597222222222232)</f>
        <v>0.06597222222</v>
      </c>
      <c r="M497" s="7">
        <f>IFERROR(__xludf.DUMMYFUNCTION("""COMPUTED_VALUE"""),0.04354166666666676)</f>
        <v>0.04354166667</v>
      </c>
      <c r="O497" s="9">
        <f>IFERROR(__xludf.DUMMYFUNCTION("""COMPUTED_VALUE"""),867.350000000002)</f>
        <v>867.35</v>
      </c>
      <c r="P497" s="1" t="str">
        <f>IFERROR(__xludf.DUMMYFUNCTION("""COMPUTED_VALUE"""),"VLG")</f>
        <v>VLG</v>
      </c>
      <c r="Q497" s="1" t="str">
        <f>IFERROR(__xludf.DUMMYFUNCTION("""COMPUTED_VALUE"""),"ECAC")</f>
        <v>ECAC</v>
      </c>
    </row>
    <row r="498">
      <c r="A498" s="1" t="str">
        <f>IFERROR(__xludf.DUMMYFUNCTION("""COMPUTED_VALUE"""),"VLG5LE")</f>
        <v>VLG5LE</v>
      </c>
      <c r="B498" s="1" t="str">
        <f>IFERROR(__xludf.DUMMYFUNCTION("""COMPUTED_VALUE"""),"A321")</f>
        <v>A321</v>
      </c>
      <c r="C498" s="1" t="str">
        <f>IFERROR(__xludf.DUMMYFUNCTION("""COMPUTED_VALUE"""),"LICC")</f>
        <v>LICC</v>
      </c>
      <c r="D498" s="1" t="str">
        <f>IFERROR(__xludf.DUMMYFUNCTION("""COMPUTED_VALUE"""),"LEBL")</f>
        <v>LEBL</v>
      </c>
      <c r="E498" s="1" t="str">
        <f>IFERROR(__xludf.DUMMYFUNCTION("""COMPUTED_VALUE"""),"ECMPV")</f>
        <v>ECMPV</v>
      </c>
      <c r="F498" s="1">
        <f>IFERROR(__xludf.DUMMYFUNCTION("""COMPUTED_VALUE"""),340.0)</f>
        <v>340</v>
      </c>
      <c r="G498" s="7">
        <f>IFERROR(__xludf.DUMMYFUNCTION("""COMPUTED_VALUE"""),0.825)</f>
        <v>0.825</v>
      </c>
      <c r="H498" s="1">
        <f>IFERROR(__xludf.DUMMYFUNCTION("""COMPUTED_VALUE"""),11.0)</f>
        <v>11</v>
      </c>
      <c r="I498" s="7">
        <f>IFERROR(__xludf.DUMMYFUNCTION("""COMPUTED_VALUE"""),0.8958333333333334)</f>
        <v>0.8958333333</v>
      </c>
      <c r="J498" s="1" t="str">
        <f>IFERROR(__xludf.DUMMYFUNCTION("""COMPUTED_VALUE"""),"D")</f>
        <v>D</v>
      </c>
      <c r="K498" s="1">
        <f>IFERROR(__xludf.DUMMYFUNCTION("""COMPUTED_VALUE"""),207.0)</f>
        <v>207</v>
      </c>
      <c r="L498" s="7">
        <f>IFERROR(__xludf.DUMMYFUNCTION("""COMPUTED_VALUE"""),0.07083333333333341)</f>
        <v>0.07083333333</v>
      </c>
      <c r="M498" s="7">
        <f>IFERROR(__xludf.DUMMYFUNCTION("""COMPUTED_VALUE"""),0.05048611111111119)</f>
        <v>0.05048611111</v>
      </c>
      <c r="O498" s="9">
        <f>IFERROR(__xludf.DUMMYFUNCTION("""COMPUTED_VALUE"""),1005.683333333335)</f>
        <v>1005.683333</v>
      </c>
      <c r="P498" s="1" t="str">
        <f>IFERROR(__xludf.DUMMYFUNCTION("""COMPUTED_VALUE"""),"VLG")</f>
        <v>VLG</v>
      </c>
      <c r="Q498" s="1" t="str">
        <f>IFERROR(__xludf.DUMMYFUNCTION("""COMPUTED_VALUE"""),"ECAC")</f>
        <v>ECAC</v>
      </c>
    </row>
    <row r="499">
      <c r="A499" s="1" t="str">
        <f>IFERROR(__xludf.DUMMYFUNCTION("""COMPUTED_VALUE"""),"EJU12GP")</f>
        <v>EJU12GP</v>
      </c>
      <c r="B499" s="1" t="str">
        <f>IFERROR(__xludf.DUMMYFUNCTION("""COMPUTED_VALUE"""),"A319")</f>
        <v>A319</v>
      </c>
      <c r="C499" s="1" t="str">
        <f>IFERROR(__xludf.DUMMYFUNCTION("""COMPUTED_VALUE"""),"LIMC")</f>
        <v>LIMC</v>
      </c>
      <c r="D499" s="1" t="str">
        <f>IFERROR(__xludf.DUMMYFUNCTION("""COMPUTED_VALUE"""),"LEBL")</f>
        <v>LEBL</v>
      </c>
      <c r="E499" s="1" t="str">
        <f>IFERROR(__xludf.DUMMYFUNCTION("""COMPUTED_VALUE"""),"OELQQ")</f>
        <v>OELQQ</v>
      </c>
      <c r="F499" s="1">
        <f>IFERROR(__xludf.DUMMYFUNCTION("""COMPUTED_VALUE"""),350.0)</f>
        <v>350</v>
      </c>
      <c r="G499" s="7">
        <f>IFERROR(__xludf.DUMMYFUNCTION("""COMPUTED_VALUE"""),0.8458333333333333)</f>
        <v>0.8458333333</v>
      </c>
      <c r="H499" s="1">
        <f>IFERROR(__xludf.DUMMYFUNCTION("""COMPUTED_VALUE"""),12.0)</f>
        <v>12</v>
      </c>
      <c r="I499" s="7">
        <f>IFERROR(__xludf.DUMMYFUNCTION("""COMPUTED_VALUE"""),0.8958333333333334)</f>
        <v>0.8958333333</v>
      </c>
      <c r="J499" s="1" t="str">
        <f>IFERROR(__xludf.DUMMYFUNCTION("""COMPUTED_VALUE"""),"D")</f>
        <v>D</v>
      </c>
      <c r="K499" s="1">
        <f>IFERROR(__xludf.DUMMYFUNCTION("""COMPUTED_VALUE"""),144.0)</f>
        <v>144</v>
      </c>
      <c r="L499" s="7">
        <f>IFERROR(__xludf.DUMMYFUNCTION("""COMPUTED_VALUE"""),0.050000000000000044)</f>
        <v>0.05</v>
      </c>
      <c r="M499" s="7">
        <f>IFERROR(__xludf.DUMMYFUNCTION("""COMPUTED_VALUE"""),0.028958333333333378)</f>
        <v>0.02895833333</v>
      </c>
      <c r="O499" s="9">
        <f>IFERROR(__xludf.DUMMYFUNCTION("""COMPUTED_VALUE"""),576.8500000000009)</f>
        <v>576.85</v>
      </c>
      <c r="P499" s="1" t="str">
        <f>IFERROR(__xludf.DUMMYFUNCTION("""COMPUTED_VALUE"""),"EJU")</f>
        <v>EJU</v>
      </c>
      <c r="Q499" s="1" t="str">
        <f>IFERROR(__xludf.DUMMYFUNCTION("""COMPUTED_VALUE"""),"ECAC")</f>
        <v>ECAC</v>
      </c>
    </row>
    <row r="500">
      <c r="A500" s="1" t="str">
        <f>IFERROR(__xludf.DUMMYFUNCTION("""COMPUTED_VALUE"""),"RYR6PQ")</f>
        <v>RYR6PQ</v>
      </c>
      <c r="B500" s="1" t="str">
        <f>IFERROR(__xludf.DUMMYFUNCTION("""COMPUTED_VALUE"""),"B38M")</f>
        <v>B38M</v>
      </c>
      <c r="C500" s="1" t="str">
        <f>IFERROR(__xludf.DUMMYFUNCTION("""COMPUTED_VALUE"""),"LEMG")</f>
        <v>LEMG</v>
      </c>
      <c r="D500" s="1" t="str">
        <f>IFERROR(__xludf.DUMMYFUNCTION("""COMPUTED_VALUE"""),"LEBL")</f>
        <v>LEBL</v>
      </c>
      <c r="E500" s="1" t="str">
        <f>IFERROR(__xludf.DUMMYFUNCTION("""COMPUTED_VALUE"""),"EIIJX")</f>
        <v>EIIJX</v>
      </c>
      <c r="F500" s="1">
        <f>IFERROR(__xludf.DUMMYFUNCTION("""COMPUTED_VALUE"""),380.0)</f>
        <v>380</v>
      </c>
      <c r="G500" s="7">
        <f>IFERROR(__xludf.DUMMYFUNCTION("""COMPUTED_VALUE"""),0.8381944444444445)</f>
        <v>0.8381944444</v>
      </c>
      <c r="H500" s="1">
        <f>IFERROR(__xludf.DUMMYFUNCTION("""COMPUTED_VALUE"""),15.0)</f>
        <v>15</v>
      </c>
      <c r="I500" s="7">
        <f>IFERROR(__xludf.DUMMYFUNCTION("""COMPUTED_VALUE"""),0.8958333333333334)</f>
        <v>0.8958333333</v>
      </c>
      <c r="J500" s="1" t="str">
        <f>IFERROR(__xludf.DUMMYFUNCTION("""COMPUTED_VALUE"""),"D")</f>
        <v>D</v>
      </c>
      <c r="K500" s="1">
        <f>IFERROR(__xludf.DUMMYFUNCTION("""COMPUTED_VALUE"""),186.0)</f>
        <v>186</v>
      </c>
      <c r="L500" s="7">
        <f>IFERROR(__xludf.DUMMYFUNCTION("""COMPUTED_VALUE"""),0.057638888888888906)</f>
        <v>0.05763888889</v>
      </c>
      <c r="M500" s="7">
        <f>IFERROR(__xludf.DUMMYFUNCTION("""COMPUTED_VALUE"""),0.034513888888888906)</f>
        <v>0.03451388889</v>
      </c>
      <c r="O500" s="9">
        <f>IFERROR(__xludf.DUMMYFUNCTION("""COMPUTED_VALUE"""),687.5166666666671)</f>
        <v>687.5166667</v>
      </c>
      <c r="P500" s="1" t="str">
        <f>IFERROR(__xludf.DUMMYFUNCTION("""COMPUTED_VALUE"""),"RYR")</f>
        <v>RYR</v>
      </c>
      <c r="Q500" s="1" t="str">
        <f>IFERROR(__xludf.DUMMYFUNCTION("""COMPUTED_VALUE"""),"ECAC")</f>
        <v>ECAC</v>
      </c>
    </row>
    <row r="501">
      <c r="A501" s="1" t="str">
        <f>IFERROR(__xludf.DUMMYFUNCTION("""COMPUTED_VALUE"""),"VLG9JB")</f>
        <v>VLG9JB</v>
      </c>
      <c r="B501" s="1" t="str">
        <f>IFERROR(__xludf.DUMMYFUNCTION("""COMPUTED_VALUE"""),"A321")</f>
        <v>A321</v>
      </c>
      <c r="C501" s="1" t="str">
        <f>IFERROR(__xludf.DUMMYFUNCTION("""COMPUTED_VALUE"""),"LIMC")</f>
        <v>LIMC</v>
      </c>
      <c r="D501" s="1" t="str">
        <f>IFERROR(__xludf.DUMMYFUNCTION("""COMPUTED_VALUE"""),"LEBL")</f>
        <v>LEBL</v>
      </c>
      <c r="E501" s="1" t="str">
        <f>IFERROR(__xludf.DUMMYFUNCTION("""COMPUTED_VALUE"""),"ECNLV")</f>
        <v>ECNLV</v>
      </c>
      <c r="F501" s="1">
        <f>IFERROR(__xludf.DUMMYFUNCTION("""COMPUTED_VALUE"""),290.0)</f>
        <v>290</v>
      </c>
      <c r="G501" s="7">
        <f>IFERROR(__xludf.DUMMYFUNCTION("""COMPUTED_VALUE"""),0.85625)</f>
        <v>0.85625</v>
      </c>
      <c r="H501" s="1">
        <f>IFERROR(__xludf.DUMMYFUNCTION("""COMPUTED_VALUE"""),13.0)</f>
        <v>13</v>
      </c>
      <c r="I501" s="7">
        <f>IFERROR(__xludf.DUMMYFUNCTION("""COMPUTED_VALUE"""),0.8993055555555556)</f>
        <v>0.8993055556</v>
      </c>
      <c r="J501" s="1" t="str">
        <f>IFERROR(__xludf.DUMMYFUNCTION("""COMPUTED_VALUE"""),"D")</f>
        <v>D</v>
      </c>
      <c r="K501" s="1">
        <f>IFERROR(__xludf.DUMMYFUNCTION("""COMPUTED_VALUE"""),207.0)</f>
        <v>207</v>
      </c>
      <c r="L501" s="7">
        <f>IFERROR(__xludf.DUMMYFUNCTION("""COMPUTED_VALUE"""),0.043055555555555625)</f>
        <v>0.04305555556</v>
      </c>
      <c r="M501" s="7">
        <f>IFERROR(__xludf.DUMMYFUNCTION("""COMPUTED_VALUE"""),0.021319444444444512)</f>
        <v>0.02131944444</v>
      </c>
      <c r="O501" s="9">
        <f>IFERROR(__xludf.DUMMYFUNCTION("""COMPUTED_VALUE"""),424.68333333333464)</f>
        <v>424.6833333</v>
      </c>
      <c r="P501" s="1" t="str">
        <f>IFERROR(__xludf.DUMMYFUNCTION("""COMPUTED_VALUE"""),"VLG")</f>
        <v>VLG</v>
      </c>
      <c r="Q501" s="1" t="str">
        <f>IFERROR(__xludf.DUMMYFUNCTION("""COMPUTED_VALUE"""),"ECAC")</f>
        <v>ECAC</v>
      </c>
    </row>
    <row r="502">
      <c r="A502" s="1" t="str">
        <f>IFERROR(__xludf.DUMMYFUNCTION("""COMPUTED_VALUE"""),"VLG40UD")</f>
        <v>VLG40UD</v>
      </c>
      <c r="B502" s="1" t="str">
        <f>IFERROR(__xludf.DUMMYFUNCTION("""COMPUTED_VALUE"""),"A321")</f>
        <v>A321</v>
      </c>
      <c r="C502" s="1" t="str">
        <f>IFERROR(__xludf.DUMMYFUNCTION("""COMPUTED_VALUE"""),"EDDB")</f>
        <v>EDDB</v>
      </c>
      <c r="D502" s="1" t="str">
        <f>IFERROR(__xludf.DUMMYFUNCTION("""COMPUTED_VALUE"""),"LEBL")</f>
        <v>LEBL</v>
      </c>
      <c r="E502" s="1" t="str">
        <f>IFERROR(__xludf.DUMMYFUNCTION("""COMPUTED_VALUE"""),"ECNLX")</f>
        <v>ECNLX</v>
      </c>
      <c r="F502" s="1">
        <f>IFERROR(__xludf.DUMMYFUNCTION("""COMPUTED_VALUE"""),350.0)</f>
        <v>350</v>
      </c>
      <c r="G502" s="7">
        <f>IFERROR(__xludf.DUMMYFUNCTION("""COMPUTED_VALUE"""),0.8131944444444444)</f>
        <v>0.8131944444</v>
      </c>
      <c r="H502" s="1">
        <f>IFERROR(__xludf.DUMMYFUNCTION("""COMPUTED_VALUE"""),8.0)</f>
        <v>8</v>
      </c>
      <c r="I502" s="7">
        <f>IFERROR(__xludf.DUMMYFUNCTION("""COMPUTED_VALUE"""),0.8993055555555556)</f>
        <v>0.8993055556</v>
      </c>
      <c r="J502" s="1" t="str">
        <f>IFERROR(__xludf.DUMMYFUNCTION("""COMPUTED_VALUE"""),"D")</f>
        <v>D</v>
      </c>
      <c r="K502" s="1">
        <f>IFERROR(__xludf.DUMMYFUNCTION("""COMPUTED_VALUE"""),207.0)</f>
        <v>207</v>
      </c>
      <c r="L502" s="7">
        <f>IFERROR(__xludf.DUMMYFUNCTION("""COMPUTED_VALUE"""),0.08611111111111114)</f>
        <v>0.08611111111</v>
      </c>
      <c r="M502" s="7">
        <f>IFERROR(__xludf.DUMMYFUNCTION("""COMPUTED_VALUE"""),0.06784722222222225)</f>
        <v>0.06784722222</v>
      </c>
      <c r="O502" s="9">
        <f>IFERROR(__xludf.DUMMYFUNCTION("""COMPUTED_VALUE"""),1351.5166666666673)</f>
        <v>1351.516667</v>
      </c>
      <c r="P502" s="1" t="str">
        <f>IFERROR(__xludf.DUMMYFUNCTION("""COMPUTED_VALUE"""),"VLG")</f>
        <v>VLG</v>
      </c>
      <c r="Q502" s="1" t="str">
        <f>IFERROR(__xludf.DUMMYFUNCTION("""COMPUTED_VALUE"""),"ECAC")</f>
        <v>ECAC</v>
      </c>
    </row>
    <row r="503">
      <c r="A503" s="1" t="str">
        <f>IFERROR(__xludf.DUMMYFUNCTION("""COMPUTED_VALUE"""),"VLG1BA")</f>
        <v>VLG1BA</v>
      </c>
      <c r="B503" s="1" t="str">
        <f>IFERROR(__xludf.DUMMYFUNCTION("""COMPUTED_VALUE"""),"A321")</f>
        <v>A321</v>
      </c>
      <c r="C503" s="1" t="str">
        <f>IFERROR(__xludf.DUMMYFUNCTION("""COMPUTED_VALUE"""),"EGKK")</f>
        <v>EGKK</v>
      </c>
      <c r="D503" s="1" t="str">
        <f>IFERROR(__xludf.DUMMYFUNCTION("""COMPUTED_VALUE"""),"LEBL")</f>
        <v>LEBL</v>
      </c>
      <c r="E503" s="1" t="str">
        <f>IFERROR(__xludf.DUMMYFUNCTION("""COMPUTED_VALUE"""),"ECMQL")</f>
        <v>ECMQL</v>
      </c>
      <c r="F503" s="1">
        <f>IFERROR(__xludf.DUMMYFUNCTION("""COMPUTED_VALUE"""),350.0)</f>
        <v>350</v>
      </c>
      <c r="G503" s="7">
        <f>IFERROR(__xludf.DUMMYFUNCTION("""COMPUTED_VALUE"""),0.8375)</f>
        <v>0.8375</v>
      </c>
      <c r="H503" s="1">
        <f>IFERROR(__xludf.DUMMYFUNCTION("""COMPUTED_VALUE"""),15.0)</f>
        <v>15</v>
      </c>
      <c r="I503" s="7">
        <f>IFERROR(__xludf.DUMMYFUNCTION("""COMPUTED_VALUE"""),0.8993055555555556)</f>
        <v>0.8993055556</v>
      </c>
      <c r="J503" s="1" t="str">
        <f>IFERROR(__xludf.DUMMYFUNCTION("""COMPUTED_VALUE"""),"D")</f>
        <v>D</v>
      </c>
      <c r="K503" s="1">
        <f>IFERROR(__xludf.DUMMYFUNCTION("""COMPUTED_VALUE"""),207.0)</f>
        <v>207</v>
      </c>
      <c r="L503" s="7">
        <f>IFERROR(__xludf.DUMMYFUNCTION("""COMPUTED_VALUE"""),0.06180555555555556)</f>
        <v>0.06180555556</v>
      </c>
      <c r="M503" s="7">
        <f>IFERROR(__xludf.DUMMYFUNCTION("""COMPUTED_VALUE"""),0.03868055555555556)</f>
        <v>0.03868055556</v>
      </c>
      <c r="O503" s="9">
        <f>IFERROR(__xludf.DUMMYFUNCTION("""COMPUTED_VALUE"""),770.5166666666668)</f>
        <v>770.5166667</v>
      </c>
      <c r="P503" s="1" t="str">
        <f>IFERROR(__xludf.DUMMYFUNCTION("""COMPUTED_VALUE"""),"VLG")</f>
        <v>VLG</v>
      </c>
      <c r="Q503" s="1" t="str">
        <f>IFERROR(__xludf.DUMMYFUNCTION("""COMPUTED_VALUE"""),"ECAC")</f>
        <v>ECAC</v>
      </c>
    </row>
    <row r="504">
      <c r="A504" s="1" t="str">
        <f>IFERROR(__xludf.DUMMYFUNCTION("""COMPUTED_VALUE"""),"PAV542H")</f>
        <v>PAV542H</v>
      </c>
      <c r="B504" s="1" t="str">
        <f>IFERROR(__xludf.DUMMYFUNCTION("""COMPUTED_VALUE"""),"C525")</f>
        <v>C525</v>
      </c>
      <c r="C504" s="1" t="str">
        <f>IFERROR(__xludf.DUMMYFUNCTION("""COMPUTED_VALUE"""),"LEVX")</f>
        <v>LEVX</v>
      </c>
      <c r="D504" s="1" t="str">
        <f>IFERROR(__xludf.DUMMYFUNCTION("""COMPUTED_VALUE"""),"LEBL")</f>
        <v>LEBL</v>
      </c>
      <c r="E504" s="1" t="str">
        <f>IFERROR(__xludf.DUMMYFUNCTION("""COMPUTED_VALUE"""),"DIJLJ")</f>
        <v>DIJLJ</v>
      </c>
      <c r="F504" s="1">
        <f>IFERROR(__xludf.DUMMYFUNCTION("""COMPUTED_VALUE"""),320.0)</f>
        <v>320</v>
      </c>
      <c r="G504" s="7">
        <f>IFERROR(__xludf.DUMMYFUNCTION("""COMPUTED_VALUE"""),0.8402777777777778)</f>
        <v>0.8402777778</v>
      </c>
      <c r="H504" s="1">
        <f>IFERROR(__xludf.DUMMYFUNCTION("""COMPUTED_VALUE"""),5.0)</f>
        <v>5</v>
      </c>
      <c r="I504" s="7">
        <f>IFERROR(__xludf.DUMMYFUNCTION("""COMPUTED_VALUE"""),0.9027777777777778)</f>
        <v>0.9027777778</v>
      </c>
      <c r="J504" s="1" t="str">
        <f>IFERROR(__xludf.DUMMYFUNCTION("""COMPUTED_VALUE"""),"F")</f>
        <v>F</v>
      </c>
      <c r="K504" s="1">
        <f>IFERROR(__xludf.DUMMYFUNCTION("""COMPUTED_VALUE"""),6.0)</f>
        <v>6</v>
      </c>
      <c r="L504" s="7">
        <f>IFERROR(__xludf.DUMMYFUNCTION("""COMPUTED_VALUE"""),0.0625)</f>
        <v>0.0625</v>
      </c>
      <c r="M504" s="7">
        <f>IFERROR(__xludf.DUMMYFUNCTION("""COMPUTED_VALUE"""),0.04631944444444444)</f>
        <v>0.04631944444</v>
      </c>
      <c r="O504" s="9">
        <f>IFERROR(__xludf.DUMMYFUNCTION("""COMPUTED_VALUE"""),200.1)</f>
        <v>200.1</v>
      </c>
      <c r="P504" s="1" t="str">
        <f>IFERROR(__xludf.DUMMYFUNCTION("""COMPUTED_VALUE"""),"PAV")</f>
        <v>PAV</v>
      </c>
      <c r="Q504" s="1" t="str">
        <f>IFERROR(__xludf.DUMMYFUNCTION("""COMPUTED_VALUE"""),"NO ECAC")</f>
        <v>NO ECAC</v>
      </c>
    </row>
    <row r="505">
      <c r="A505" s="1" t="str">
        <f>IFERROR(__xludf.DUMMYFUNCTION("""COMPUTED_VALUE"""),"VLG8DM")</f>
        <v>VLG8DM</v>
      </c>
      <c r="B505" s="1" t="str">
        <f>IFERROR(__xludf.DUMMYFUNCTION("""COMPUTED_VALUE"""),"A319")</f>
        <v>A319</v>
      </c>
      <c r="C505" s="1" t="str">
        <f>IFERROR(__xludf.DUMMYFUNCTION("""COMPUTED_VALUE"""),"LFPO")</f>
        <v>LFPO</v>
      </c>
      <c r="D505" s="1" t="str">
        <f>IFERROR(__xludf.DUMMYFUNCTION("""COMPUTED_VALUE"""),"LEBL")</f>
        <v>LEBL</v>
      </c>
      <c r="E505" s="1" t="str">
        <f>IFERROR(__xludf.DUMMYFUNCTION("""COMPUTED_VALUE"""),"ECMIR")</f>
        <v>ECMIR</v>
      </c>
      <c r="F505" s="1">
        <f>IFERROR(__xludf.DUMMYFUNCTION("""COMPUTED_VALUE"""),390.0)</f>
        <v>390</v>
      </c>
      <c r="G505" s="7">
        <f>IFERROR(__xludf.DUMMYFUNCTION("""COMPUTED_VALUE"""),0.8493055555555555)</f>
        <v>0.8493055556</v>
      </c>
      <c r="H505" s="1">
        <f>IFERROR(__xludf.DUMMYFUNCTION("""COMPUTED_VALUE"""),10.0)</f>
        <v>10</v>
      </c>
      <c r="I505" s="7">
        <f>IFERROR(__xludf.DUMMYFUNCTION("""COMPUTED_VALUE"""),0.9027777777777778)</f>
        <v>0.9027777778</v>
      </c>
      <c r="J505" s="1" t="str">
        <f>IFERROR(__xludf.DUMMYFUNCTION("""COMPUTED_VALUE"""),"D")</f>
        <v>D</v>
      </c>
      <c r="K505" s="1">
        <f>IFERROR(__xludf.DUMMYFUNCTION("""COMPUTED_VALUE"""),144.0)</f>
        <v>144</v>
      </c>
      <c r="L505" s="7">
        <f>IFERROR(__xludf.DUMMYFUNCTION("""COMPUTED_VALUE"""),0.053472222222222254)</f>
        <v>0.05347222222</v>
      </c>
      <c r="M505" s="7">
        <f>IFERROR(__xludf.DUMMYFUNCTION("""COMPUTED_VALUE"""),0.03381944444444447)</f>
        <v>0.03381944444</v>
      </c>
      <c r="O505" s="9">
        <f>IFERROR(__xludf.DUMMYFUNCTION("""COMPUTED_VALUE"""),673.6833333333338)</f>
        <v>673.6833333</v>
      </c>
      <c r="P505" s="1" t="str">
        <f>IFERROR(__xludf.DUMMYFUNCTION("""COMPUTED_VALUE"""),"VLG")</f>
        <v>VLG</v>
      </c>
      <c r="Q505" s="1" t="str">
        <f>IFERROR(__xludf.DUMMYFUNCTION("""COMPUTED_VALUE"""),"ECAC")</f>
        <v>ECAC</v>
      </c>
    </row>
    <row r="506">
      <c r="A506" s="1" t="str">
        <f>IFERROR(__xludf.DUMMYFUNCTION("""COMPUTED_VALUE"""),"VLG82NK")</f>
        <v>VLG82NK</v>
      </c>
      <c r="B506" s="1" t="str">
        <f>IFERROR(__xludf.DUMMYFUNCTION("""COMPUTED_VALUE"""),"A321")</f>
        <v>A321</v>
      </c>
      <c r="C506" s="1" t="str">
        <f>IFERROR(__xludf.DUMMYFUNCTION("""COMPUTED_VALUE"""),"LIRF")</f>
        <v>LIRF</v>
      </c>
      <c r="D506" s="1" t="str">
        <f>IFERROR(__xludf.DUMMYFUNCTION("""COMPUTED_VALUE"""),"LEBL")</f>
        <v>LEBL</v>
      </c>
      <c r="E506" s="1" t="str">
        <f>IFERROR(__xludf.DUMMYFUNCTION("""COMPUTED_VALUE"""),"ECMGZ")</f>
        <v>ECMGZ</v>
      </c>
      <c r="F506" s="1">
        <f>IFERROR(__xludf.DUMMYFUNCTION("""COMPUTED_VALUE"""),340.0)</f>
        <v>340</v>
      </c>
      <c r="G506" s="7">
        <f>IFERROR(__xludf.DUMMYFUNCTION("""COMPUTED_VALUE"""),0.8458333333333333)</f>
        <v>0.8458333333</v>
      </c>
      <c r="H506" s="1">
        <f>IFERROR(__xludf.DUMMYFUNCTION("""COMPUTED_VALUE"""),13.0)</f>
        <v>13</v>
      </c>
      <c r="I506" s="7">
        <f>IFERROR(__xludf.DUMMYFUNCTION("""COMPUTED_VALUE"""),0.90625)</f>
        <v>0.90625</v>
      </c>
      <c r="J506" s="1" t="str">
        <f>IFERROR(__xludf.DUMMYFUNCTION("""COMPUTED_VALUE"""),"D")</f>
        <v>D</v>
      </c>
      <c r="K506" s="1">
        <f>IFERROR(__xludf.DUMMYFUNCTION("""COMPUTED_VALUE"""),207.0)</f>
        <v>207</v>
      </c>
      <c r="L506" s="7">
        <f>IFERROR(__xludf.DUMMYFUNCTION("""COMPUTED_VALUE"""),0.060416666666666674)</f>
        <v>0.06041666667</v>
      </c>
      <c r="M506" s="7">
        <f>IFERROR(__xludf.DUMMYFUNCTION("""COMPUTED_VALUE"""),0.038680555555555565)</f>
        <v>0.03868055556</v>
      </c>
      <c r="O506" s="9">
        <f>IFERROR(__xludf.DUMMYFUNCTION("""COMPUTED_VALUE"""),770.5166666666669)</f>
        <v>770.5166667</v>
      </c>
      <c r="P506" s="1" t="str">
        <f>IFERROR(__xludf.DUMMYFUNCTION("""COMPUTED_VALUE"""),"VLG")</f>
        <v>VLG</v>
      </c>
      <c r="Q506" s="1" t="str">
        <f>IFERROR(__xludf.DUMMYFUNCTION("""COMPUTED_VALUE"""),"ECAC")</f>
        <v>ECAC</v>
      </c>
    </row>
    <row r="507">
      <c r="A507" s="1" t="str">
        <f>IFERROR(__xludf.DUMMYFUNCTION("""COMPUTED_VALUE"""),"VLG8BT")</f>
        <v>VLG8BT</v>
      </c>
      <c r="B507" s="1" t="str">
        <f>IFERROR(__xludf.DUMMYFUNCTION("""COMPUTED_VALUE"""),"A21N")</f>
        <v>A21N</v>
      </c>
      <c r="C507" s="1" t="str">
        <f>IFERROR(__xludf.DUMMYFUNCTION("""COMPUTED_VALUE"""),"LEMH")</f>
        <v>LEMH</v>
      </c>
      <c r="D507" s="1" t="str">
        <f>IFERROR(__xludf.DUMMYFUNCTION("""COMPUTED_VALUE"""),"LEBL")</f>
        <v>LEBL</v>
      </c>
      <c r="E507" s="1" t="str">
        <f>IFERROR(__xludf.DUMMYFUNCTION("""COMPUTED_VALUE"""),"ECNYF")</f>
        <v>ECNYF</v>
      </c>
      <c r="F507" s="1">
        <f>IFERROR(__xludf.DUMMYFUNCTION("""COMPUTED_VALUE"""),180.0)</f>
        <v>180</v>
      </c>
      <c r="G507" s="7">
        <f>IFERROR(__xludf.DUMMYFUNCTION("""COMPUTED_VALUE"""),0.8847222222222222)</f>
        <v>0.8847222222</v>
      </c>
      <c r="H507" s="1">
        <f>IFERROR(__xludf.DUMMYFUNCTION("""COMPUTED_VALUE"""),10.0)</f>
        <v>10</v>
      </c>
      <c r="I507" s="7">
        <f>IFERROR(__xludf.DUMMYFUNCTION("""COMPUTED_VALUE"""),0.90625)</f>
        <v>0.90625</v>
      </c>
      <c r="J507" s="1" t="str">
        <f>IFERROR(__xludf.DUMMYFUNCTION("""COMPUTED_VALUE"""),"D")</f>
        <v>D</v>
      </c>
      <c r="K507" s="1">
        <f>IFERROR(__xludf.DUMMYFUNCTION("""COMPUTED_VALUE"""),200.0)</f>
        <v>200</v>
      </c>
      <c r="L507" s="7">
        <f>IFERROR(__xludf.DUMMYFUNCTION("""COMPUTED_VALUE"""),0.021527777777777812)</f>
        <v>0.02152777778</v>
      </c>
      <c r="M507" s="7">
        <f>IFERROR(__xludf.DUMMYFUNCTION("""COMPUTED_VALUE"""),0.0018750000000000346)</f>
        <v>0.001875</v>
      </c>
      <c r="O507" s="9">
        <f>IFERROR(__xludf.DUMMYFUNCTION("""COMPUTED_VALUE"""),37.35000000000069)</f>
        <v>37.35</v>
      </c>
      <c r="P507" s="1" t="str">
        <f>IFERROR(__xludf.DUMMYFUNCTION("""COMPUTED_VALUE"""),"VLG")</f>
        <v>VLG</v>
      </c>
      <c r="Q507" s="1" t="str">
        <f>IFERROR(__xludf.DUMMYFUNCTION("""COMPUTED_VALUE"""),"ECAC")</f>
        <v>ECAC</v>
      </c>
    </row>
    <row r="508">
      <c r="A508" s="1" t="str">
        <f>IFERROR(__xludf.DUMMYFUNCTION("""COMPUTED_VALUE"""),"RYR8QT")</f>
        <v>RYR8QT</v>
      </c>
      <c r="B508" s="1" t="str">
        <f>IFERROR(__xludf.DUMMYFUNCTION("""COMPUTED_VALUE"""),"B738")</f>
        <v>B738</v>
      </c>
      <c r="C508" s="1" t="str">
        <f>IFERROR(__xludf.DUMMYFUNCTION("""COMPUTED_VALUE"""),"LEPA")</f>
        <v>LEPA</v>
      </c>
      <c r="D508" s="1" t="str">
        <f>IFERROR(__xludf.DUMMYFUNCTION("""COMPUTED_VALUE"""),"LEBL")</f>
        <v>LEBL</v>
      </c>
      <c r="E508" s="1" t="str">
        <f>IFERROR(__xludf.DUMMYFUNCTION("""COMPUTED_VALUE"""),"9HQEW")</f>
        <v>9HQEW</v>
      </c>
      <c r="F508" s="1">
        <f>IFERROR(__xludf.DUMMYFUNCTION("""COMPUTED_VALUE"""),180.0)</f>
        <v>180</v>
      </c>
      <c r="G508" s="7">
        <f>IFERROR(__xludf.DUMMYFUNCTION("""COMPUTED_VALUE"""),0.8847222222222222)</f>
        <v>0.8847222222</v>
      </c>
      <c r="H508" s="1">
        <f>IFERROR(__xludf.DUMMYFUNCTION("""COMPUTED_VALUE"""),16.0)</f>
        <v>16</v>
      </c>
      <c r="I508" s="7">
        <f>IFERROR(__xludf.DUMMYFUNCTION("""COMPUTED_VALUE"""),0.9097222222222222)</f>
        <v>0.9097222222</v>
      </c>
      <c r="J508" s="1" t="str">
        <f>IFERROR(__xludf.DUMMYFUNCTION("""COMPUTED_VALUE"""),"D")</f>
        <v>D</v>
      </c>
      <c r="K508" s="1">
        <f>IFERROR(__xludf.DUMMYFUNCTION("""COMPUTED_VALUE"""),184.0)</f>
        <v>184</v>
      </c>
      <c r="L508" s="7">
        <f>IFERROR(__xludf.DUMMYFUNCTION("""COMPUTED_VALUE"""),0.025000000000000022)</f>
        <v>0.025</v>
      </c>
      <c r="M508" s="7">
        <f>IFERROR(__xludf.DUMMYFUNCTION("""COMPUTED_VALUE"""),0.001180555555555577)</f>
        <v>0.001180555556</v>
      </c>
      <c r="O508" s="9">
        <f>IFERROR(__xludf.DUMMYFUNCTION("""COMPUTED_VALUE"""),23.516666666667096)</f>
        <v>23.51666667</v>
      </c>
      <c r="P508" s="1" t="str">
        <f>IFERROR(__xludf.DUMMYFUNCTION("""COMPUTED_VALUE"""),"RYR")</f>
        <v>RYR</v>
      </c>
      <c r="Q508" s="1" t="str">
        <f>IFERROR(__xludf.DUMMYFUNCTION("""COMPUTED_VALUE"""),"ECAC")</f>
        <v>ECAC</v>
      </c>
    </row>
    <row r="509">
      <c r="A509" s="1" t="str">
        <f>IFERROR(__xludf.DUMMYFUNCTION("""COMPUTED_VALUE"""),"EJU89ZC")</f>
        <v>EJU89ZC</v>
      </c>
      <c r="B509" s="1" t="str">
        <f>IFERROR(__xludf.DUMMYFUNCTION("""COMPUTED_VALUE"""),"A319")</f>
        <v>A319</v>
      </c>
      <c r="C509" s="1" t="str">
        <f>IFERROR(__xludf.DUMMYFUNCTION("""COMPUTED_VALUE"""),"LFSB")</f>
        <v>LFSB</v>
      </c>
      <c r="D509" s="1" t="str">
        <f>IFERROR(__xludf.DUMMYFUNCTION("""COMPUTED_VALUE"""),"LEBL")</f>
        <v>LEBL</v>
      </c>
      <c r="E509" s="1" t="str">
        <f>IFERROR(__xludf.DUMMYFUNCTION("""COMPUTED_VALUE"""),"OELQA")</f>
        <v>OELQA</v>
      </c>
      <c r="F509" s="1">
        <f>IFERROR(__xludf.DUMMYFUNCTION("""COMPUTED_VALUE"""),330.0)</f>
        <v>330</v>
      </c>
      <c r="G509" s="7">
        <f>IFERROR(__xludf.DUMMYFUNCTION("""COMPUTED_VALUE"""),0.8618055555555556)</f>
        <v>0.8618055556</v>
      </c>
      <c r="H509" s="1">
        <f>IFERROR(__xludf.DUMMYFUNCTION("""COMPUTED_VALUE"""),15.0)</f>
        <v>15</v>
      </c>
      <c r="I509" s="7">
        <f>IFERROR(__xludf.DUMMYFUNCTION("""COMPUTED_VALUE"""),0.9097222222222222)</f>
        <v>0.9097222222</v>
      </c>
      <c r="J509" s="1" t="str">
        <f>IFERROR(__xludf.DUMMYFUNCTION("""COMPUTED_VALUE"""),"D")</f>
        <v>D</v>
      </c>
      <c r="K509" s="1">
        <f>IFERROR(__xludf.DUMMYFUNCTION("""COMPUTED_VALUE"""),144.0)</f>
        <v>144</v>
      </c>
      <c r="L509" s="7">
        <f>IFERROR(__xludf.DUMMYFUNCTION("""COMPUTED_VALUE"""),0.04791666666666661)</f>
        <v>0.04791666667</v>
      </c>
      <c r="M509" s="7">
        <f>IFERROR(__xludf.DUMMYFUNCTION("""COMPUTED_VALUE"""),0.024791666666666608)</f>
        <v>0.02479166667</v>
      </c>
      <c r="O509" s="9">
        <f>IFERROR(__xludf.DUMMYFUNCTION("""COMPUTED_VALUE"""),493.8499999999989)</f>
        <v>493.85</v>
      </c>
      <c r="P509" s="1" t="str">
        <f>IFERROR(__xludf.DUMMYFUNCTION("""COMPUTED_VALUE"""),"EJU")</f>
        <v>EJU</v>
      </c>
      <c r="Q509" s="1" t="str">
        <f>IFERROR(__xludf.DUMMYFUNCTION("""COMPUTED_VALUE"""),"ECAC")</f>
        <v>ECAC</v>
      </c>
    </row>
    <row r="510">
      <c r="A510" s="1" t="str">
        <f>IFERROR(__xludf.DUMMYFUNCTION("""COMPUTED_VALUE"""),"VLG25JN")</f>
        <v>VLG25JN</v>
      </c>
      <c r="B510" s="1" t="str">
        <f>IFERROR(__xludf.DUMMYFUNCTION("""COMPUTED_VALUE"""),"A320")</f>
        <v>A320</v>
      </c>
      <c r="C510" s="1" t="str">
        <f>IFERROR(__xludf.DUMMYFUNCTION("""COMPUTED_VALUE"""),"LFPG")</f>
        <v>LFPG</v>
      </c>
      <c r="D510" s="1" t="str">
        <f>IFERROR(__xludf.DUMMYFUNCTION("""COMPUTED_VALUE"""),"LEBL")</f>
        <v>LEBL</v>
      </c>
      <c r="E510" s="1" t="str">
        <f>IFERROR(__xludf.DUMMYFUNCTION("""COMPUTED_VALUE"""),"ECMBS")</f>
        <v>ECMBS</v>
      </c>
      <c r="F510" s="1">
        <f>IFERROR(__xludf.DUMMYFUNCTION("""COMPUTED_VALUE"""),370.0)</f>
        <v>370</v>
      </c>
      <c r="G510" s="7">
        <f>IFERROR(__xludf.DUMMYFUNCTION("""COMPUTED_VALUE"""),0.8590277777777777)</f>
        <v>0.8590277778</v>
      </c>
      <c r="H510" s="1">
        <f>IFERROR(__xludf.DUMMYFUNCTION("""COMPUTED_VALUE"""),12.0)</f>
        <v>12</v>
      </c>
      <c r="I510" s="7">
        <f>IFERROR(__xludf.DUMMYFUNCTION("""COMPUTED_VALUE"""),0.9097222222222222)</f>
        <v>0.9097222222</v>
      </c>
      <c r="J510" s="1" t="str">
        <f>IFERROR(__xludf.DUMMYFUNCTION("""COMPUTED_VALUE"""),"D")</f>
        <v>D</v>
      </c>
      <c r="K510" s="1">
        <f>IFERROR(__xludf.DUMMYFUNCTION("""COMPUTED_VALUE"""),173.0)</f>
        <v>173</v>
      </c>
      <c r="L510" s="7">
        <f>IFERROR(__xludf.DUMMYFUNCTION("""COMPUTED_VALUE"""),0.050694444444444486)</f>
        <v>0.05069444444</v>
      </c>
      <c r="M510" s="7">
        <f>IFERROR(__xludf.DUMMYFUNCTION("""COMPUTED_VALUE"""),0.02965277777777782)</f>
        <v>0.02965277778</v>
      </c>
      <c r="O510" s="9">
        <f>IFERROR(__xludf.DUMMYFUNCTION("""COMPUTED_VALUE"""),590.6833333333342)</f>
        <v>590.6833333</v>
      </c>
      <c r="P510" s="1" t="str">
        <f>IFERROR(__xludf.DUMMYFUNCTION("""COMPUTED_VALUE"""),"VLG")</f>
        <v>VLG</v>
      </c>
      <c r="Q510" s="1" t="str">
        <f>IFERROR(__xludf.DUMMYFUNCTION("""COMPUTED_VALUE"""),"ECAC")</f>
        <v>ECAC</v>
      </c>
    </row>
    <row r="511">
      <c r="A511" s="1" t="str">
        <f>IFERROR(__xludf.DUMMYFUNCTION("""COMPUTED_VALUE"""),"VLG34LT")</f>
        <v>VLG34LT</v>
      </c>
      <c r="B511" s="1" t="str">
        <f>IFERROR(__xludf.DUMMYFUNCTION("""COMPUTED_VALUE"""),"A320")</f>
        <v>A320</v>
      </c>
      <c r="C511" s="1" t="str">
        <f>IFERROR(__xludf.DUMMYFUNCTION("""COMPUTED_VALUE"""),"LEGR")</f>
        <v>LEGR</v>
      </c>
      <c r="D511" s="1" t="str">
        <f>IFERROR(__xludf.DUMMYFUNCTION("""COMPUTED_VALUE"""),"LEBL")</f>
        <v>LEBL</v>
      </c>
      <c r="E511" s="1" t="str">
        <f>IFERROR(__xludf.DUMMYFUNCTION("""COMPUTED_VALUE"""),"ECMXP")</f>
        <v>ECMXP</v>
      </c>
      <c r="F511" s="1">
        <f>IFERROR(__xludf.DUMMYFUNCTION("""COMPUTED_VALUE"""),360.0)</f>
        <v>360</v>
      </c>
      <c r="G511" s="7">
        <f>IFERROR(__xludf.DUMMYFUNCTION("""COMPUTED_VALUE"""),0.8715277777777778)</f>
        <v>0.8715277778</v>
      </c>
      <c r="H511" s="1">
        <f>IFERROR(__xludf.DUMMYFUNCTION("""COMPUTED_VALUE"""),5.0)</f>
        <v>5</v>
      </c>
      <c r="I511" s="7">
        <f>IFERROR(__xludf.DUMMYFUNCTION("""COMPUTED_VALUE"""),0.9131944444444444)</f>
        <v>0.9131944444</v>
      </c>
      <c r="J511" s="1" t="str">
        <f>IFERROR(__xludf.DUMMYFUNCTION("""COMPUTED_VALUE"""),"D")</f>
        <v>D</v>
      </c>
      <c r="K511" s="1">
        <f>IFERROR(__xludf.DUMMYFUNCTION("""COMPUTED_VALUE"""),173.0)</f>
        <v>173</v>
      </c>
      <c r="L511" s="7">
        <f>IFERROR(__xludf.DUMMYFUNCTION("""COMPUTED_VALUE"""),0.04166666666666663)</f>
        <v>0.04166666667</v>
      </c>
      <c r="M511" s="7">
        <f>IFERROR(__xludf.DUMMYFUNCTION("""COMPUTED_VALUE"""),0.02548611111111107)</f>
        <v>0.02548611111</v>
      </c>
      <c r="O511" s="9">
        <f>IFERROR(__xludf.DUMMYFUNCTION("""COMPUTED_VALUE"""),507.68333333333254)</f>
        <v>507.6833333</v>
      </c>
      <c r="P511" s="1" t="str">
        <f>IFERROR(__xludf.DUMMYFUNCTION("""COMPUTED_VALUE"""),"VLG")</f>
        <v>VLG</v>
      </c>
      <c r="Q511" s="1" t="str">
        <f>IFERROR(__xludf.DUMMYFUNCTION("""COMPUTED_VALUE"""),"ECAC")</f>
        <v>ECAC</v>
      </c>
    </row>
    <row r="512">
      <c r="A512" s="1" t="str">
        <f>IFERROR(__xludf.DUMMYFUNCTION("""COMPUTED_VALUE"""),"VLG6028")</f>
        <v>VLG6028</v>
      </c>
      <c r="B512" s="1" t="str">
        <f>IFERROR(__xludf.DUMMYFUNCTION("""COMPUTED_VALUE"""),"A20N")</f>
        <v>A20N</v>
      </c>
      <c r="C512" s="1" t="str">
        <f>IFERROR(__xludf.DUMMYFUNCTION("""COMPUTED_VALUE"""),"LIRQ")</f>
        <v>LIRQ</v>
      </c>
      <c r="D512" s="1" t="str">
        <f>IFERROR(__xludf.DUMMYFUNCTION("""COMPUTED_VALUE"""),"LEBL")</f>
        <v>LEBL</v>
      </c>
      <c r="E512" s="1" t="str">
        <f>IFERROR(__xludf.DUMMYFUNCTION("""COMPUTED_VALUE"""),"ECNCS")</f>
        <v>ECNCS</v>
      </c>
      <c r="F512" s="1">
        <f>IFERROR(__xludf.DUMMYFUNCTION("""COMPUTED_VALUE"""),360.0)</f>
        <v>360</v>
      </c>
      <c r="G512" s="7">
        <f>IFERROR(__xludf.DUMMYFUNCTION("""COMPUTED_VALUE"""),0.8513888888888889)</f>
        <v>0.8513888889</v>
      </c>
      <c r="H512" s="1">
        <f>IFERROR(__xludf.DUMMYFUNCTION("""COMPUTED_VALUE"""),5.0)</f>
        <v>5</v>
      </c>
      <c r="I512" s="7">
        <f>IFERROR(__xludf.DUMMYFUNCTION("""COMPUTED_VALUE"""),0.9131944444444444)</f>
        <v>0.9131944444</v>
      </c>
      <c r="J512" s="1" t="str">
        <f>IFERROR(__xludf.DUMMYFUNCTION("""COMPUTED_VALUE"""),"D")</f>
        <v>D</v>
      </c>
      <c r="K512" s="1">
        <f>IFERROR(__xludf.DUMMYFUNCTION("""COMPUTED_VALUE"""),180.0)</f>
        <v>180</v>
      </c>
      <c r="L512" s="7">
        <f>IFERROR(__xludf.DUMMYFUNCTION("""COMPUTED_VALUE"""),0.06180555555555556)</f>
        <v>0.06180555556</v>
      </c>
      <c r="M512" s="7">
        <f>IFERROR(__xludf.DUMMYFUNCTION("""COMPUTED_VALUE"""),0.045625)</f>
        <v>0.045625</v>
      </c>
      <c r="O512" s="9">
        <f>IFERROR(__xludf.DUMMYFUNCTION("""COMPUTED_VALUE"""),908.85)</f>
        <v>908.85</v>
      </c>
      <c r="P512" s="1" t="str">
        <f>IFERROR(__xludf.DUMMYFUNCTION("""COMPUTED_VALUE"""),"VLG")</f>
        <v>VLG</v>
      </c>
      <c r="Q512" s="1" t="str">
        <f>IFERROR(__xludf.DUMMYFUNCTION("""COMPUTED_VALUE"""),"ECAC")</f>
        <v>ECAC</v>
      </c>
    </row>
    <row r="513">
      <c r="A513" s="1" t="str">
        <f>IFERROR(__xludf.DUMMYFUNCTION("""COMPUTED_VALUE"""),"VLG4QP")</f>
        <v>VLG4QP</v>
      </c>
      <c r="B513" s="1" t="str">
        <f>IFERROR(__xludf.DUMMYFUNCTION("""COMPUTED_VALUE"""),"A320")</f>
        <v>A320</v>
      </c>
      <c r="C513" s="1" t="str">
        <f>IFERROR(__xludf.DUMMYFUNCTION("""COMPUTED_VALUE"""),"LPPT")</f>
        <v>LPPT</v>
      </c>
      <c r="D513" s="1" t="str">
        <f>IFERROR(__xludf.DUMMYFUNCTION("""COMPUTED_VALUE"""),"LEBL")</f>
        <v>LEBL</v>
      </c>
      <c r="E513" s="1" t="str">
        <f>IFERROR(__xludf.DUMMYFUNCTION("""COMPUTED_VALUE"""),"ECKDG")</f>
        <v>ECKDG</v>
      </c>
      <c r="F513" s="1">
        <f>IFERROR(__xludf.DUMMYFUNCTION("""COMPUTED_VALUE"""),380.0)</f>
        <v>380</v>
      </c>
      <c r="G513" s="7">
        <f>IFERROR(__xludf.DUMMYFUNCTION("""COMPUTED_VALUE"""),0.8618055555555556)</f>
        <v>0.8618055556</v>
      </c>
      <c r="H513" s="1">
        <f>IFERROR(__xludf.DUMMYFUNCTION("""COMPUTED_VALUE"""),15.0)</f>
        <v>15</v>
      </c>
      <c r="I513" s="7">
        <f>IFERROR(__xludf.DUMMYFUNCTION("""COMPUTED_VALUE"""),0.9131944444444444)</f>
        <v>0.9131944444</v>
      </c>
      <c r="J513" s="1" t="str">
        <f>IFERROR(__xludf.DUMMYFUNCTION("""COMPUTED_VALUE"""),"D")</f>
        <v>D</v>
      </c>
      <c r="K513" s="1">
        <f>IFERROR(__xludf.DUMMYFUNCTION("""COMPUTED_VALUE"""),173.0)</f>
        <v>173</v>
      </c>
      <c r="L513" s="7">
        <f>IFERROR(__xludf.DUMMYFUNCTION("""COMPUTED_VALUE"""),0.05138888888888882)</f>
        <v>0.05138888889</v>
      </c>
      <c r="M513" s="7">
        <f>IFERROR(__xludf.DUMMYFUNCTION("""COMPUTED_VALUE"""),0.028263888888888818)</f>
        <v>0.02826388889</v>
      </c>
      <c r="O513" s="9">
        <f>IFERROR(__xludf.DUMMYFUNCTION("""COMPUTED_VALUE"""),563.0166666666653)</f>
        <v>563.0166667</v>
      </c>
      <c r="P513" s="1" t="str">
        <f>IFERROR(__xludf.DUMMYFUNCTION("""COMPUTED_VALUE"""),"VLG")</f>
        <v>VLG</v>
      </c>
      <c r="Q513" s="1" t="str">
        <f>IFERROR(__xludf.DUMMYFUNCTION("""COMPUTED_VALUE"""),"ECAC")</f>
        <v>ECAC</v>
      </c>
    </row>
    <row r="514">
      <c r="A514" s="1" t="str">
        <f>IFERROR(__xludf.DUMMYFUNCTION("""COMPUTED_VALUE"""),"VLG60YC")</f>
        <v>VLG60YC</v>
      </c>
      <c r="B514" s="1" t="str">
        <f>IFERROR(__xludf.DUMMYFUNCTION("""COMPUTED_VALUE"""),"A321")</f>
        <v>A321</v>
      </c>
      <c r="C514" s="1" t="str">
        <f>IFERROR(__xludf.DUMMYFUNCTION("""COMPUTED_VALUE"""),"EBBR")</f>
        <v>EBBR</v>
      </c>
      <c r="D514" s="1" t="str">
        <f>IFERROR(__xludf.DUMMYFUNCTION("""COMPUTED_VALUE"""),"LEBL")</f>
        <v>LEBL</v>
      </c>
      <c r="E514" s="1" t="str">
        <f>IFERROR(__xludf.DUMMYFUNCTION("""COMPUTED_VALUE"""),"ECMMH")</f>
        <v>ECMMH</v>
      </c>
      <c r="F514" s="1">
        <f>IFERROR(__xludf.DUMMYFUNCTION("""COMPUTED_VALUE"""),350.0)</f>
        <v>350</v>
      </c>
      <c r="G514" s="7">
        <f>IFERROR(__xludf.DUMMYFUNCTION("""COMPUTED_VALUE"""),0.8458333333333333)</f>
        <v>0.8458333333</v>
      </c>
      <c r="H514" s="1">
        <f>IFERROR(__xludf.DUMMYFUNCTION("""COMPUTED_VALUE"""),22.0)</f>
        <v>22</v>
      </c>
      <c r="I514" s="7">
        <f>IFERROR(__xludf.DUMMYFUNCTION("""COMPUTED_VALUE"""),0.9166666666666666)</f>
        <v>0.9166666667</v>
      </c>
      <c r="J514" s="1" t="str">
        <f>IFERROR(__xludf.DUMMYFUNCTION("""COMPUTED_VALUE"""),"D")</f>
        <v>D</v>
      </c>
      <c r="K514" s="1">
        <f>IFERROR(__xludf.DUMMYFUNCTION("""COMPUTED_VALUE"""),207.0)</f>
        <v>207</v>
      </c>
      <c r="L514" s="7">
        <f>IFERROR(__xludf.DUMMYFUNCTION("""COMPUTED_VALUE"""),0.0708333333333333)</f>
        <v>0.07083333333</v>
      </c>
      <c r="M514" s="7">
        <f>IFERROR(__xludf.DUMMYFUNCTION("""COMPUTED_VALUE"""),0.04284722222222219)</f>
        <v>0.04284722222</v>
      </c>
      <c r="O514" s="9">
        <f>IFERROR(__xludf.DUMMYFUNCTION("""COMPUTED_VALUE"""),853.516666666666)</f>
        <v>853.5166667</v>
      </c>
      <c r="P514" s="1" t="str">
        <f>IFERROR(__xludf.DUMMYFUNCTION("""COMPUTED_VALUE"""),"VLG")</f>
        <v>VLG</v>
      </c>
      <c r="Q514" s="1" t="str">
        <f>IFERROR(__xludf.DUMMYFUNCTION("""COMPUTED_VALUE"""),"ECAC")</f>
        <v>ECAC</v>
      </c>
    </row>
    <row r="515">
      <c r="A515" s="1" t="str">
        <f>IFERROR(__xludf.DUMMYFUNCTION("""COMPUTED_VALUE"""),"SWR3QA")</f>
        <v>SWR3QA</v>
      </c>
      <c r="B515" s="1" t="str">
        <f>IFERROR(__xludf.DUMMYFUNCTION("""COMPUTED_VALUE"""),"A320")</f>
        <v>A320</v>
      </c>
      <c r="C515" s="1" t="str">
        <f>IFERROR(__xludf.DUMMYFUNCTION("""COMPUTED_VALUE"""),"LSZH")</f>
        <v>LSZH</v>
      </c>
      <c r="D515" s="1" t="str">
        <f>IFERROR(__xludf.DUMMYFUNCTION("""COMPUTED_VALUE"""),"LEBL")</f>
        <v>LEBL</v>
      </c>
      <c r="E515" s="1" t="str">
        <f>IFERROR(__xludf.DUMMYFUNCTION("""COMPUTED_VALUE"""),"HBIJO")</f>
        <v>HBIJO</v>
      </c>
      <c r="F515" s="1">
        <f>IFERROR(__xludf.DUMMYFUNCTION("""COMPUTED_VALUE"""),330.0)</f>
        <v>330</v>
      </c>
      <c r="G515" s="7">
        <f>IFERROR(__xludf.DUMMYFUNCTION("""COMPUTED_VALUE"""),0.8645833333333334)</f>
        <v>0.8645833333</v>
      </c>
      <c r="H515" s="1">
        <f>IFERROR(__xludf.DUMMYFUNCTION("""COMPUTED_VALUE"""),13.0)</f>
        <v>13</v>
      </c>
      <c r="I515" s="7">
        <f>IFERROR(__xludf.DUMMYFUNCTION("""COMPUTED_VALUE"""),0.9166666666666666)</f>
        <v>0.9166666667</v>
      </c>
      <c r="J515" s="1" t="str">
        <f>IFERROR(__xludf.DUMMYFUNCTION("""COMPUTED_VALUE"""),"D")</f>
        <v>D</v>
      </c>
      <c r="K515" s="1">
        <f>IFERROR(__xludf.DUMMYFUNCTION("""COMPUTED_VALUE"""),173.0)</f>
        <v>173</v>
      </c>
      <c r="L515" s="7">
        <f>IFERROR(__xludf.DUMMYFUNCTION("""COMPUTED_VALUE"""),0.05208333333333326)</f>
        <v>0.05208333333</v>
      </c>
      <c r="M515" s="7">
        <f>IFERROR(__xludf.DUMMYFUNCTION("""COMPUTED_VALUE"""),0.030347222222222147)</f>
        <v>0.03034722222</v>
      </c>
      <c r="O515" s="9">
        <f>IFERROR(__xludf.DUMMYFUNCTION("""COMPUTED_VALUE"""),604.5166666666652)</f>
        <v>604.5166667</v>
      </c>
      <c r="P515" s="1" t="str">
        <f>IFERROR(__xludf.DUMMYFUNCTION("""COMPUTED_VALUE"""),"SWR")</f>
        <v>SWR</v>
      </c>
      <c r="Q515" s="1" t="str">
        <f>IFERROR(__xludf.DUMMYFUNCTION("""COMPUTED_VALUE"""),"ECAC")</f>
        <v>ECAC</v>
      </c>
    </row>
    <row r="516">
      <c r="A516" s="1" t="str">
        <f>IFERROR(__xludf.DUMMYFUNCTION("""COMPUTED_VALUE"""),"VLG91VV")</f>
        <v>VLG91VV</v>
      </c>
      <c r="B516" s="1" t="str">
        <f>IFERROR(__xludf.DUMMYFUNCTION("""COMPUTED_VALUE"""),"A320")</f>
        <v>A320</v>
      </c>
      <c r="C516" s="1" t="str">
        <f>IFERROR(__xludf.DUMMYFUNCTION("""COMPUTED_VALUE"""),"LEVX")</f>
        <v>LEVX</v>
      </c>
      <c r="D516" s="1" t="str">
        <f>IFERROR(__xludf.DUMMYFUNCTION("""COMPUTED_VALUE"""),"LEBL")</f>
        <v>LEBL</v>
      </c>
      <c r="E516" s="1" t="str">
        <f>IFERROR(__xludf.DUMMYFUNCTION("""COMPUTED_VALUE"""),"ECLAB")</f>
        <v>ECLAB</v>
      </c>
      <c r="F516" s="1">
        <f>IFERROR(__xludf.DUMMYFUNCTION("""COMPUTED_VALUE"""),320.0)</f>
        <v>320</v>
      </c>
      <c r="G516" s="7">
        <f>IFERROR(__xludf.DUMMYFUNCTION("""COMPUTED_VALUE"""),0.8659722222222223)</f>
        <v>0.8659722222</v>
      </c>
      <c r="H516" s="1">
        <f>IFERROR(__xludf.DUMMYFUNCTION("""COMPUTED_VALUE"""),7.0)</f>
        <v>7</v>
      </c>
      <c r="I516" s="7">
        <f>IFERROR(__xludf.DUMMYFUNCTION("""COMPUTED_VALUE"""),0.9166666666666666)</f>
        <v>0.9166666667</v>
      </c>
      <c r="J516" s="1" t="str">
        <f>IFERROR(__xludf.DUMMYFUNCTION("""COMPUTED_VALUE"""),"D")</f>
        <v>D</v>
      </c>
      <c r="K516" s="1">
        <f>IFERROR(__xludf.DUMMYFUNCTION("""COMPUTED_VALUE"""),173.0)</f>
        <v>173</v>
      </c>
      <c r="L516" s="7">
        <f>IFERROR(__xludf.DUMMYFUNCTION("""COMPUTED_VALUE"""),0.050694444444444375)</f>
        <v>0.05069444444</v>
      </c>
      <c r="M516" s="7">
        <f>IFERROR(__xludf.DUMMYFUNCTION("""COMPUTED_VALUE"""),0.03312499999999993)</f>
        <v>0.033125</v>
      </c>
      <c r="O516" s="9">
        <f>IFERROR(__xludf.DUMMYFUNCTION("""COMPUTED_VALUE"""),659.8499999999987)</f>
        <v>659.85</v>
      </c>
      <c r="P516" s="1" t="str">
        <f>IFERROR(__xludf.DUMMYFUNCTION("""COMPUTED_VALUE"""),"VLG")</f>
        <v>VLG</v>
      </c>
      <c r="Q516" s="1" t="str">
        <f>IFERROR(__xludf.DUMMYFUNCTION("""COMPUTED_VALUE"""),"NO ECAC")</f>
        <v>NO ECAC</v>
      </c>
    </row>
    <row r="517">
      <c r="A517" s="1" t="str">
        <f>IFERROR(__xludf.DUMMYFUNCTION("""COMPUTED_VALUE"""),"VLG61FK")</f>
        <v>VLG61FK</v>
      </c>
      <c r="B517" s="1" t="str">
        <f>IFERROR(__xludf.DUMMYFUNCTION("""COMPUTED_VALUE"""),"A320")</f>
        <v>A320</v>
      </c>
      <c r="C517" s="1" t="str">
        <f>IFERROR(__xludf.DUMMYFUNCTION("""COMPUTED_VALUE"""),"EGLL")</f>
        <v>EGLL</v>
      </c>
      <c r="D517" s="1" t="str">
        <f>IFERROR(__xludf.DUMMYFUNCTION("""COMPUTED_VALUE"""),"LEBL")</f>
        <v>LEBL</v>
      </c>
      <c r="E517" s="1" t="str">
        <f>IFERROR(__xludf.DUMMYFUNCTION("""COMPUTED_VALUE"""),"ECOKI")</f>
        <v>ECOKI</v>
      </c>
      <c r="F517" s="1">
        <f>IFERROR(__xludf.DUMMYFUNCTION("""COMPUTED_VALUE"""),370.0)</f>
        <v>370</v>
      </c>
      <c r="G517" s="7">
        <f>IFERROR(__xludf.DUMMYFUNCTION("""COMPUTED_VALUE"""),0.8479166666666667)</f>
        <v>0.8479166667</v>
      </c>
      <c r="H517" s="1">
        <f>IFERROR(__xludf.DUMMYFUNCTION("""COMPUTED_VALUE"""),20.0)</f>
        <v>20</v>
      </c>
      <c r="I517" s="7">
        <f>IFERROR(__xludf.DUMMYFUNCTION("""COMPUTED_VALUE"""),0.9201388888888888)</f>
        <v>0.9201388889</v>
      </c>
      <c r="J517" s="1" t="str">
        <f>IFERROR(__xludf.DUMMYFUNCTION("""COMPUTED_VALUE"""),"D")</f>
        <v>D</v>
      </c>
      <c r="K517" s="1">
        <f>IFERROR(__xludf.DUMMYFUNCTION("""COMPUTED_VALUE"""),173.0)</f>
        <v>173</v>
      </c>
      <c r="L517" s="7">
        <f>IFERROR(__xludf.DUMMYFUNCTION("""COMPUTED_VALUE"""),0.07222222222222219)</f>
        <v>0.07222222222</v>
      </c>
      <c r="M517" s="7">
        <f>IFERROR(__xludf.DUMMYFUNCTION("""COMPUTED_VALUE"""),0.045624999999999964)</f>
        <v>0.045625</v>
      </c>
      <c r="O517" s="9">
        <f>IFERROR(__xludf.DUMMYFUNCTION("""COMPUTED_VALUE"""),908.8499999999992)</f>
        <v>908.85</v>
      </c>
      <c r="P517" s="1" t="str">
        <f>IFERROR(__xludf.DUMMYFUNCTION("""COMPUTED_VALUE"""),"VLG")</f>
        <v>VLG</v>
      </c>
      <c r="Q517" s="1" t="str">
        <f>IFERROR(__xludf.DUMMYFUNCTION("""COMPUTED_VALUE"""),"ECAC")</f>
        <v>ECAC</v>
      </c>
    </row>
    <row r="518">
      <c r="A518" s="1" t="str">
        <f>IFERROR(__xludf.DUMMYFUNCTION("""COMPUTED_VALUE"""),"VLG4JJ")</f>
        <v>VLG4JJ</v>
      </c>
      <c r="B518" s="1" t="str">
        <f>IFERROR(__xludf.DUMMYFUNCTION("""COMPUTED_VALUE"""),"A320")</f>
        <v>A320</v>
      </c>
      <c r="C518" s="1" t="str">
        <f>IFERROR(__xludf.DUMMYFUNCTION("""COMPUTED_VALUE"""),"EDDB")</f>
        <v>EDDB</v>
      </c>
      <c r="D518" s="1" t="str">
        <f>IFERROR(__xludf.DUMMYFUNCTION("""COMPUTED_VALUE"""),"LEBL")</f>
        <v>LEBL</v>
      </c>
      <c r="E518" s="1" t="str">
        <f>IFERROR(__xludf.DUMMYFUNCTION("""COMPUTED_VALUE"""),"ECMAO")</f>
        <v>ECMAO</v>
      </c>
      <c r="F518" s="1">
        <f>IFERROR(__xludf.DUMMYFUNCTION("""COMPUTED_VALUE"""),370.0)</f>
        <v>370</v>
      </c>
      <c r="G518" s="7">
        <f>IFERROR(__xludf.DUMMYFUNCTION("""COMPUTED_VALUE"""),0.8361111111111111)</f>
        <v>0.8361111111</v>
      </c>
      <c r="H518" s="1">
        <f>IFERROR(__xludf.DUMMYFUNCTION("""COMPUTED_VALUE"""),8.0)</f>
        <v>8</v>
      </c>
      <c r="I518" s="7">
        <f>IFERROR(__xludf.DUMMYFUNCTION("""COMPUTED_VALUE"""),0.9201388888888888)</f>
        <v>0.9201388889</v>
      </c>
      <c r="J518" s="1" t="str">
        <f>IFERROR(__xludf.DUMMYFUNCTION("""COMPUTED_VALUE"""),"D")</f>
        <v>D</v>
      </c>
      <c r="K518" s="1">
        <f>IFERROR(__xludf.DUMMYFUNCTION("""COMPUTED_VALUE"""),173.0)</f>
        <v>173</v>
      </c>
      <c r="L518" s="7">
        <f>IFERROR(__xludf.DUMMYFUNCTION("""COMPUTED_VALUE"""),0.0840277777777777)</f>
        <v>0.08402777778</v>
      </c>
      <c r="M518" s="7">
        <f>IFERROR(__xludf.DUMMYFUNCTION("""COMPUTED_VALUE"""),0.06576388888888882)</f>
        <v>0.06576388889</v>
      </c>
      <c r="O518" s="9">
        <f>IFERROR(__xludf.DUMMYFUNCTION("""COMPUTED_VALUE"""),1310.0166666666653)</f>
        <v>1310.016667</v>
      </c>
      <c r="P518" s="1" t="str">
        <f>IFERROR(__xludf.DUMMYFUNCTION("""COMPUTED_VALUE"""),"VLG")</f>
        <v>VLG</v>
      </c>
      <c r="Q518" s="1" t="str">
        <f>IFERROR(__xludf.DUMMYFUNCTION("""COMPUTED_VALUE"""),"ECAC")</f>
        <v>ECAC</v>
      </c>
    </row>
    <row r="519">
      <c r="A519" s="1" t="str">
        <f>IFERROR(__xludf.DUMMYFUNCTION("""COMPUTED_VALUE"""),"EJU7214")</f>
        <v>EJU7214</v>
      </c>
      <c r="B519" s="1" t="str">
        <f>IFERROR(__xludf.DUMMYFUNCTION("""COMPUTED_VALUE"""),"A319")</f>
        <v>A319</v>
      </c>
      <c r="C519" s="1" t="str">
        <f>IFERROR(__xludf.DUMMYFUNCTION("""COMPUTED_VALUE"""),"LPPT")</f>
        <v>LPPT</v>
      </c>
      <c r="D519" s="1" t="str">
        <f>IFERROR(__xludf.DUMMYFUNCTION("""COMPUTED_VALUE"""),"LEBL")</f>
        <v>LEBL</v>
      </c>
      <c r="E519" s="1" t="str">
        <f>IFERROR(__xludf.DUMMYFUNCTION("""COMPUTED_VALUE"""),"OELVG")</f>
        <v>OELVG</v>
      </c>
      <c r="F519" s="1">
        <f>IFERROR(__xludf.DUMMYFUNCTION("""COMPUTED_VALUE"""),380.0)</f>
        <v>380</v>
      </c>
      <c r="G519" s="7">
        <f>IFERROR(__xludf.DUMMYFUNCTION("""COMPUTED_VALUE"""),0.8645833333333334)</f>
        <v>0.8645833333</v>
      </c>
      <c r="H519" s="1">
        <f>IFERROR(__xludf.DUMMYFUNCTION("""COMPUTED_VALUE"""),17.0)</f>
        <v>17</v>
      </c>
      <c r="I519" s="7">
        <f>IFERROR(__xludf.DUMMYFUNCTION("""COMPUTED_VALUE"""),0.9236111111111112)</f>
        <v>0.9236111111</v>
      </c>
      <c r="J519" s="1" t="str">
        <f>IFERROR(__xludf.DUMMYFUNCTION("""COMPUTED_VALUE"""),"D")</f>
        <v>D</v>
      </c>
      <c r="K519" s="1">
        <f>IFERROR(__xludf.DUMMYFUNCTION("""COMPUTED_VALUE"""),144.0)</f>
        <v>144</v>
      </c>
      <c r="L519" s="7">
        <f>IFERROR(__xludf.DUMMYFUNCTION("""COMPUTED_VALUE"""),0.05902777777777779)</f>
        <v>0.05902777778</v>
      </c>
      <c r="M519" s="7">
        <f>IFERROR(__xludf.DUMMYFUNCTION("""COMPUTED_VALUE"""),0.0345138888888889)</f>
        <v>0.03451388889</v>
      </c>
      <c r="O519" s="9">
        <f>IFERROR(__xludf.DUMMYFUNCTION("""COMPUTED_VALUE"""),687.5166666666669)</f>
        <v>687.5166667</v>
      </c>
      <c r="P519" s="1" t="str">
        <f>IFERROR(__xludf.DUMMYFUNCTION("""COMPUTED_VALUE"""),"EJU")</f>
        <v>EJU</v>
      </c>
      <c r="Q519" s="1" t="str">
        <f>IFERROR(__xludf.DUMMYFUNCTION("""COMPUTED_VALUE"""),"ECAC")</f>
        <v>ECAC</v>
      </c>
    </row>
    <row r="520">
      <c r="A520" s="1" t="str">
        <f>IFERROR(__xludf.DUMMYFUNCTION("""COMPUTED_VALUE"""),"VLG52YE")</f>
        <v>VLG52YE</v>
      </c>
      <c r="B520" s="1" t="str">
        <f>IFERROR(__xludf.DUMMYFUNCTION("""COMPUTED_VALUE"""),"A321")</f>
        <v>A321</v>
      </c>
      <c r="C520" s="1" t="str">
        <f>IFERROR(__xludf.DUMMYFUNCTION("""COMPUTED_VALUE"""),"LIPZ")</f>
        <v>LIPZ</v>
      </c>
      <c r="D520" s="1" t="str">
        <f>IFERROR(__xludf.DUMMYFUNCTION("""COMPUTED_VALUE"""),"LEBL")</f>
        <v>LEBL</v>
      </c>
      <c r="E520" s="1" t="str">
        <f>IFERROR(__xludf.DUMMYFUNCTION("""COMPUTED_VALUE"""),"ECMLM")</f>
        <v>ECMLM</v>
      </c>
      <c r="F520" s="1">
        <f>IFERROR(__xludf.DUMMYFUNCTION("""COMPUTED_VALUE"""),350.0)</f>
        <v>350</v>
      </c>
      <c r="G520" s="7">
        <f>IFERROR(__xludf.DUMMYFUNCTION("""COMPUTED_VALUE"""),0.8659722222222223)</f>
        <v>0.8659722222</v>
      </c>
      <c r="H520" s="1">
        <f>IFERROR(__xludf.DUMMYFUNCTION("""COMPUTED_VALUE"""),11.0)</f>
        <v>11</v>
      </c>
      <c r="I520" s="7">
        <f>IFERROR(__xludf.DUMMYFUNCTION("""COMPUTED_VALUE"""),0.9236111111111112)</f>
        <v>0.9236111111</v>
      </c>
      <c r="J520" s="1" t="str">
        <f>IFERROR(__xludf.DUMMYFUNCTION("""COMPUTED_VALUE"""),"D")</f>
        <v>D</v>
      </c>
      <c r="K520" s="1">
        <f>IFERROR(__xludf.DUMMYFUNCTION("""COMPUTED_VALUE"""),207.0)</f>
        <v>207</v>
      </c>
      <c r="L520" s="7">
        <f>IFERROR(__xludf.DUMMYFUNCTION("""COMPUTED_VALUE"""),0.057638888888888906)</f>
        <v>0.05763888889</v>
      </c>
      <c r="M520" s="7">
        <f>IFERROR(__xludf.DUMMYFUNCTION("""COMPUTED_VALUE"""),0.03729166666666668)</f>
        <v>0.03729166667</v>
      </c>
      <c r="O520" s="9">
        <f>IFERROR(__xludf.DUMMYFUNCTION("""COMPUTED_VALUE"""),742.8500000000003)</f>
        <v>742.85</v>
      </c>
      <c r="P520" s="1" t="str">
        <f>IFERROR(__xludf.DUMMYFUNCTION("""COMPUTED_VALUE"""),"VLG")</f>
        <v>VLG</v>
      </c>
      <c r="Q520" s="1" t="str">
        <f>IFERROR(__xludf.DUMMYFUNCTION("""COMPUTED_VALUE"""),"ECAC")</f>
        <v>ECAC</v>
      </c>
    </row>
    <row r="521">
      <c r="A521" s="1" t="str">
        <f>IFERROR(__xludf.DUMMYFUNCTION("""COMPUTED_VALUE"""),"VLG876B")</f>
        <v>VLG876B</v>
      </c>
      <c r="B521" s="1" t="str">
        <f>IFERROR(__xludf.DUMMYFUNCTION("""COMPUTED_VALUE"""),"A320")</f>
        <v>A320</v>
      </c>
      <c r="C521" s="1" t="str">
        <f>IFERROR(__xludf.DUMMYFUNCTION("""COMPUTED_VALUE"""),"EDDH")</f>
        <v>EDDH</v>
      </c>
      <c r="D521" s="1" t="str">
        <f>IFERROR(__xludf.DUMMYFUNCTION("""COMPUTED_VALUE"""),"LEBL")</f>
        <v>LEBL</v>
      </c>
      <c r="E521" s="1" t="str">
        <f>IFERROR(__xludf.DUMMYFUNCTION("""COMPUTED_VALUE"""),"ECMAH")</f>
        <v>ECMAH</v>
      </c>
      <c r="F521" s="1">
        <f>IFERROR(__xludf.DUMMYFUNCTION("""COMPUTED_VALUE"""),370.0)</f>
        <v>370</v>
      </c>
      <c r="G521" s="7">
        <f>IFERROR(__xludf.DUMMYFUNCTION("""COMPUTED_VALUE"""),0.8402777777777778)</f>
        <v>0.8402777778</v>
      </c>
      <c r="H521" s="1">
        <f>IFERROR(__xludf.DUMMYFUNCTION("""COMPUTED_VALUE"""),9.0)</f>
        <v>9</v>
      </c>
      <c r="I521" s="7">
        <f>IFERROR(__xludf.DUMMYFUNCTION("""COMPUTED_VALUE"""),0.9236111111111112)</f>
        <v>0.9236111111</v>
      </c>
      <c r="J521" s="1" t="str">
        <f>IFERROR(__xludf.DUMMYFUNCTION("""COMPUTED_VALUE"""),"D")</f>
        <v>D</v>
      </c>
      <c r="K521" s="1">
        <f>IFERROR(__xludf.DUMMYFUNCTION("""COMPUTED_VALUE"""),173.0)</f>
        <v>173</v>
      </c>
      <c r="L521" s="7">
        <f>IFERROR(__xludf.DUMMYFUNCTION("""COMPUTED_VALUE"""),0.08333333333333337)</f>
        <v>0.08333333333</v>
      </c>
      <c r="M521" s="7">
        <f>IFERROR(__xludf.DUMMYFUNCTION("""COMPUTED_VALUE"""),0.06437500000000003)</f>
        <v>0.064375</v>
      </c>
      <c r="O521" s="9">
        <f>IFERROR(__xludf.DUMMYFUNCTION("""COMPUTED_VALUE"""),1282.3500000000006)</f>
        <v>1282.35</v>
      </c>
      <c r="P521" s="1" t="str">
        <f>IFERROR(__xludf.DUMMYFUNCTION("""COMPUTED_VALUE"""),"VLG")</f>
        <v>VLG</v>
      </c>
      <c r="Q521" s="1" t="str">
        <f>IFERROR(__xludf.DUMMYFUNCTION("""COMPUTED_VALUE"""),"ECAC")</f>
        <v>ECAC</v>
      </c>
    </row>
    <row r="522">
      <c r="A522" s="1" t="str">
        <f>IFERROR(__xludf.DUMMYFUNCTION("""COMPUTED_VALUE"""),"VLG67CB")</f>
        <v>VLG67CB</v>
      </c>
      <c r="B522" s="1" t="str">
        <f>IFERROR(__xludf.DUMMYFUNCTION("""COMPUTED_VALUE"""),"A320")</f>
        <v>A320</v>
      </c>
      <c r="C522" s="1" t="str">
        <f>IFERROR(__xludf.DUMMYFUNCTION("""COMPUTED_VALUE"""),"LEAS")</f>
        <v>LEAS</v>
      </c>
      <c r="D522" s="1" t="str">
        <f>IFERROR(__xludf.DUMMYFUNCTION("""COMPUTED_VALUE"""),"LEBL")</f>
        <v>LEBL</v>
      </c>
      <c r="E522" s="1" t="str">
        <f>IFERROR(__xludf.DUMMYFUNCTION("""COMPUTED_VALUE"""),"ECJTQ")</f>
        <v>ECJTQ</v>
      </c>
      <c r="F522" s="1">
        <f>IFERROR(__xludf.DUMMYFUNCTION("""COMPUTED_VALUE"""),320.0)</f>
        <v>320</v>
      </c>
      <c r="G522" s="7">
        <f>IFERROR(__xludf.DUMMYFUNCTION("""COMPUTED_VALUE"""),0.8805555555555555)</f>
        <v>0.8805555556</v>
      </c>
      <c r="H522" s="1">
        <f>IFERROR(__xludf.DUMMYFUNCTION("""COMPUTED_VALUE"""),5.0)</f>
        <v>5</v>
      </c>
      <c r="I522" s="7">
        <f>IFERROR(__xludf.DUMMYFUNCTION("""COMPUTED_VALUE"""),0.9270833333333334)</f>
        <v>0.9270833333</v>
      </c>
      <c r="J522" s="1" t="str">
        <f>IFERROR(__xludf.DUMMYFUNCTION("""COMPUTED_VALUE"""),"D")</f>
        <v>D</v>
      </c>
      <c r="K522" s="1">
        <f>IFERROR(__xludf.DUMMYFUNCTION("""COMPUTED_VALUE"""),173.0)</f>
        <v>173</v>
      </c>
      <c r="L522" s="7">
        <f>IFERROR(__xludf.DUMMYFUNCTION("""COMPUTED_VALUE"""),0.046527777777777835)</f>
        <v>0.04652777778</v>
      </c>
      <c r="M522" s="7">
        <f>IFERROR(__xludf.DUMMYFUNCTION("""COMPUTED_VALUE"""),0.030347222222222275)</f>
        <v>0.03034722222</v>
      </c>
      <c r="O522" s="9">
        <f>IFERROR(__xludf.DUMMYFUNCTION("""COMPUTED_VALUE"""),604.5166666666677)</f>
        <v>604.5166667</v>
      </c>
      <c r="P522" s="1" t="str">
        <f>IFERROR(__xludf.DUMMYFUNCTION("""COMPUTED_VALUE"""),"VLG")</f>
        <v>VLG</v>
      </c>
      <c r="Q522" s="1" t="str">
        <f>IFERROR(__xludf.DUMMYFUNCTION("""COMPUTED_VALUE"""),"ECAC")</f>
        <v>ECAC</v>
      </c>
    </row>
    <row r="523">
      <c r="A523" s="1" t="str">
        <f>IFERROR(__xludf.DUMMYFUNCTION("""COMPUTED_VALUE"""),"RYR65DP")</f>
        <v>RYR65DP</v>
      </c>
      <c r="B523" s="1" t="str">
        <f>IFERROR(__xludf.DUMMYFUNCTION("""COMPUTED_VALUE"""),"B738")</f>
        <v>B738</v>
      </c>
      <c r="C523" s="1" t="str">
        <f>IFERROR(__xludf.DUMMYFUNCTION("""COMPUTED_VALUE"""),"LIPE")</f>
        <v>LIPE</v>
      </c>
      <c r="D523" s="1" t="str">
        <f>IFERROR(__xludf.DUMMYFUNCTION("""COMPUTED_VALUE"""),"LEBL")</f>
        <v>LEBL</v>
      </c>
      <c r="E523" s="1" t="str">
        <f>IFERROR(__xludf.DUMMYFUNCTION("""COMPUTED_VALUE"""),"EIDCW")</f>
        <v>EIDCW</v>
      </c>
      <c r="F523" s="1">
        <f>IFERROR(__xludf.DUMMYFUNCTION("""COMPUTED_VALUE"""),370.0)</f>
        <v>370</v>
      </c>
      <c r="G523" s="7">
        <f>IFERROR(__xludf.DUMMYFUNCTION("""COMPUTED_VALUE"""),0.8680555555555556)</f>
        <v>0.8680555556</v>
      </c>
      <c r="H523" s="1">
        <f>IFERROR(__xludf.DUMMYFUNCTION("""COMPUTED_VALUE"""),15.0)</f>
        <v>15</v>
      </c>
      <c r="I523" s="7">
        <f>IFERROR(__xludf.DUMMYFUNCTION("""COMPUTED_VALUE"""),0.9270833333333334)</f>
        <v>0.9270833333</v>
      </c>
      <c r="J523" s="1" t="str">
        <f>IFERROR(__xludf.DUMMYFUNCTION("""COMPUTED_VALUE"""),"D")</f>
        <v>D</v>
      </c>
      <c r="K523" s="1">
        <f>IFERROR(__xludf.DUMMYFUNCTION("""COMPUTED_VALUE"""),184.0)</f>
        <v>184</v>
      </c>
      <c r="L523" s="7">
        <f>IFERROR(__xludf.DUMMYFUNCTION("""COMPUTED_VALUE"""),0.05902777777777779)</f>
        <v>0.05902777778</v>
      </c>
      <c r="M523" s="7">
        <f>IFERROR(__xludf.DUMMYFUNCTION("""COMPUTED_VALUE"""),0.03590277777777779)</f>
        <v>0.03590277778</v>
      </c>
      <c r="O523" s="9">
        <f>IFERROR(__xludf.DUMMYFUNCTION("""COMPUTED_VALUE"""),715.1833333333336)</f>
        <v>715.1833333</v>
      </c>
      <c r="P523" s="1" t="str">
        <f>IFERROR(__xludf.DUMMYFUNCTION("""COMPUTED_VALUE"""),"RYR")</f>
        <v>RYR</v>
      </c>
      <c r="Q523" s="1" t="str">
        <f>IFERROR(__xludf.DUMMYFUNCTION("""COMPUTED_VALUE"""),"ECAC")</f>
        <v>ECAC</v>
      </c>
    </row>
    <row r="524">
      <c r="A524" s="1" t="str">
        <f>IFERROR(__xludf.DUMMYFUNCTION("""COMPUTED_VALUE"""),"VLG13LA")</f>
        <v>VLG13LA</v>
      </c>
      <c r="B524" s="1" t="str">
        <f>IFERROR(__xludf.DUMMYFUNCTION("""COMPUTED_VALUE"""),"A321")</f>
        <v>A321</v>
      </c>
      <c r="C524" s="1" t="str">
        <f>IFERROR(__xludf.DUMMYFUNCTION("""COMPUTED_VALUE"""),"GCLP")</f>
        <v>GCLP</v>
      </c>
      <c r="D524" s="1" t="str">
        <f>IFERROR(__xludf.DUMMYFUNCTION("""COMPUTED_VALUE"""),"LEBL")</f>
        <v>LEBL</v>
      </c>
      <c r="E524" s="1" t="str">
        <f>IFERROR(__xludf.DUMMYFUNCTION("""COMPUTED_VALUE"""),"ECMHB")</f>
        <v>ECMHB</v>
      </c>
      <c r="F524" s="1">
        <f>IFERROR(__xludf.DUMMYFUNCTION("""COMPUTED_VALUE"""),340.0)</f>
        <v>340</v>
      </c>
      <c r="G524" s="7">
        <f>IFERROR(__xludf.DUMMYFUNCTION("""COMPUTED_VALUE"""),0.8173611111111111)</f>
        <v>0.8173611111</v>
      </c>
      <c r="H524" s="1">
        <f>IFERROR(__xludf.DUMMYFUNCTION("""COMPUTED_VALUE"""),14.0)</f>
        <v>14</v>
      </c>
      <c r="I524" s="7">
        <f>IFERROR(__xludf.DUMMYFUNCTION("""COMPUTED_VALUE"""),0.9270833333333334)</f>
        <v>0.9270833333</v>
      </c>
      <c r="J524" s="1" t="str">
        <f>IFERROR(__xludf.DUMMYFUNCTION("""COMPUTED_VALUE"""),"D")</f>
        <v>D</v>
      </c>
      <c r="K524" s="1">
        <f>IFERROR(__xludf.DUMMYFUNCTION("""COMPUTED_VALUE"""),207.0)</f>
        <v>207</v>
      </c>
      <c r="L524" s="7">
        <f>IFERROR(__xludf.DUMMYFUNCTION("""COMPUTED_VALUE"""),0.10972222222222228)</f>
        <v>0.1097222222</v>
      </c>
      <c r="M524" s="7">
        <f>IFERROR(__xludf.DUMMYFUNCTION("""COMPUTED_VALUE"""),0.08729166666666671)</f>
        <v>0.08729166667</v>
      </c>
      <c r="O524" s="9">
        <f>IFERROR(__xludf.DUMMYFUNCTION("""COMPUTED_VALUE"""),1738.8500000000008)</f>
        <v>1738.85</v>
      </c>
      <c r="P524" s="1" t="str">
        <f>IFERROR(__xludf.DUMMYFUNCTION("""COMPUTED_VALUE"""),"VLG")</f>
        <v>VLG</v>
      </c>
      <c r="Q524" s="1" t="str">
        <f>IFERROR(__xludf.DUMMYFUNCTION("""COMPUTED_VALUE"""),"ECAC")</f>
        <v>ECAC</v>
      </c>
    </row>
    <row r="525">
      <c r="A525" s="1" t="str">
        <f>IFERROR(__xludf.DUMMYFUNCTION("""COMPUTED_VALUE"""),"VLG796R")</f>
        <v>VLG796R</v>
      </c>
      <c r="B525" s="1" t="str">
        <f>IFERROR(__xludf.DUMMYFUNCTION("""COMPUTED_VALUE"""),"A320")</f>
        <v>A320</v>
      </c>
      <c r="C525" s="1" t="str">
        <f>IFERROR(__xludf.DUMMYFUNCTION("""COMPUTED_VALUE"""),"LEPA")</f>
        <v>LEPA</v>
      </c>
      <c r="D525" s="1" t="str">
        <f>IFERROR(__xludf.DUMMYFUNCTION("""COMPUTED_VALUE"""),"LEBL")</f>
        <v>LEBL</v>
      </c>
      <c r="E525" s="1" t="str">
        <f>IFERROR(__xludf.DUMMYFUNCTION("""COMPUTED_VALUE"""),"ECNUP")</f>
        <v>ECNUP</v>
      </c>
      <c r="F525" s="1">
        <f>IFERROR(__xludf.DUMMYFUNCTION("""COMPUTED_VALUE"""),180.0)</f>
        <v>180</v>
      </c>
      <c r="G525" s="7">
        <f>IFERROR(__xludf.DUMMYFUNCTION("""COMPUTED_VALUE"""),0.9055555555555556)</f>
        <v>0.9055555556</v>
      </c>
      <c r="H525" s="1">
        <f>IFERROR(__xludf.DUMMYFUNCTION("""COMPUTED_VALUE"""),17.0)</f>
        <v>17</v>
      </c>
      <c r="I525" s="7">
        <f>IFERROR(__xludf.DUMMYFUNCTION("""COMPUTED_VALUE"""),0.9305555555555556)</f>
        <v>0.9305555556</v>
      </c>
      <c r="J525" s="1" t="str">
        <f>IFERROR(__xludf.DUMMYFUNCTION("""COMPUTED_VALUE"""),"D")</f>
        <v>D</v>
      </c>
      <c r="K525" s="1">
        <f>IFERROR(__xludf.DUMMYFUNCTION("""COMPUTED_VALUE"""),173.0)</f>
        <v>173</v>
      </c>
      <c r="L525" s="7">
        <f>IFERROR(__xludf.DUMMYFUNCTION("""COMPUTED_VALUE"""),0.025000000000000022)</f>
        <v>0.025</v>
      </c>
      <c r="M525" s="7">
        <f>IFERROR(__xludf.DUMMYFUNCTION("""COMPUTED_VALUE"""),4.861111111111333E-4)</f>
        <v>0.0004861111111</v>
      </c>
      <c r="O525" s="9">
        <f>IFERROR(__xludf.DUMMYFUNCTION("""COMPUTED_VALUE"""),9.683333333333776)</f>
        <v>9.683333333</v>
      </c>
      <c r="P525" s="1" t="str">
        <f>IFERROR(__xludf.DUMMYFUNCTION("""COMPUTED_VALUE"""),"VLG")</f>
        <v>VLG</v>
      </c>
      <c r="Q525" s="1" t="str">
        <f>IFERROR(__xludf.DUMMYFUNCTION("""COMPUTED_VALUE"""),"ECAC")</f>
        <v>ECAC</v>
      </c>
    </row>
    <row r="526">
      <c r="A526" s="1" t="str">
        <f>IFERROR(__xludf.DUMMYFUNCTION("""COMPUTED_VALUE"""),"VLG14RT")</f>
        <v>VLG14RT</v>
      </c>
      <c r="B526" s="1" t="str">
        <f>IFERROR(__xludf.DUMMYFUNCTION("""COMPUTED_VALUE"""),"A321")</f>
        <v>A321</v>
      </c>
      <c r="C526" s="1" t="str">
        <f>IFERROR(__xludf.DUMMYFUNCTION("""COMPUTED_VALUE"""),"LEPA")</f>
        <v>LEPA</v>
      </c>
      <c r="D526" s="1" t="str">
        <f>IFERROR(__xludf.DUMMYFUNCTION("""COMPUTED_VALUE"""),"LEBL")</f>
        <v>LEBL</v>
      </c>
      <c r="E526" s="1" t="str">
        <f>IFERROR(__xludf.DUMMYFUNCTION("""COMPUTED_VALUE"""),"ECMQB")</f>
        <v>ECMQB</v>
      </c>
      <c r="F526" s="1">
        <f>IFERROR(__xludf.DUMMYFUNCTION("""COMPUTED_VALUE"""),180.0)</f>
        <v>180</v>
      </c>
      <c r="G526" s="7">
        <f>IFERROR(__xludf.DUMMYFUNCTION("""COMPUTED_VALUE"""),0.9076388888888889)</f>
        <v>0.9076388889</v>
      </c>
      <c r="H526" s="1">
        <f>IFERROR(__xludf.DUMMYFUNCTION("""COMPUTED_VALUE"""),17.0)</f>
        <v>17</v>
      </c>
      <c r="I526" s="7">
        <f>IFERROR(__xludf.DUMMYFUNCTION("""COMPUTED_VALUE"""),0.9305555555555556)</f>
        <v>0.9305555556</v>
      </c>
      <c r="J526" s="1" t="str">
        <f>IFERROR(__xludf.DUMMYFUNCTION("""COMPUTED_VALUE"""),"D")</f>
        <v>D</v>
      </c>
      <c r="K526" s="1">
        <f>IFERROR(__xludf.DUMMYFUNCTION("""COMPUTED_VALUE"""),207.0)</f>
        <v>207</v>
      </c>
      <c r="L526" s="7">
        <f>IFERROR(__xludf.DUMMYFUNCTION("""COMPUTED_VALUE"""),0.022916666666666696)</f>
        <v>0.02291666667</v>
      </c>
      <c r="M526" s="7">
        <f>IFERROR(__xludf.DUMMYFUNCTION("""COMPUTED_VALUE"""),0.011111111111111141)</f>
        <v>0.01111111111</v>
      </c>
      <c r="O526" s="9">
        <f>IFERROR(__xludf.DUMMYFUNCTION("""COMPUTED_VALUE"""),221.33333333333394)</f>
        <v>221.3333333</v>
      </c>
      <c r="P526" s="1" t="str">
        <f>IFERROR(__xludf.DUMMYFUNCTION("""COMPUTED_VALUE"""),"VLG")</f>
        <v>VLG</v>
      </c>
      <c r="Q526" s="1" t="str">
        <f>IFERROR(__xludf.DUMMYFUNCTION("""COMPUTED_VALUE"""),"ECAC")</f>
        <v>ECAC</v>
      </c>
    </row>
    <row r="527">
      <c r="A527" s="1" t="str">
        <f>IFERROR(__xludf.DUMMYFUNCTION("""COMPUTED_VALUE"""),"VLG159U")</f>
        <v>VLG159U</v>
      </c>
      <c r="B527" s="1" t="str">
        <f>IFERROR(__xludf.DUMMYFUNCTION("""COMPUTED_VALUE"""),"A321")</f>
        <v>A321</v>
      </c>
      <c r="C527" s="1" t="str">
        <f>IFERROR(__xludf.DUMMYFUNCTION("""COMPUTED_VALUE"""),"EKCH")</f>
        <v>EKCH</v>
      </c>
      <c r="D527" s="1" t="str">
        <f>IFERROR(__xludf.DUMMYFUNCTION("""COMPUTED_VALUE"""),"LEBL")</f>
        <v>LEBL</v>
      </c>
      <c r="E527" s="1" t="str">
        <f>IFERROR(__xludf.DUMMYFUNCTION("""COMPUTED_VALUE"""),"ECMJR")</f>
        <v>ECMJR</v>
      </c>
      <c r="F527" s="1">
        <f>IFERROR(__xludf.DUMMYFUNCTION("""COMPUTED_VALUE"""),350.0)</f>
        <v>350</v>
      </c>
      <c r="G527" s="7">
        <f>IFERROR(__xludf.DUMMYFUNCTION("""COMPUTED_VALUE"""),0.8284722222222223)</f>
        <v>0.8284722222</v>
      </c>
      <c r="H527" s="1">
        <f>IFERROR(__xludf.DUMMYFUNCTION("""COMPUTED_VALUE"""),10.0)</f>
        <v>10</v>
      </c>
      <c r="I527" s="7">
        <f>IFERROR(__xludf.DUMMYFUNCTION("""COMPUTED_VALUE"""),0.9305555555555556)</f>
        <v>0.9305555556</v>
      </c>
      <c r="J527" s="1" t="str">
        <f>IFERROR(__xludf.DUMMYFUNCTION("""COMPUTED_VALUE"""),"D")</f>
        <v>D</v>
      </c>
      <c r="K527" s="1">
        <f>IFERROR(__xludf.DUMMYFUNCTION("""COMPUTED_VALUE"""),207.0)</f>
        <v>207</v>
      </c>
      <c r="L527" s="7">
        <f>IFERROR(__xludf.DUMMYFUNCTION("""COMPUTED_VALUE"""),0.1020833333333333)</f>
        <v>0.1020833333</v>
      </c>
      <c r="M527" s="7">
        <f>IFERROR(__xludf.DUMMYFUNCTION("""COMPUTED_VALUE"""),0.08243055555555552)</f>
        <v>0.08243055556</v>
      </c>
      <c r="O527" s="9">
        <f>IFERROR(__xludf.DUMMYFUNCTION("""COMPUTED_VALUE"""),1642.016666666666)</f>
        <v>1642.016667</v>
      </c>
      <c r="P527" s="1" t="str">
        <f>IFERROR(__xludf.DUMMYFUNCTION("""COMPUTED_VALUE"""),"VLG")</f>
        <v>VLG</v>
      </c>
      <c r="Q527" s="1" t="str">
        <f>IFERROR(__xludf.DUMMYFUNCTION("""COMPUTED_VALUE"""),"ECAC")</f>
        <v>ECAC</v>
      </c>
    </row>
    <row r="528">
      <c r="A528" s="1" t="str">
        <f>IFERROR(__xludf.DUMMYFUNCTION("""COMPUTED_VALUE"""),"VLG5SC")</f>
        <v>VLG5SC</v>
      </c>
      <c r="B528" s="1" t="str">
        <f>IFERROR(__xludf.DUMMYFUNCTION("""COMPUTED_VALUE"""),"A320")</f>
        <v>A320</v>
      </c>
      <c r="C528" s="1" t="str">
        <f>IFERROR(__xludf.DUMMYFUNCTION("""COMPUTED_VALUE"""),"LEZL")</f>
        <v>LEZL</v>
      </c>
      <c r="D528" s="1" t="str">
        <f>IFERROR(__xludf.DUMMYFUNCTION("""COMPUTED_VALUE"""),"LEBL")</f>
        <v>LEBL</v>
      </c>
      <c r="E528" s="1" t="str">
        <f>IFERROR(__xludf.DUMMYFUNCTION("""COMPUTED_VALUE"""),"ECMER")</f>
        <v>ECMER</v>
      </c>
      <c r="F528" s="1">
        <f>IFERROR(__xludf.DUMMYFUNCTION("""COMPUTED_VALUE"""),340.0)</f>
        <v>340</v>
      </c>
      <c r="G528" s="7">
        <f>IFERROR(__xludf.DUMMYFUNCTION("""COMPUTED_VALUE"""),0.8743055555555556)</f>
        <v>0.8743055556</v>
      </c>
      <c r="H528" s="1">
        <f>IFERROR(__xludf.DUMMYFUNCTION("""COMPUTED_VALUE"""),12.0)</f>
        <v>12</v>
      </c>
      <c r="I528" s="7">
        <f>IFERROR(__xludf.DUMMYFUNCTION("""COMPUTED_VALUE"""),0.9340277777777778)</f>
        <v>0.9340277778</v>
      </c>
      <c r="J528" s="1" t="str">
        <f>IFERROR(__xludf.DUMMYFUNCTION("""COMPUTED_VALUE"""),"D")</f>
        <v>D</v>
      </c>
      <c r="K528" s="1">
        <f>IFERROR(__xludf.DUMMYFUNCTION("""COMPUTED_VALUE"""),173.0)</f>
        <v>173</v>
      </c>
      <c r="L528" s="7">
        <f>IFERROR(__xludf.DUMMYFUNCTION("""COMPUTED_VALUE"""),0.05972222222222223)</f>
        <v>0.05972222222</v>
      </c>
      <c r="M528" s="7">
        <f>IFERROR(__xludf.DUMMYFUNCTION("""COMPUTED_VALUE"""),0.038680555555555565)</f>
        <v>0.03868055556</v>
      </c>
      <c r="O528" s="9">
        <f>IFERROR(__xludf.DUMMYFUNCTION("""COMPUTED_VALUE"""),770.5166666666669)</f>
        <v>770.5166667</v>
      </c>
      <c r="P528" s="1" t="str">
        <f>IFERROR(__xludf.DUMMYFUNCTION("""COMPUTED_VALUE"""),"VLG")</f>
        <v>VLG</v>
      </c>
      <c r="Q528" s="1" t="str">
        <f>IFERROR(__xludf.DUMMYFUNCTION("""COMPUTED_VALUE"""),"ECAC")</f>
        <v>ECAC</v>
      </c>
    </row>
    <row r="529">
      <c r="A529" s="1" t="str">
        <f>IFERROR(__xludf.DUMMYFUNCTION("""COMPUTED_VALUE"""),"VLG9MZ")</f>
        <v>VLG9MZ</v>
      </c>
      <c r="B529" s="1" t="str">
        <f>IFERROR(__xludf.DUMMYFUNCTION("""COMPUTED_VALUE"""),"A320")</f>
        <v>A320</v>
      </c>
      <c r="C529" s="1" t="str">
        <f>IFERROR(__xludf.DUMMYFUNCTION("""COMPUTED_VALUE"""),"LFML")</f>
        <v>LFML</v>
      </c>
      <c r="D529" s="1" t="str">
        <f>IFERROR(__xludf.DUMMYFUNCTION("""COMPUTED_VALUE"""),"LEBL")</f>
        <v>LEBL</v>
      </c>
      <c r="E529" s="1" t="str">
        <f>IFERROR(__xludf.DUMMYFUNCTION("""COMPUTED_VALUE"""),"ECMVE")</f>
        <v>ECMVE</v>
      </c>
      <c r="F529" s="1">
        <f>IFERROR(__xludf.DUMMYFUNCTION("""COMPUTED_VALUE"""),290.0)</f>
        <v>290</v>
      </c>
      <c r="G529" s="7">
        <f>IFERROR(__xludf.DUMMYFUNCTION("""COMPUTED_VALUE"""),0.8972222222222223)</f>
        <v>0.8972222222</v>
      </c>
      <c r="H529" s="1">
        <f>IFERROR(__xludf.DUMMYFUNCTION("""COMPUTED_VALUE"""),5.0)</f>
        <v>5</v>
      </c>
      <c r="I529" s="7">
        <f>IFERROR(__xludf.DUMMYFUNCTION("""COMPUTED_VALUE"""),0.9340277777777778)</f>
        <v>0.9340277778</v>
      </c>
      <c r="J529" s="1" t="str">
        <f>IFERROR(__xludf.DUMMYFUNCTION("""COMPUTED_VALUE"""),"D")</f>
        <v>D</v>
      </c>
      <c r="K529" s="1">
        <f>IFERROR(__xludf.DUMMYFUNCTION("""COMPUTED_VALUE"""),173.0)</f>
        <v>173</v>
      </c>
      <c r="L529" s="7">
        <f>IFERROR(__xludf.DUMMYFUNCTION("""COMPUTED_VALUE"""),0.036805555555555536)</f>
        <v>0.03680555556</v>
      </c>
      <c r="M529" s="7">
        <f>IFERROR(__xludf.DUMMYFUNCTION("""COMPUTED_VALUE"""),0.020624999999999977)</f>
        <v>0.020625</v>
      </c>
      <c r="O529" s="9">
        <f>IFERROR(__xludf.DUMMYFUNCTION("""COMPUTED_VALUE"""),410.8499999999995)</f>
        <v>410.85</v>
      </c>
      <c r="P529" s="1" t="str">
        <f>IFERROR(__xludf.DUMMYFUNCTION("""COMPUTED_VALUE"""),"VLG")</f>
        <v>VLG</v>
      </c>
      <c r="Q529" s="1" t="str">
        <f>IFERROR(__xludf.DUMMYFUNCTION("""COMPUTED_VALUE"""),"ECAC")</f>
        <v>ECAC</v>
      </c>
    </row>
    <row r="530">
      <c r="A530" s="1" t="str">
        <f>IFERROR(__xludf.DUMMYFUNCTION("""COMPUTED_VALUE"""),"VLG669A")</f>
        <v>VLG669A</v>
      </c>
      <c r="B530" s="1" t="str">
        <f>IFERROR(__xludf.DUMMYFUNCTION("""COMPUTED_VALUE"""),"A321")</f>
        <v>A321</v>
      </c>
      <c r="C530" s="1" t="str">
        <f>IFERROR(__xludf.DUMMYFUNCTION("""COMPUTED_VALUE"""),"LIRN")</f>
        <v>LIRN</v>
      </c>
      <c r="D530" s="1" t="str">
        <f>IFERROR(__xludf.DUMMYFUNCTION("""COMPUTED_VALUE"""),"LEBL")</f>
        <v>LEBL</v>
      </c>
      <c r="E530" s="1" t="str">
        <f>IFERROR(__xludf.DUMMYFUNCTION("""COMPUTED_VALUE"""),"ECMGY")</f>
        <v>ECMGY</v>
      </c>
      <c r="F530" s="1">
        <f>IFERROR(__xludf.DUMMYFUNCTION("""COMPUTED_VALUE"""),340.0)</f>
        <v>340</v>
      </c>
      <c r="G530" s="7">
        <f>IFERROR(__xludf.DUMMYFUNCTION("""COMPUTED_VALUE"""),0.8736111111111111)</f>
        <v>0.8736111111</v>
      </c>
      <c r="H530" s="1">
        <f>IFERROR(__xludf.DUMMYFUNCTION("""COMPUTED_VALUE"""),12.0)</f>
        <v>12</v>
      </c>
      <c r="I530" s="7">
        <f>IFERROR(__xludf.DUMMYFUNCTION("""COMPUTED_VALUE"""),0.9340277777777778)</f>
        <v>0.9340277778</v>
      </c>
      <c r="J530" s="1" t="str">
        <f>IFERROR(__xludf.DUMMYFUNCTION("""COMPUTED_VALUE"""),"D")</f>
        <v>D</v>
      </c>
      <c r="K530" s="1">
        <f>IFERROR(__xludf.DUMMYFUNCTION("""COMPUTED_VALUE"""),207.0)</f>
        <v>207</v>
      </c>
      <c r="L530" s="7">
        <f>IFERROR(__xludf.DUMMYFUNCTION("""COMPUTED_VALUE"""),0.060416666666666674)</f>
        <v>0.06041666667</v>
      </c>
      <c r="M530" s="7">
        <f>IFERROR(__xludf.DUMMYFUNCTION("""COMPUTED_VALUE"""),0.03937500000000001)</f>
        <v>0.039375</v>
      </c>
      <c r="O530" s="9">
        <f>IFERROR(__xludf.DUMMYFUNCTION("""COMPUTED_VALUE"""),784.3500000000001)</f>
        <v>784.35</v>
      </c>
      <c r="P530" s="1" t="str">
        <f>IFERROR(__xludf.DUMMYFUNCTION("""COMPUTED_VALUE"""),"VLG")</f>
        <v>VLG</v>
      </c>
      <c r="Q530" s="1" t="str">
        <f>IFERROR(__xludf.DUMMYFUNCTION("""COMPUTED_VALUE"""),"ECAC")</f>
        <v>ECAC</v>
      </c>
    </row>
    <row r="531">
      <c r="A531" s="1" t="str">
        <f>IFERROR(__xludf.DUMMYFUNCTION("""COMPUTED_VALUE"""),"VLG1SG")</f>
        <v>VLG1SG</v>
      </c>
      <c r="B531" s="1" t="str">
        <f>IFERROR(__xludf.DUMMYFUNCTION("""COMPUTED_VALUE"""),"A320")</f>
        <v>A320</v>
      </c>
      <c r="C531" s="1" t="str">
        <f>IFERROR(__xludf.DUMMYFUNCTION("""COMPUTED_VALUE"""),"GCXO")</f>
        <v>GCXO</v>
      </c>
      <c r="D531" s="1" t="str">
        <f>IFERROR(__xludf.DUMMYFUNCTION("""COMPUTED_VALUE"""),"LEBL")</f>
        <v>LEBL</v>
      </c>
      <c r="E531" s="1" t="str">
        <f>IFERROR(__xludf.DUMMYFUNCTION("""COMPUTED_VALUE"""),"ECMEL")</f>
        <v>ECMEL</v>
      </c>
      <c r="F531" s="1">
        <f>IFERROR(__xludf.DUMMYFUNCTION("""COMPUTED_VALUE"""),380.0)</f>
        <v>380</v>
      </c>
      <c r="G531" s="7">
        <f>IFERROR(__xludf.DUMMYFUNCTION("""COMPUTED_VALUE"""),0.8215277777777777)</f>
        <v>0.8215277778</v>
      </c>
      <c r="H531" s="1">
        <f>IFERROR(__xludf.DUMMYFUNCTION("""COMPUTED_VALUE"""),4.0)</f>
        <v>4</v>
      </c>
      <c r="I531" s="7">
        <f>IFERROR(__xludf.DUMMYFUNCTION("""COMPUTED_VALUE"""),0.9375)</f>
        <v>0.9375</v>
      </c>
      <c r="J531" s="1" t="str">
        <f>IFERROR(__xludf.DUMMYFUNCTION("""COMPUTED_VALUE"""),"D")</f>
        <v>D</v>
      </c>
      <c r="K531" s="1">
        <f>IFERROR(__xludf.DUMMYFUNCTION("""COMPUTED_VALUE"""),173.0)</f>
        <v>173</v>
      </c>
      <c r="L531" s="7">
        <f>IFERROR(__xludf.DUMMYFUNCTION("""COMPUTED_VALUE"""),0.11597222222222225)</f>
        <v>0.1159722222</v>
      </c>
      <c r="M531" s="7">
        <f>IFERROR(__xludf.DUMMYFUNCTION("""COMPUTED_VALUE"""),0.10048611111111114)</f>
        <v>0.1004861111</v>
      </c>
      <c r="O531" s="9">
        <f>IFERROR(__xludf.DUMMYFUNCTION("""COMPUTED_VALUE"""),2001.6833333333336)</f>
        <v>2001.683333</v>
      </c>
      <c r="P531" s="1" t="str">
        <f>IFERROR(__xludf.DUMMYFUNCTION("""COMPUTED_VALUE"""),"VLG")</f>
        <v>VLG</v>
      </c>
      <c r="Q531" s="1" t="str">
        <f>IFERROR(__xludf.DUMMYFUNCTION("""COMPUTED_VALUE"""),"ECAC")</f>
        <v>ECAC</v>
      </c>
    </row>
    <row r="532">
      <c r="A532" s="1" t="str">
        <f>IFERROR(__xludf.DUMMYFUNCTION("""COMPUTED_VALUE"""),"VLG79EM")</f>
        <v>VLG79EM</v>
      </c>
      <c r="B532" s="1" t="str">
        <f>IFERROR(__xludf.DUMMYFUNCTION("""COMPUTED_VALUE"""),"A321")</f>
        <v>A321</v>
      </c>
      <c r="C532" s="1" t="str">
        <f>IFERROR(__xludf.DUMMYFUNCTION("""COMPUTED_VALUE"""),"LPPR")</f>
        <v>LPPR</v>
      </c>
      <c r="D532" s="1" t="str">
        <f>IFERROR(__xludf.DUMMYFUNCTION("""COMPUTED_VALUE"""),"LEBL")</f>
        <v>LEBL</v>
      </c>
      <c r="E532" s="1" t="str">
        <f>IFERROR(__xludf.DUMMYFUNCTION("""COMPUTED_VALUE"""),"ECMLD")</f>
        <v>ECMLD</v>
      </c>
      <c r="F532" s="1">
        <f>IFERROR(__xludf.DUMMYFUNCTION("""COMPUTED_VALUE"""),340.0)</f>
        <v>340</v>
      </c>
      <c r="G532" s="7">
        <f>IFERROR(__xludf.DUMMYFUNCTION("""COMPUTED_VALUE"""),0.8833333333333333)</f>
        <v>0.8833333333</v>
      </c>
      <c r="H532" s="1">
        <f>IFERROR(__xludf.DUMMYFUNCTION("""COMPUTED_VALUE"""),12.0)</f>
        <v>12</v>
      </c>
      <c r="I532" s="7">
        <f>IFERROR(__xludf.DUMMYFUNCTION("""COMPUTED_VALUE"""),0.9375)</f>
        <v>0.9375</v>
      </c>
      <c r="J532" s="1" t="str">
        <f>IFERROR(__xludf.DUMMYFUNCTION("""COMPUTED_VALUE"""),"D")</f>
        <v>D</v>
      </c>
      <c r="K532" s="1">
        <f>IFERROR(__xludf.DUMMYFUNCTION("""COMPUTED_VALUE"""),207.0)</f>
        <v>207</v>
      </c>
      <c r="L532" s="7">
        <f>IFERROR(__xludf.DUMMYFUNCTION("""COMPUTED_VALUE"""),0.054166666666666696)</f>
        <v>0.05416666667</v>
      </c>
      <c r="M532" s="7">
        <f>IFERROR(__xludf.DUMMYFUNCTION("""COMPUTED_VALUE"""),0.03312500000000003)</f>
        <v>0.033125</v>
      </c>
      <c r="O532" s="9">
        <f>IFERROR(__xludf.DUMMYFUNCTION("""COMPUTED_VALUE"""),659.8500000000006)</f>
        <v>659.85</v>
      </c>
      <c r="P532" s="1" t="str">
        <f>IFERROR(__xludf.DUMMYFUNCTION("""COMPUTED_VALUE"""),"VLG")</f>
        <v>VLG</v>
      </c>
      <c r="Q532" s="1" t="str">
        <f>IFERROR(__xludf.DUMMYFUNCTION("""COMPUTED_VALUE"""),"ECAC")</f>
        <v>ECAC</v>
      </c>
    </row>
    <row r="533">
      <c r="A533" s="1" t="str">
        <f>IFERROR(__xludf.DUMMYFUNCTION("""COMPUTED_VALUE"""),"VLG5ET")</f>
        <v>VLG5ET</v>
      </c>
      <c r="B533" s="1" t="str">
        <f>IFERROR(__xludf.DUMMYFUNCTION("""COMPUTED_VALUE"""),"A320")</f>
        <v>A320</v>
      </c>
      <c r="C533" s="1" t="str">
        <f>IFERROR(__xludf.DUMMYFUNCTION("""COMPUTED_VALUE"""),"LEMH")</f>
        <v>LEMH</v>
      </c>
      <c r="D533" s="1" t="str">
        <f>IFERROR(__xludf.DUMMYFUNCTION("""COMPUTED_VALUE"""),"LEBL")</f>
        <v>LEBL</v>
      </c>
      <c r="E533" s="1" t="str">
        <f>IFERROR(__xludf.DUMMYFUNCTION("""COMPUTED_VALUE"""),"ECMLE")</f>
        <v>ECMLE</v>
      </c>
      <c r="F533" s="1">
        <f>IFERROR(__xludf.DUMMYFUNCTION("""COMPUTED_VALUE"""),180.0)</f>
        <v>180</v>
      </c>
      <c r="G533" s="7">
        <f>IFERROR(__xludf.DUMMYFUNCTION("""COMPUTED_VALUE"""),0.9125)</f>
        <v>0.9125</v>
      </c>
      <c r="H533" s="1">
        <f>IFERROR(__xludf.DUMMYFUNCTION("""COMPUTED_VALUE"""),10.0)</f>
        <v>10</v>
      </c>
      <c r="I533" s="7">
        <f>IFERROR(__xludf.DUMMYFUNCTION("""COMPUTED_VALUE"""),0.9375)</f>
        <v>0.9375</v>
      </c>
      <c r="J533" s="1" t="str">
        <f>IFERROR(__xludf.DUMMYFUNCTION("""COMPUTED_VALUE"""),"D")</f>
        <v>D</v>
      </c>
      <c r="K533" s="1">
        <f>IFERROR(__xludf.DUMMYFUNCTION("""COMPUTED_VALUE"""),173.0)</f>
        <v>173</v>
      </c>
      <c r="L533" s="7">
        <f>IFERROR(__xludf.DUMMYFUNCTION("""COMPUTED_VALUE"""),0.025000000000000022)</f>
        <v>0.025</v>
      </c>
      <c r="M533" s="7">
        <f>IFERROR(__xludf.DUMMYFUNCTION("""COMPUTED_VALUE"""),0.0053472222222222445)</f>
        <v>0.005347222222</v>
      </c>
      <c r="O533" s="9">
        <f>IFERROR(__xludf.DUMMYFUNCTION("""COMPUTED_VALUE"""),106.5166666666671)</f>
        <v>106.5166667</v>
      </c>
      <c r="P533" s="1" t="str">
        <f>IFERROR(__xludf.DUMMYFUNCTION("""COMPUTED_VALUE"""),"VLG")</f>
        <v>VLG</v>
      </c>
      <c r="Q533" s="1" t="str">
        <f>IFERROR(__xludf.DUMMYFUNCTION("""COMPUTED_VALUE"""),"ECAC")</f>
        <v>ECAC</v>
      </c>
    </row>
    <row r="534">
      <c r="A534" s="1" t="str">
        <f>IFERROR(__xludf.DUMMYFUNCTION("""COMPUTED_VALUE"""),"VLG738J")</f>
        <v>VLG738J</v>
      </c>
      <c r="B534" s="1" t="str">
        <f>IFERROR(__xludf.DUMMYFUNCTION("""COMPUTED_VALUE"""),"A321")</f>
        <v>A321</v>
      </c>
      <c r="C534" s="1" t="str">
        <f>IFERROR(__xludf.DUMMYFUNCTION("""COMPUTED_VALUE"""),"EGKK")</f>
        <v>EGKK</v>
      </c>
      <c r="D534" s="1" t="str">
        <f>IFERROR(__xludf.DUMMYFUNCTION("""COMPUTED_VALUE"""),"LEBL")</f>
        <v>LEBL</v>
      </c>
      <c r="E534" s="1" t="str">
        <f>IFERROR(__xludf.DUMMYFUNCTION("""COMPUTED_VALUE"""),"ECNLY")</f>
        <v>ECNLY</v>
      </c>
      <c r="F534" s="1">
        <f>IFERROR(__xludf.DUMMYFUNCTION("""COMPUTED_VALUE"""),350.0)</f>
        <v>350</v>
      </c>
      <c r="G534" s="7">
        <f>IFERROR(__xludf.DUMMYFUNCTION("""COMPUTED_VALUE"""),0.8770833333333333)</f>
        <v>0.8770833333</v>
      </c>
      <c r="H534" s="1">
        <f>IFERROR(__xludf.DUMMYFUNCTION("""COMPUTED_VALUE"""),12.0)</f>
        <v>12</v>
      </c>
      <c r="I534" s="7">
        <f>IFERROR(__xludf.DUMMYFUNCTION("""COMPUTED_VALUE"""),0.9409722222222222)</f>
        <v>0.9409722222</v>
      </c>
      <c r="J534" s="1" t="str">
        <f>IFERROR(__xludf.DUMMYFUNCTION("""COMPUTED_VALUE"""),"D")</f>
        <v>D</v>
      </c>
      <c r="K534" s="1">
        <f>IFERROR(__xludf.DUMMYFUNCTION("""COMPUTED_VALUE"""),207.0)</f>
        <v>207</v>
      </c>
      <c r="L534" s="7">
        <f>IFERROR(__xludf.DUMMYFUNCTION("""COMPUTED_VALUE"""),0.06388888888888888)</f>
        <v>0.06388888889</v>
      </c>
      <c r="M534" s="7">
        <f>IFERROR(__xludf.DUMMYFUNCTION("""COMPUTED_VALUE"""),0.04284722222222222)</f>
        <v>0.04284722222</v>
      </c>
      <c r="O534" s="9">
        <f>IFERROR(__xludf.DUMMYFUNCTION("""COMPUTED_VALUE"""),853.5166666666667)</f>
        <v>853.5166667</v>
      </c>
      <c r="P534" s="1" t="str">
        <f>IFERROR(__xludf.DUMMYFUNCTION("""COMPUTED_VALUE"""),"VLG")</f>
        <v>VLG</v>
      </c>
      <c r="Q534" s="1" t="str">
        <f>IFERROR(__xludf.DUMMYFUNCTION("""COMPUTED_VALUE"""),"ECAC")</f>
        <v>ECAC</v>
      </c>
    </row>
    <row r="535">
      <c r="A535" s="1" t="str">
        <f>IFERROR(__xludf.DUMMYFUNCTION("""COMPUTED_VALUE"""),"RYR73TJ")</f>
        <v>RYR73TJ</v>
      </c>
      <c r="B535" s="1" t="str">
        <f>IFERROR(__xludf.DUMMYFUNCTION("""COMPUTED_VALUE"""),"B738")</f>
        <v>B738</v>
      </c>
      <c r="C535" s="1" t="str">
        <f>IFERROR(__xludf.DUMMYFUNCTION("""COMPUTED_VALUE"""),"EGSS")</f>
        <v>EGSS</v>
      </c>
      <c r="D535" s="1" t="str">
        <f>IFERROR(__xludf.DUMMYFUNCTION("""COMPUTED_VALUE"""),"LEBL")</f>
        <v>LEBL</v>
      </c>
      <c r="E535" s="1" t="str">
        <f>IFERROR(__xludf.DUMMYFUNCTION("""COMPUTED_VALUE"""),"EIEMA")</f>
        <v>EIEMA</v>
      </c>
      <c r="F535" s="1">
        <f>IFERROR(__xludf.DUMMYFUNCTION("""COMPUTED_VALUE"""),370.0)</f>
        <v>370</v>
      </c>
      <c r="G535" s="7">
        <f>IFERROR(__xludf.DUMMYFUNCTION("""COMPUTED_VALUE"""),0.8638888888888889)</f>
        <v>0.8638888889</v>
      </c>
      <c r="H535" s="1">
        <f>IFERROR(__xludf.DUMMYFUNCTION("""COMPUTED_VALUE"""),10.0)</f>
        <v>10</v>
      </c>
      <c r="I535" s="7">
        <f>IFERROR(__xludf.DUMMYFUNCTION("""COMPUTED_VALUE"""),0.9409722222222222)</f>
        <v>0.9409722222</v>
      </c>
      <c r="J535" s="1" t="str">
        <f>IFERROR(__xludf.DUMMYFUNCTION("""COMPUTED_VALUE"""),"D")</f>
        <v>D</v>
      </c>
      <c r="K535" s="1">
        <f>IFERROR(__xludf.DUMMYFUNCTION("""COMPUTED_VALUE"""),184.0)</f>
        <v>184</v>
      </c>
      <c r="L535" s="7">
        <f>IFERROR(__xludf.DUMMYFUNCTION("""COMPUTED_VALUE"""),0.07708333333333328)</f>
        <v>0.07708333333</v>
      </c>
      <c r="M535" s="7">
        <f>IFERROR(__xludf.DUMMYFUNCTION("""COMPUTED_VALUE"""),0.0574305555555555)</f>
        <v>0.05743055556</v>
      </c>
      <c r="O535" s="9">
        <f>IFERROR(__xludf.DUMMYFUNCTION("""COMPUTED_VALUE"""),1144.0166666666655)</f>
        <v>1144.016667</v>
      </c>
      <c r="P535" s="1" t="str">
        <f>IFERROR(__xludf.DUMMYFUNCTION("""COMPUTED_VALUE"""),"RYR")</f>
        <v>RYR</v>
      </c>
      <c r="Q535" s="1" t="str">
        <f>IFERROR(__xludf.DUMMYFUNCTION("""COMPUTED_VALUE"""),"ECAC")</f>
        <v>ECAC</v>
      </c>
    </row>
    <row r="536">
      <c r="A536" s="1" t="str">
        <f>IFERROR(__xludf.DUMMYFUNCTION("""COMPUTED_VALUE"""),"VLG7NB")</f>
        <v>VLG7NB</v>
      </c>
      <c r="B536" s="1" t="str">
        <f>IFERROR(__xludf.DUMMYFUNCTION("""COMPUTED_VALUE"""),"A320")</f>
        <v>A320</v>
      </c>
      <c r="C536" s="1" t="str">
        <f>IFERROR(__xludf.DUMMYFUNCTION("""COMPUTED_VALUE"""),"LEIB")</f>
        <v>LEIB</v>
      </c>
      <c r="D536" s="1" t="str">
        <f>IFERROR(__xludf.DUMMYFUNCTION("""COMPUTED_VALUE"""),"LEBL")</f>
        <v>LEBL</v>
      </c>
      <c r="E536" s="1" t="str">
        <f>IFERROR(__xludf.DUMMYFUNCTION("""COMPUTED_VALUE"""),"ECOGE")</f>
        <v>ECOGE</v>
      </c>
      <c r="F536" s="1">
        <f>IFERROR(__xludf.DUMMYFUNCTION("""COMPUTED_VALUE"""),160.0)</f>
        <v>160</v>
      </c>
      <c r="G536" s="7">
        <f>IFERROR(__xludf.DUMMYFUNCTION("""COMPUTED_VALUE"""),0.9104166666666667)</f>
        <v>0.9104166667</v>
      </c>
      <c r="H536" s="1">
        <f>IFERROR(__xludf.DUMMYFUNCTION("""COMPUTED_VALUE"""),10.0)</f>
        <v>10</v>
      </c>
      <c r="I536" s="7">
        <f>IFERROR(__xludf.DUMMYFUNCTION("""COMPUTED_VALUE"""),0.9409722222222222)</f>
        <v>0.9409722222</v>
      </c>
      <c r="J536" s="1" t="str">
        <f>IFERROR(__xludf.DUMMYFUNCTION("""COMPUTED_VALUE"""),"D")</f>
        <v>D</v>
      </c>
      <c r="K536" s="1">
        <f>IFERROR(__xludf.DUMMYFUNCTION("""COMPUTED_VALUE"""),173.0)</f>
        <v>173</v>
      </c>
      <c r="L536" s="7">
        <f>IFERROR(__xludf.DUMMYFUNCTION("""COMPUTED_VALUE"""),0.030555555555555558)</f>
        <v>0.03055555556</v>
      </c>
      <c r="M536" s="7">
        <f>IFERROR(__xludf.DUMMYFUNCTION("""COMPUTED_VALUE"""),0.010902777777777779)</f>
        <v>0.01090277778</v>
      </c>
      <c r="O536" s="9">
        <f>IFERROR(__xludf.DUMMYFUNCTION("""COMPUTED_VALUE"""),217.18333333333337)</f>
        <v>217.1833333</v>
      </c>
      <c r="P536" s="1" t="str">
        <f>IFERROR(__xludf.DUMMYFUNCTION("""COMPUTED_VALUE"""),"VLG")</f>
        <v>VLG</v>
      </c>
      <c r="Q536" s="1" t="str">
        <f>IFERROR(__xludf.DUMMYFUNCTION("""COMPUTED_VALUE"""),"ECAC")</f>
        <v>ECAC</v>
      </c>
    </row>
    <row r="537">
      <c r="A537" s="1" t="str">
        <f>IFERROR(__xludf.DUMMYFUNCTION("""COMPUTED_VALUE"""),"VLG3XA")</f>
        <v>VLG3XA</v>
      </c>
      <c r="B537" s="1" t="str">
        <f>IFERROR(__xludf.DUMMYFUNCTION("""COMPUTED_VALUE"""),"A321")</f>
        <v>A321</v>
      </c>
      <c r="C537" s="1" t="str">
        <f>IFERROR(__xludf.DUMMYFUNCTION("""COMPUTED_VALUE"""),"LPPT")</f>
        <v>LPPT</v>
      </c>
      <c r="D537" s="1" t="str">
        <f>IFERROR(__xludf.DUMMYFUNCTION("""COMPUTED_VALUE"""),"LEBL")</f>
        <v>LEBL</v>
      </c>
      <c r="E537" s="1" t="str">
        <f>IFERROR(__xludf.DUMMYFUNCTION("""COMPUTED_VALUE"""),"ECMMU")</f>
        <v>ECMMU</v>
      </c>
      <c r="F537" s="1">
        <f>IFERROR(__xludf.DUMMYFUNCTION("""COMPUTED_VALUE"""),340.0)</f>
        <v>340</v>
      </c>
      <c r="G537" s="7">
        <f>IFERROR(__xludf.DUMMYFUNCTION("""COMPUTED_VALUE"""),0.8895833333333333)</f>
        <v>0.8895833333</v>
      </c>
      <c r="H537" s="1">
        <f>IFERROR(__xludf.DUMMYFUNCTION("""COMPUTED_VALUE"""),6.0)</f>
        <v>6</v>
      </c>
      <c r="I537" s="7">
        <f>IFERROR(__xludf.DUMMYFUNCTION("""COMPUTED_VALUE"""),0.9444444444444444)</f>
        <v>0.9444444444</v>
      </c>
      <c r="J537" s="1" t="str">
        <f>IFERROR(__xludf.DUMMYFUNCTION("""COMPUTED_VALUE"""),"D")</f>
        <v>D</v>
      </c>
      <c r="K537" s="1">
        <f>IFERROR(__xludf.DUMMYFUNCTION("""COMPUTED_VALUE"""),207.0)</f>
        <v>207</v>
      </c>
      <c r="L537" s="7">
        <f>IFERROR(__xludf.DUMMYFUNCTION("""COMPUTED_VALUE"""),0.05486111111111114)</f>
        <v>0.05486111111</v>
      </c>
      <c r="M537" s="7">
        <f>IFERROR(__xludf.DUMMYFUNCTION("""COMPUTED_VALUE"""),0.03798611111111114)</f>
        <v>0.03798611111</v>
      </c>
      <c r="O537" s="9">
        <f>IFERROR(__xludf.DUMMYFUNCTION("""COMPUTED_VALUE"""),756.6833333333338)</f>
        <v>756.6833333</v>
      </c>
      <c r="P537" s="1" t="str">
        <f>IFERROR(__xludf.DUMMYFUNCTION("""COMPUTED_VALUE"""),"VLG")</f>
        <v>VLG</v>
      </c>
      <c r="Q537" s="1" t="str">
        <f>IFERROR(__xludf.DUMMYFUNCTION("""COMPUTED_VALUE"""),"ECAC")</f>
        <v>ECAC</v>
      </c>
    </row>
    <row r="538">
      <c r="A538" s="1" t="str">
        <f>IFERROR(__xludf.DUMMYFUNCTION("""COMPUTED_VALUE"""),"VLG41XC")</f>
        <v>VLG41XC</v>
      </c>
      <c r="B538" s="1" t="str">
        <f>IFERROR(__xludf.DUMMYFUNCTION("""COMPUTED_VALUE"""),"A320")</f>
        <v>A320</v>
      </c>
      <c r="C538" s="1" t="str">
        <f>IFERROR(__xludf.DUMMYFUNCTION("""COMPUTED_VALUE"""),"LEST")</f>
        <v>LEST</v>
      </c>
      <c r="D538" s="1" t="str">
        <f>IFERROR(__xludf.DUMMYFUNCTION("""COMPUTED_VALUE"""),"LEBL")</f>
        <v>LEBL</v>
      </c>
      <c r="E538" s="1" t="str">
        <f>IFERROR(__xludf.DUMMYFUNCTION("""COMPUTED_VALUE"""),"ECMYB")</f>
        <v>ECMYB</v>
      </c>
      <c r="F538" s="1">
        <f>IFERROR(__xludf.DUMMYFUNCTION("""COMPUTED_VALUE"""),320.0)</f>
        <v>320</v>
      </c>
      <c r="G538" s="7">
        <f>IFERROR(__xludf.DUMMYFUNCTION("""COMPUTED_VALUE"""),0.8958333333333334)</f>
        <v>0.8958333333</v>
      </c>
      <c r="H538" s="1">
        <f>IFERROR(__xludf.DUMMYFUNCTION("""COMPUTED_VALUE"""),15.0)</f>
        <v>15</v>
      </c>
      <c r="I538" s="7">
        <f>IFERROR(__xludf.DUMMYFUNCTION("""COMPUTED_VALUE"""),0.9479166666666666)</f>
        <v>0.9479166667</v>
      </c>
      <c r="J538" s="1" t="str">
        <f>IFERROR(__xludf.DUMMYFUNCTION("""COMPUTED_VALUE"""),"D")</f>
        <v>D</v>
      </c>
      <c r="K538" s="1">
        <f>IFERROR(__xludf.DUMMYFUNCTION("""COMPUTED_VALUE"""),173.0)</f>
        <v>173</v>
      </c>
      <c r="L538" s="7">
        <f>IFERROR(__xludf.DUMMYFUNCTION("""COMPUTED_VALUE"""),0.05208333333333326)</f>
        <v>0.05208333333</v>
      </c>
      <c r="M538" s="7">
        <f>IFERROR(__xludf.DUMMYFUNCTION("""COMPUTED_VALUE"""),0.02895833333333326)</f>
        <v>0.02895833333</v>
      </c>
      <c r="O538" s="9">
        <f>IFERROR(__xludf.DUMMYFUNCTION("""COMPUTED_VALUE"""),576.8499999999985)</f>
        <v>576.85</v>
      </c>
      <c r="P538" s="1" t="str">
        <f>IFERROR(__xludf.DUMMYFUNCTION("""COMPUTED_VALUE"""),"VLG")</f>
        <v>VLG</v>
      </c>
      <c r="Q538" s="1" t="str">
        <f>IFERROR(__xludf.DUMMYFUNCTION("""COMPUTED_VALUE"""),"ECAC")</f>
        <v>ECAC</v>
      </c>
    </row>
    <row r="539">
      <c r="A539" s="1" t="str">
        <f>IFERROR(__xludf.DUMMYFUNCTION("""COMPUTED_VALUE"""),"VLG46DQ")</f>
        <v>VLG46DQ</v>
      </c>
      <c r="B539" s="1" t="str">
        <f>IFERROR(__xludf.DUMMYFUNCTION("""COMPUTED_VALUE"""),"A320")</f>
        <v>A320</v>
      </c>
      <c r="C539" s="1" t="str">
        <f>IFERROR(__xludf.DUMMYFUNCTION("""COMPUTED_VALUE"""),"LICJ")</f>
        <v>LICJ</v>
      </c>
      <c r="D539" s="1" t="str">
        <f>IFERROR(__xludf.DUMMYFUNCTION("""COMPUTED_VALUE"""),"LEBL")</f>
        <v>LEBL</v>
      </c>
      <c r="E539" s="1" t="str">
        <f>IFERROR(__xludf.DUMMYFUNCTION("""COMPUTED_VALUE"""),"ECODM")</f>
        <v>ECODM</v>
      </c>
      <c r="F539" s="1">
        <f>IFERROR(__xludf.DUMMYFUNCTION("""COMPUTED_VALUE"""),380.0)</f>
        <v>380</v>
      </c>
      <c r="G539" s="7">
        <f>IFERROR(__xludf.DUMMYFUNCTION("""COMPUTED_VALUE"""),0.8902777777777777)</f>
        <v>0.8902777778</v>
      </c>
      <c r="H539" s="1">
        <f>IFERROR(__xludf.DUMMYFUNCTION("""COMPUTED_VALUE"""),12.0)</f>
        <v>12</v>
      </c>
      <c r="I539" s="7">
        <f>IFERROR(__xludf.DUMMYFUNCTION("""COMPUTED_VALUE"""),0.9479166666666666)</f>
        <v>0.9479166667</v>
      </c>
      <c r="J539" s="1" t="str">
        <f>IFERROR(__xludf.DUMMYFUNCTION("""COMPUTED_VALUE"""),"D")</f>
        <v>D</v>
      </c>
      <c r="K539" s="1">
        <f>IFERROR(__xludf.DUMMYFUNCTION("""COMPUTED_VALUE"""),173.0)</f>
        <v>173</v>
      </c>
      <c r="L539" s="7">
        <f>IFERROR(__xludf.DUMMYFUNCTION("""COMPUTED_VALUE"""),0.057638888888888906)</f>
        <v>0.05763888889</v>
      </c>
      <c r="M539" s="7">
        <f>IFERROR(__xludf.DUMMYFUNCTION("""COMPUTED_VALUE"""),0.03659722222222224)</f>
        <v>0.03659722222</v>
      </c>
      <c r="O539" s="9">
        <f>IFERROR(__xludf.DUMMYFUNCTION("""COMPUTED_VALUE"""),729.016666666667)</f>
        <v>729.0166667</v>
      </c>
      <c r="P539" s="1" t="str">
        <f>IFERROR(__xludf.DUMMYFUNCTION("""COMPUTED_VALUE"""),"VLG")</f>
        <v>VLG</v>
      </c>
      <c r="Q539" s="1" t="str">
        <f>IFERROR(__xludf.DUMMYFUNCTION("""COMPUTED_VALUE"""),"ECAC")</f>
        <v>ECAC</v>
      </c>
    </row>
    <row r="540">
      <c r="A540" s="1" t="str">
        <f>IFERROR(__xludf.DUMMYFUNCTION("""COMPUTED_VALUE"""),"VLG3WB")</f>
        <v>VLG3WB</v>
      </c>
      <c r="B540" s="1" t="str">
        <f>IFERROR(__xludf.DUMMYFUNCTION("""COMPUTED_VALUE"""),"A319")</f>
        <v>A319</v>
      </c>
      <c r="C540" s="1" t="str">
        <f>IFERROR(__xludf.DUMMYFUNCTION("""COMPUTED_VALUE"""),"LFMN")</f>
        <v>LFMN</v>
      </c>
      <c r="D540" s="1" t="str">
        <f>IFERROR(__xludf.DUMMYFUNCTION("""COMPUTED_VALUE"""),"LEBL")</f>
        <v>LEBL</v>
      </c>
      <c r="E540" s="1" t="str">
        <f>IFERROR(__xludf.DUMMYFUNCTION("""COMPUTED_VALUE"""),"ECMIQ")</f>
        <v>ECMIQ</v>
      </c>
      <c r="F540" s="1">
        <f>IFERROR(__xludf.DUMMYFUNCTION("""COMPUTED_VALUE"""),300.0)</f>
        <v>300</v>
      </c>
      <c r="G540" s="7">
        <f>IFERROR(__xludf.DUMMYFUNCTION("""COMPUTED_VALUE"""),0.9152777777777777)</f>
        <v>0.9152777778</v>
      </c>
      <c r="H540" s="1">
        <f>IFERROR(__xludf.DUMMYFUNCTION("""COMPUTED_VALUE"""),12.0)</f>
        <v>12</v>
      </c>
      <c r="I540" s="7">
        <f>IFERROR(__xludf.DUMMYFUNCTION("""COMPUTED_VALUE"""),0.9479166666666666)</f>
        <v>0.9479166667</v>
      </c>
      <c r="J540" s="1" t="str">
        <f>IFERROR(__xludf.DUMMYFUNCTION("""COMPUTED_VALUE"""),"D")</f>
        <v>D</v>
      </c>
      <c r="K540" s="1">
        <f>IFERROR(__xludf.DUMMYFUNCTION("""COMPUTED_VALUE"""),144.0)</f>
        <v>144</v>
      </c>
      <c r="L540" s="7">
        <f>IFERROR(__xludf.DUMMYFUNCTION("""COMPUTED_VALUE"""),0.032638888888888884)</f>
        <v>0.03263888889</v>
      </c>
      <c r="M540" s="7">
        <f>IFERROR(__xludf.DUMMYFUNCTION("""COMPUTED_VALUE"""),0.011597222222222215)</f>
        <v>0.01159722222</v>
      </c>
      <c r="O540" s="9">
        <f>IFERROR(__xludf.DUMMYFUNCTION("""COMPUTED_VALUE"""),231.0166666666665)</f>
        <v>231.0166667</v>
      </c>
      <c r="P540" s="1" t="str">
        <f>IFERROR(__xludf.DUMMYFUNCTION("""COMPUTED_VALUE"""),"VLG")</f>
        <v>VLG</v>
      </c>
      <c r="Q540" s="1" t="str">
        <f>IFERROR(__xludf.DUMMYFUNCTION("""COMPUTED_VALUE"""),"ECAC")</f>
        <v>ECAC</v>
      </c>
    </row>
    <row r="541">
      <c r="A541" s="1" t="str">
        <f>IFERROR(__xludf.DUMMYFUNCTION("""COMPUTED_VALUE"""),"VLG11HU")</f>
        <v>VLG11HU</v>
      </c>
      <c r="B541" s="1" t="str">
        <f>IFERROR(__xludf.DUMMYFUNCTION("""COMPUTED_VALUE"""),"A321")</f>
        <v>A321</v>
      </c>
      <c r="C541" s="1" t="str">
        <f>IFERROR(__xludf.DUMMYFUNCTION("""COMPUTED_VALUE"""),"LEMG")</f>
        <v>LEMG</v>
      </c>
      <c r="D541" s="1" t="str">
        <f>IFERROR(__xludf.DUMMYFUNCTION("""COMPUTED_VALUE"""),"LEBL")</f>
        <v>LEBL</v>
      </c>
      <c r="E541" s="1" t="str">
        <f>IFERROR(__xludf.DUMMYFUNCTION("""COMPUTED_VALUE"""),"ECMOO")</f>
        <v>ECMOO</v>
      </c>
      <c r="F541" s="1">
        <f>IFERROR(__xludf.DUMMYFUNCTION("""COMPUTED_VALUE"""),320.0)</f>
        <v>320</v>
      </c>
      <c r="G541" s="7">
        <f>IFERROR(__xludf.DUMMYFUNCTION("""COMPUTED_VALUE"""),0.9)</f>
        <v>0.9</v>
      </c>
      <c r="H541" s="1">
        <f>IFERROR(__xludf.DUMMYFUNCTION("""COMPUTED_VALUE"""),11.0)</f>
        <v>11</v>
      </c>
      <c r="I541" s="7">
        <f>IFERROR(__xludf.DUMMYFUNCTION("""COMPUTED_VALUE"""),0.9513888888888888)</f>
        <v>0.9513888889</v>
      </c>
      <c r="J541" s="1" t="str">
        <f>IFERROR(__xludf.DUMMYFUNCTION("""COMPUTED_VALUE"""),"D")</f>
        <v>D</v>
      </c>
      <c r="K541" s="1">
        <f>IFERROR(__xludf.DUMMYFUNCTION("""COMPUTED_VALUE"""),207.0)</f>
        <v>207</v>
      </c>
      <c r="L541" s="7">
        <f>IFERROR(__xludf.DUMMYFUNCTION("""COMPUTED_VALUE"""),0.05138888888888882)</f>
        <v>0.05138888889</v>
      </c>
      <c r="M541" s="7">
        <f>IFERROR(__xludf.DUMMYFUNCTION("""COMPUTED_VALUE"""),0.031041666666666592)</f>
        <v>0.03104166667</v>
      </c>
      <c r="O541" s="9">
        <f>IFERROR(__xludf.DUMMYFUNCTION("""COMPUTED_VALUE"""),618.3499999999985)</f>
        <v>618.35</v>
      </c>
      <c r="P541" s="1" t="str">
        <f>IFERROR(__xludf.DUMMYFUNCTION("""COMPUTED_VALUE"""),"VLG")</f>
        <v>VLG</v>
      </c>
      <c r="Q541" s="1" t="str">
        <f>IFERROR(__xludf.DUMMYFUNCTION("""COMPUTED_VALUE"""),"ECAC")</f>
        <v>ECAC</v>
      </c>
    </row>
    <row r="542">
      <c r="A542" s="1" t="str">
        <f>IFERROR(__xludf.DUMMYFUNCTION("""COMPUTED_VALUE"""),"VLG4WK")</f>
        <v>VLG4WK</v>
      </c>
      <c r="B542" s="1" t="str">
        <f>IFERROR(__xludf.DUMMYFUNCTION("""COMPUTED_VALUE"""),"A320")</f>
        <v>A320</v>
      </c>
      <c r="C542" s="1" t="str">
        <f>IFERROR(__xludf.DUMMYFUNCTION("""COMPUTED_VALUE"""),"LIEE")</f>
        <v>LIEE</v>
      </c>
      <c r="D542" s="1" t="str">
        <f>IFERROR(__xludf.DUMMYFUNCTION("""COMPUTED_VALUE"""),"LEBL")</f>
        <v>LEBL</v>
      </c>
      <c r="E542" s="1" t="str">
        <f>IFERROR(__xludf.DUMMYFUNCTION("""COMPUTED_VALUE"""),"ECKDH")</f>
        <v>ECKDH</v>
      </c>
      <c r="F542" s="1">
        <f>IFERROR(__xludf.DUMMYFUNCTION("""COMPUTED_VALUE"""),340.0)</f>
        <v>340</v>
      </c>
      <c r="G542" s="7">
        <f>IFERROR(__xludf.DUMMYFUNCTION("""COMPUTED_VALUE"""),0.9104166666666667)</f>
        <v>0.9104166667</v>
      </c>
      <c r="H542" s="1">
        <f>IFERROR(__xludf.DUMMYFUNCTION("""COMPUTED_VALUE"""),8.0)</f>
        <v>8</v>
      </c>
      <c r="I542" s="7">
        <f>IFERROR(__xludf.DUMMYFUNCTION("""COMPUTED_VALUE"""),0.9513888888888888)</f>
        <v>0.9513888889</v>
      </c>
      <c r="J542" s="1" t="str">
        <f>IFERROR(__xludf.DUMMYFUNCTION("""COMPUTED_VALUE"""),"D")</f>
        <v>D</v>
      </c>
      <c r="K542" s="1">
        <f>IFERROR(__xludf.DUMMYFUNCTION("""COMPUTED_VALUE"""),173.0)</f>
        <v>173</v>
      </c>
      <c r="L542" s="7">
        <f>IFERROR(__xludf.DUMMYFUNCTION("""COMPUTED_VALUE"""),0.04097222222222219)</f>
        <v>0.04097222222</v>
      </c>
      <c r="M542" s="7">
        <f>IFERROR(__xludf.DUMMYFUNCTION("""COMPUTED_VALUE"""),0.022708333333333296)</f>
        <v>0.02270833333</v>
      </c>
      <c r="O542" s="9">
        <f>IFERROR(__xludf.DUMMYFUNCTION("""COMPUTED_VALUE"""),452.3499999999992)</f>
        <v>452.35</v>
      </c>
      <c r="P542" s="1" t="str">
        <f>IFERROR(__xludf.DUMMYFUNCTION("""COMPUTED_VALUE"""),"VLG")</f>
        <v>VLG</v>
      </c>
      <c r="Q542" s="1" t="str">
        <f>IFERROR(__xludf.DUMMYFUNCTION("""COMPUTED_VALUE"""),"ECAC")</f>
        <v>ECAC</v>
      </c>
    </row>
    <row r="543">
      <c r="A543" s="1" t="str">
        <f>IFERROR(__xludf.DUMMYFUNCTION("""COMPUTED_VALUE"""),"RYR31DG")</f>
        <v>RYR31DG</v>
      </c>
      <c r="B543" s="1" t="str">
        <f>IFERROR(__xludf.DUMMYFUNCTION("""COMPUTED_VALUE"""),"B38M")</f>
        <v>B38M</v>
      </c>
      <c r="C543" s="1" t="str">
        <f>IFERROR(__xludf.DUMMYFUNCTION("""COMPUTED_VALUE"""),"LHBP")</f>
        <v>LHBP</v>
      </c>
      <c r="D543" s="1" t="str">
        <f>IFERROR(__xludf.DUMMYFUNCTION("""COMPUTED_VALUE"""),"LEBL")</f>
        <v>LEBL</v>
      </c>
      <c r="E543" s="1" t="str">
        <f>IFERROR(__xludf.DUMMYFUNCTION("""COMPUTED_VALUE"""),"EIIJM")</f>
        <v>EIIJM</v>
      </c>
      <c r="F543" s="1">
        <f>IFERROR(__xludf.DUMMYFUNCTION("""COMPUTED_VALUE"""),370.0)</f>
        <v>370</v>
      </c>
      <c r="G543" s="7">
        <f>IFERROR(__xludf.DUMMYFUNCTION("""COMPUTED_VALUE"""),0.8625)</f>
        <v>0.8625</v>
      </c>
      <c r="H543" s="1">
        <f>IFERROR(__xludf.DUMMYFUNCTION("""COMPUTED_VALUE"""),12.0)</f>
        <v>12</v>
      </c>
      <c r="I543" s="7">
        <f>IFERROR(__xludf.DUMMYFUNCTION("""COMPUTED_VALUE"""),0.9548611111111112)</f>
        <v>0.9548611111</v>
      </c>
      <c r="J543" s="1" t="str">
        <f>IFERROR(__xludf.DUMMYFUNCTION("""COMPUTED_VALUE"""),"D")</f>
        <v>D</v>
      </c>
      <c r="K543" s="1">
        <f>IFERROR(__xludf.DUMMYFUNCTION("""COMPUTED_VALUE"""),186.0)</f>
        <v>186</v>
      </c>
      <c r="L543" s="7">
        <f>IFERROR(__xludf.DUMMYFUNCTION("""COMPUTED_VALUE"""),0.09236111111111112)</f>
        <v>0.09236111111</v>
      </c>
      <c r="M543" s="7">
        <f>IFERROR(__xludf.DUMMYFUNCTION("""COMPUTED_VALUE"""),0.07131944444444445)</f>
        <v>0.07131944444</v>
      </c>
      <c r="O543" s="9">
        <f>IFERROR(__xludf.DUMMYFUNCTION("""COMPUTED_VALUE"""),1420.6833333333336)</f>
        <v>1420.683333</v>
      </c>
      <c r="P543" s="1" t="str">
        <f>IFERROR(__xludf.DUMMYFUNCTION("""COMPUTED_VALUE"""),"RYR")</f>
        <v>RYR</v>
      </c>
      <c r="Q543" s="1" t="str">
        <f>IFERROR(__xludf.DUMMYFUNCTION("""COMPUTED_VALUE"""),"ECAC")</f>
        <v>ECAC</v>
      </c>
    </row>
    <row r="544">
      <c r="A544" s="1" t="str">
        <f>IFERROR(__xludf.DUMMYFUNCTION("""COMPUTED_VALUE"""),"VLG3AC")</f>
        <v>VLG3AC</v>
      </c>
      <c r="B544" s="1" t="str">
        <f>IFERROR(__xludf.DUMMYFUNCTION("""COMPUTED_VALUE"""),"A320")</f>
        <v>A320</v>
      </c>
      <c r="C544" s="1" t="str">
        <f>IFERROR(__xludf.DUMMYFUNCTION("""COMPUTED_VALUE"""),"LECO")</f>
        <v>LECO</v>
      </c>
      <c r="D544" s="1" t="str">
        <f>IFERROR(__xludf.DUMMYFUNCTION("""COMPUTED_VALUE"""),"LEBL")</f>
        <v>LEBL</v>
      </c>
      <c r="E544" s="1" t="str">
        <f>IFERROR(__xludf.DUMMYFUNCTION("""COMPUTED_VALUE"""),"ECOFX")</f>
        <v>ECOFX</v>
      </c>
      <c r="F544" s="1">
        <f>IFERROR(__xludf.DUMMYFUNCTION("""COMPUTED_VALUE"""),320.0)</f>
        <v>320</v>
      </c>
      <c r="G544" s="7">
        <f>IFERROR(__xludf.DUMMYFUNCTION("""COMPUTED_VALUE"""),0.9069444444444444)</f>
        <v>0.9069444444</v>
      </c>
      <c r="H544" s="1">
        <f>IFERROR(__xludf.DUMMYFUNCTION("""COMPUTED_VALUE"""),6.0)</f>
        <v>6</v>
      </c>
      <c r="I544" s="7">
        <f>IFERROR(__xludf.DUMMYFUNCTION("""COMPUTED_VALUE"""),0.9548611111111112)</f>
        <v>0.9548611111</v>
      </c>
      <c r="J544" s="1" t="str">
        <f>IFERROR(__xludf.DUMMYFUNCTION("""COMPUTED_VALUE"""),"D")</f>
        <v>D</v>
      </c>
      <c r="K544" s="1">
        <f>IFERROR(__xludf.DUMMYFUNCTION("""COMPUTED_VALUE"""),173.0)</f>
        <v>173</v>
      </c>
      <c r="L544" s="7">
        <f>IFERROR(__xludf.DUMMYFUNCTION("""COMPUTED_VALUE"""),0.04791666666666672)</f>
        <v>0.04791666667</v>
      </c>
      <c r="M544" s="7">
        <f>IFERROR(__xludf.DUMMYFUNCTION("""COMPUTED_VALUE"""),0.031041666666666717)</f>
        <v>0.03104166667</v>
      </c>
      <c r="O544" s="9">
        <f>IFERROR(__xludf.DUMMYFUNCTION("""COMPUTED_VALUE"""),618.350000000001)</f>
        <v>618.35</v>
      </c>
      <c r="P544" s="1" t="str">
        <f>IFERROR(__xludf.DUMMYFUNCTION("""COMPUTED_VALUE"""),"VLG")</f>
        <v>VLG</v>
      </c>
      <c r="Q544" s="1" t="str">
        <f>IFERROR(__xludf.DUMMYFUNCTION("""COMPUTED_VALUE"""),"NO ECAC")</f>
        <v>NO ECAC</v>
      </c>
    </row>
    <row r="545">
      <c r="A545" s="1" t="str">
        <f>IFERROR(__xludf.DUMMYFUNCTION("""COMPUTED_VALUE"""),"RYR71AV")</f>
        <v>RYR71AV</v>
      </c>
      <c r="B545" s="1" t="str">
        <f>IFERROR(__xludf.DUMMYFUNCTION("""COMPUTED_VALUE"""),"B738")</f>
        <v>B738</v>
      </c>
      <c r="C545" s="1" t="str">
        <f>IFERROR(__xludf.DUMMYFUNCTION("""COMPUTED_VALUE"""),"LIME")</f>
        <v>LIME</v>
      </c>
      <c r="D545" s="1" t="str">
        <f>IFERROR(__xludf.DUMMYFUNCTION("""COMPUTED_VALUE"""),"LEBL")</f>
        <v>LEBL</v>
      </c>
      <c r="E545" s="1" t="str">
        <f>IFERROR(__xludf.DUMMYFUNCTION("""COMPUTED_VALUE"""),"EIENF")</f>
        <v>EIENF</v>
      </c>
      <c r="F545" s="1">
        <f>IFERROR(__xludf.DUMMYFUNCTION("""COMPUTED_VALUE"""),350.0)</f>
        <v>350</v>
      </c>
      <c r="G545" s="7">
        <f>IFERROR(__xludf.DUMMYFUNCTION("""COMPUTED_VALUE"""),0.9131944444444444)</f>
        <v>0.9131944444</v>
      </c>
      <c r="H545" s="1">
        <f>IFERROR(__xludf.DUMMYFUNCTION("""COMPUTED_VALUE"""),7.0)</f>
        <v>7</v>
      </c>
      <c r="I545" s="7">
        <f>IFERROR(__xludf.DUMMYFUNCTION("""COMPUTED_VALUE"""),0.9583333333333334)</f>
        <v>0.9583333333</v>
      </c>
      <c r="J545" s="1" t="str">
        <f>IFERROR(__xludf.DUMMYFUNCTION("""COMPUTED_VALUE"""),"D")</f>
        <v>D</v>
      </c>
      <c r="K545" s="1">
        <f>IFERROR(__xludf.DUMMYFUNCTION("""COMPUTED_VALUE"""),184.0)</f>
        <v>184</v>
      </c>
      <c r="L545" s="7">
        <f>IFERROR(__xludf.DUMMYFUNCTION("""COMPUTED_VALUE"""),0.04513888888888895)</f>
        <v>0.04513888889</v>
      </c>
      <c r="M545" s="7">
        <f>IFERROR(__xludf.DUMMYFUNCTION("""COMPUTED_VALUE"""),0.027569444444444504)</f>
        <v>0.02756944444</v>
      </c>
      <c r="O545" s="9">
        <f>IFERROR(__xludf.DUMMYFUNCTION("""COMPUTED_VALUE"""),549.1833333333345)</f>
        <v>549.1833333</v>
      </c>
      <c r="P545" s="1" t="str">
        <f>IFERROR(__xludf.DUMMYFUNCTION("""COMPUTED_VALUE"""),"RYR")</f>
        <v>RYR</v>
      </c>
      <c r="Q545" s="1" t="str">
        <f>IFERROR(__xludf.DUMMYFUNCTION("""COMPUTED_VALUE"""),"ECAC")</f>
        <v>ECAC</v>
      </c>
    </row>
    <row r="546">
      <c r="A546" s="1" t="str">
        <f>IFERROR(__xludf.DUMMYFUNCTION("""COMPUTED_VALUE"""),"NSZ5521")</f>
        <v>NSZ5521</v>
      </c>
      <c r="B546" s="1" t="str">
        <f>IFERROR(__xludf.DUMMYFUNCTION("""COMPUTED_VALUE"""),"B738")</f>
        <v>B738</v>
      </c>
      <c r="C546" s="1" t="str">
        <f>IFERROR(__xludf.DUMMYFUNCTION("""COMPUTED_VALUE"""),"ENGM")</f>
        <v>ENGM</v>
      </c>
      <c r="D546" s="1" t="str">
        <f>IFERROR(__xludf.DUMMYFUNCTION("""COMPUTED_VALUE"""),"LEBL")</f>
        <v>LEBL</v>
      </c>
      <c r="E546" s="1" t="str">
        <f>IFERROR(__xludf.DUMMYFUNCTION("""COMPUTED_VALUE"""),"SERRF")</f>
        <v>SERRF</v>
      </c>
      <c r="F546" s="1">
        <f>IFERROR(__xludf.DUMMYFUNCTION("""COMPUTED_VALUE"""),410.0)</f>
        <v>410</v>
      </c>
      <c r="G546" s="7">
        <f>IFERROR(__xludf.DUMMYFUNCTION("""COMPUTED_VALUE"""),0.8451388888888889)</f>
        <v>0.8451388889</v>
      </c>
      <c r="H546" s="1">
        <f>IFERROR(__xludf.DUMMYFUNCTION("""COMPUTED_VALUE"""),15.0)</f>
        <v>15</v>
      </c>
      <c r="I546" s="7">
        <f>IFERROR(__xludf.DUMMYFUNCTION("""COMPUTED_VALUE"""),0.9583333333333334)</f>
        <v>0.9583333333</v>
      </c>
      <c r="J546" s="1" t="str">
        <f>IFERROR(__xludf.DUMMYFUNCTION("""COMPUTED_VALUE"""),"D")</f>
        <v>D</v>
      </c>
      <c r="K546" s="1">
        <f>IFERROR(__xludf.DUMMYFUNCTION("""COMPUTED_VALUE"""),184.0)</f>
        <v>184</v>
      </c>
      <c r="L546" s="7">
        <f>IFERROR(__xludf.DUMMYFUNCTION("""COMPUTED_VALUE"""),0.11319444444444449)</f>
        <v>0.1131944444</v>
      </c>
      <c r="M546" s="7">
        <f>IFERROR(__xludf.DUMMYFUNCTION("""COMPUTED_VALUE"""),0.09006944444444448)</f>
        <v>0.09006944444</v>
      </c>
      <c r="O546" s="9">
        <f>IFERROR(__xludf.DUMMYFUNCTION("""COMPUTED_VALUE"""),1794.183333333334)</f>
        <v>1794.183333</v>
      </c>
      <c r="P546" s="1" t="str">
        <f>IFERROR(__xludf.DUMMYFUNCTION("""COMPUTED_VALUE"""),"NSZ")</f>
        <v>NSZ</v>
      </c>
      <c r="Q546" s="1" t="str">
        <f>IFERROR(__xludf.DUMMYFUNCTION("""COMPUTED_VALUE"""),"ECAC")</f>
        <v>ECAC</v>
      </c>
    </row>
    <row r="547">
      <c r="A547" s="1" t="str">
        <f>IFERROR(__xludf.DUMMYFUNCTION("""COMPUTED_VALUE"""),"RYR1397")</f>
        <v>RYR1397</v>
      </c>
      <c r="B547" s="1" t="str">
        <f>IFERROR(__xludf.DUMMYFUNCTION("""COMPUTED_VALUE"""),"B738")</f>
        <v>B738</v>
      </c>
      <c r="C547" s="1" t="str">
        <f>IFERROR(__xludf.DUMMYFUNCTION("""COMPUTED_VALUE"""),"LIPQ")</f>
        <v>LIPQ</v>
      </c>
      <c r="D547" s="1" t="str">
        <f>IFERROR(__xludf.DUMMYFUNCTION("""COMPUTED_VALUE"""),"LEBL")</f>
        <v>LEBL</v>
      </c>
      <c r="E547" s="1" t="str">
        <f>IFERROR(__xludf.DUMMYFUNCTION("""COMPUTED_VALUE"""),"9HQDA")</f>
        <v>9HQDA</v>
      </c>
      <c r="F547" s="1">
        <f>IFERROR(__xludf.DUMMYFUNCTION("""COMPUTED_VALUE"""),370.0)</f>
        <v>370</v>
      </c>
      <c r="G547" s="7">
        <f>IFERROR(__xludf.DUMMYFUNCTION("""COMPUTED_VALUE"""),0.9006944444444445)</f>
        <v>0.9006944444</v>
      </c>
      <c r="H547" s="1">
        <f>IFERROR(__xludf.DUMMYFUNCTION("""COMPUTED_VALUE"""),10.0)</f>
        <v>10</v>
      </c>
      <c r="I547" s="7">
        <f>IFERROR(__xludf.DUMMYFUNCTION("""COMPUTED_VALUE"""),0.9618055555555556)</f>
        <v>0.9618055556</v>
      </c>
      <c r="J547" s="1" t="str">
        <f>IFERROR(__xludf.DUMMYFUNCTION("""COMPUTED_VALUE"""),"D")</f>
        <v>D</v>
      </c>
      <c r="K547" s="1">
        <f>IFERROR(__xludf.DUMMYFUNCTION("""COMPUTED_VALUE"""),184.0)</f>
        <v>184</v>
      </c>
      <c r="L547" s="7">
        <f>IFERROR(__xludf.DUMMYFUNCTION("""COMPUTED_VALUE"""),0.061111111111111116)</f>
        <v>0.06111111111</v>
      </c>
      <c r="M547" s="7">
        <f>IFERROR(__xludf.DUMMYFUNCTION("""COMPUTED_VALUE"""),0.04145833333333333)</f>
        <v>0.04145833333</v>
      </c>
      <c r="O547" s="9">
        <f>IFERROR(__xludf.DUMMYFUNCTION("""COMPUTED_VALUE"""),825.85)</f>
        <v>825.85</v>
      </c>
      <c r="P547" s="1" t="str">
        <f>IFERROR(__xludf.DUMMYFUNCTION("""COMPUTED_VALUE"""),"RYR")</f>
        <v>RYR</v>
      </c>
      <c r="Q547" s="1" t="str">
        <f>IFERROR(__xludf.DUMMYFUNCTION("""COMPUTED_VALUE"""),"ECAC")</f>
        <v>ECAC</v>
      </c>
    </row>
    <row r="548">
      <c r="A548" s="1" t="str">
        <f>IFERROR(__xludf.DUMMYFUNCTION("""COMPUTED_VALUE"""),"RYR67KU")</f>
        <v>RYR67KU</v>
      </c>
      <c r="B548" s="1" t="str">
        <f>IFERROR(__xludf.DUMMYFUNCTION("""COMPUTED_VALUE"""),"B738")</f>
        <v>B738</v>
      </c>
      <c r="C548" s="1" t="str">
        <f>IFERROR(__xludf.DUMMYFUNCTION("""COMPUTED_VALUE"""),"LEZL")</f>
        <v>LEZL</v>
      </c>
      <c r="D548" s="1" t="str">
        <f>IFERROR(__xludf.DUMMYFUNCTION("""COMPUTED_VALUE"""),"LEBL")</f>
        <v>LEBL</v>
      </c>
      <c r="E548" s="1" t="str">
        <f>IFERROR(__xludf.DUMMYFUNCTION("""COMPUTED_VALUE"""),"EIEBF")</f>
        <v>EIEBF</v>
      </c>
      <c r="F548" s="1">
        <f>IFERROR(__xludf.DUMMYFUNCTION("""COMPUTED_VALUE"""),380.0)</f>
        <v>380</v>
      </c>
      <c r="G548" s="7">
        <f>IFERROR(__xludf.DUMMYFUNCTION("""COMPUTED_VALUE"""),0.9222222222222223)</f>
        <v>0.9222222222</v>
      </c>
      <c r="H548" s="1">
        <f>IFERROR(__xludf.DUMMYFUNCTION("""COMPUTED_VALUE"""),12.0)</f>
        <v>12</v>
      </c>
      <c r="I548" s="7">
        <f>IFERROR(__xludf.DUMMYFUNCTION("""COMPUTED_VALUE"""),0.96875)</f>
        <v>0.96875</v>
      </c>
      <c r="J548" s="1" t="str">
        <f>IFERROR(__xludf.DUMMYFUNCTION("""COMPUTED_VALUE"""),"D")</f>
        <v>D</v>
      </c>
      <c r="K548" s="1">
        <f>IFERROR(__xludf.DUMMYFUNCTION("""COMPUTED_VALUE"""),184.0)</f>
        <v>184</v>
      </c>
      <c r="L548" s="7">
        <f>IFERROR(__xludf.DUMMYFUNCTION("""COMPUTED_VALUE"""),0.046527777777777724)</f>
        <v>0.04652777778</v>
      </c>
      <c r="M548" s="7">
        <f>IFERROR(__xludf.DUMMYFUNCTION("""COMPUTED_VALUE"""),0.025486111111111057)</f>
        <v>0.02548611111</v>
      </c>
      <c r="O548" s="9">
        <f>IFERROR(__xludf.DUMMYFUNCTION("""COMPUTED_VALUE"""),507.68333333333226)</f>
        <v>507.6833333</v>
      </c>
      <c r="P548" s="1" t="str">
        <f>IFERROR(__xludf.DUMMYFUNCTION("""COMPUTED_VALUE"""),"RYR")</f>
        <v>RYR</v>
      </c>
      <c r="Q548" s="1" t="str">
        <f>IFERROR(__xludf.DUMMYFUNCTION("""COMPUTED_VALUE"""),"ECAC")</f>
        <v>ECAC</v>
      </c>
    </row>
    <row r="549">
      <c r="A549" s="1" t="str">
        <f>IFERROR(__xludf.DUMMYFUNCTION("""COMPUTED_VALUE"""),"RYR404A")</f>
        <v>RYR404A</v>
      </c>
      <c r="B549" s="1" t="str">
        <f>IFERROR(__xludf.DUMMYFUNCTION("""COMPUTED_VALUE"""),"B738")</f>
        <v>B738</v>
      </c>
      <c r="C549" s="1" t="str">
        <f>IFERROR(__xludf.DUMMYFUNCTION("""COMPUTED_VALUE"""),"LPPR")</f>
        <v>LPPR</v>
      </c>
      <c r="D549" s="1" t="str">
        <f>IFERROR(__xludf.DUMMYFUNCTION("""COMPUTED_VALUE"""),"LEBL")</f>
        <v>LEBL</v>
      </c>
      <c r="E549" s="1" t="str">
        <f>IFERROR(__xludf.DUMMYFUNCTION("""COMPUTED_VALUE"""),"EIDCN")</f>
        <v>EIDCN</v>
      </c>
      <c r="F549" s="1">
        <f>IFERROR(__xludf.DUMMYFUNCTION("""COMPUTED_VALUE"""),320.0)</f>
        <v>320</v>
      </c>
      <c r="G549" s="7">
        <f>IFERROR(__xludf.DUMMYFUNCTION("""COMPUTED_VALUE"""),0.9027777777777778)</f>
        <v>0.9027777778</v>
      </c>
      <c r="H549" s="1">
        <f>IFERROR(__xludf.DUMMYFUNCTION("""COMPUTED_VALUE"""),15.0)</f>
        <v>15</v>
      </c>
      <c r="I549" s="7">
        <f>IFERROR(__xludf.DUMMYFUNCTION("""COMPUTED_VALUE"""),0.9722222222222222)</f>
        <v>0.9722222222</v>
      </c>
      <c r="J549" s="1" t="str">
        <f>IFERROR(__xludf.DUMMYFUNCTION("""COMPUTED_VALUE"""),"D")</f>
        <v>D</v>
      </c>
      <c r="K549" s="1">
        <f>IFERROR(__xludf.DUMMYFUNCTION("""COMPUTED_VALUE"""),184.0)</f>
        <v>184</v>
      </c>
      <c r="L549" s="7">
        <f>IFERROR(__xludf.DUMMYFUNCTION("""COMPUTED_VALUE"""),0.06944444444444442)</f>
        <v>0.06944444444</v>
      </c>
      <c r="M549" s="7">
        <f>IFERROR(__xludf.DUMMYFUNCTION("""COMPUTED_VALUE"""),0.04631944444444442)</f>
        <v>0.04631944444</v>
      </c>
      <c r="O549" s="9">
        <f>IFERROR(__xludf.DUMMYFUNCTION("""COMPUTED_VALUE"""),922.6833333333329)</f>
        <v>922.6833333</v>
      </c>
      <c r="P549" s="1" t="str">
        <f>IFERROR(__xludf.DUMMYFUNCTION("""COMPUTED_VALUE"""),"RYR")</f>
        <v>RYR</v>
      </c>
      <c r="Q549" s="1" t="str">
        <f>IFERROR(__xludf.DUMMYFUNCTION("""COMPUTED_VALUE"""),"ECAC")</f>
        <v>ECAC</v>
      </c>
    </row>
    <row r="550">
      <c r="A550" s="1" t="str">
        <f>IFERROR(__xludf.DUMMYFUNCTION("""COMPUTED_VALUE"""),"RYR56YL")</f>
        <v>RYR56YL</v>
      </c>
      <c r="B550" s="1" t="str">
        <f>IFERROR(__xludf.DUMMYFUNCTION("""COMPUTED_VALUE"""),"B738")</f>
        <v>B738</v>
      </c>
      <c r="C550" s="1" t="str">
        <f>IFERROR(__xludf.DUMMYFUNCTION("""COMPUTED_VALUE"""),"EIDW")</f>
        <v>EIDW</v>
      </c>
      <c r="D550" s="1" t="str">
        <f>IFERROR(__xludf.DUMMYFUNCTION("""COMPUTED_VALUE"""),"LEBL")</f>
        <v>LEBL</v>
      </c>
      <c r="E550" s="1" t="str">
        <f>IFERROR(__xludf.DUMMYFUNCTION("""COMPUTED_VALUE"""),"9HQEK")</f>
        <v>9HQEK</v>
      </c>
      <c r="F550" s="1">
        <f>IFERROR(__xludf.DUMMYFUNCTION("""COMPUTED_VALUE"""),370.0)</f>
        <v>370</v>
      </c>
      <c r="G550" s="7">
        <f>IFERROR(__xludf.DUMMYFUNCTION("""COMPUTED_VALUE"""),0.8888888888888888)</f>
        <v>0.8888888889</v>
      </c>
      <c r="H550" s="1">
        <f>IFERROR(__xludf.DUMMYFUNCTION("""COMPUTED_VALUE"""),20.0)</f>
        <v>20</v>
      </c>
      <c r="I550" s="7">
        <f>IFERROR(__xludf.DUMMYFUNCTION("""COMPUTED_VALUE"""),0.9722222222222222)</f>
        <v>0.9722222222</v>
      </c>
      <c r="J550" s="1" t="str">
        <f>IFERROR(__xludf.DUMMYFUNCTION("""COMPUTED_VALUE"""),"D")</f>
        <v>D</v>
      </c>
      <c r="K550" s="1">
        <f>IFERROR(__xludf.DUMMYFUNCTION("""COMPUTED_VALUE"""),184.0)</f>
        <v>184</v>
      </c>
      <c r="L550" s="7">
        <f>IFERROR(__xludf.DUMMYFUNCTION("""COMPUTED_VALUE"""),0.08333333333333337)</f>
        <v>0.08333333333</v>
      </c>
      <c r="M550" s="7">
        <f>IFERROR(__xludf.DUMMYFUNCTION("""COMPUTED_VALUE"""),0.05673611111111115)</f>
        <v>0.05673611111</v>
      </c>
      <c r="O550" s="9">
        <f>IFERROR(__xludf.DUMMYFUNCTION("""COMPUTED_VALUE"""),1130.183333333334)</f>
        <v>1130.183333</v>
      </c>
      <c r="P550" s="1" t="str">
        <f>IFERROR(__xludf.DUMMYFUNCTION("""COMPUTED_VALUE"""),"RYR")</f>
        <v>RYR</v>
      </c>
      <c r="Q550" s="1" t="str">
        <f>IFERROR(__xludf.DUMMYFUNCTION("""COMPUTED_VALUE"""),"ECAC")</f>
        <v>ECAC</v>
      </c>
    </row>
    <row r="551">
      <c r="A551" s="1" t="str">
        <f>IFERROR(__xludf.DUMMYFUNCTION("""COMPUTED_VALUE"""),"AEE712")</f>
        <v>AEE712</v>
      </c>
      <c r="B551" s="1" t="str">
        <f>IFERROR(__xludf.DUMMYFUNCTION("""COMPUTED_VALUE"""),"A20N")</f>
        <v>A20N</v>
      </c>
      <c r="C551" s="1" t="str">
        <f>IFERROR(__xludf.DUMMYFUNCTION("""COMPUTED_VALUE"""),"LGAV")</f>
        <v>LGAV</v>
      </c>
      <c r="D551" s="1" t="str">
        <f>IFERROR(__xludf.DUMMYFUNCTION("""COMPUTED_VALUE"""),"LEBL")</f>
        <v>LEBL</v>
      </c>
      <c r="E551" s="1" t="str">
        <f>IFERROR(__xludf.DUMMYFUNCTION("""COMPUTED_VALUE"""),"SXNEQ")</f>
        <v>SXNEQ</v>
      </c>
      <c r="F551" s="1">
        <f>IFERROR(__xludf.DUMMYFUNCTION("""COMPUTED_VALUE"""),380.0)</f>
        <v>380</v>
      </c>
      <c r="G551" s="7">
        <f>IFERROR(__xludf.DUMMYFUNCTION("""COMPUTED_VALUE"""),0.8701388888888889)</f>
        <v>0.8701388889</v>
      </c>
      <c r="H551" s="1">
        <f>IFERROR(__xludf.DUMMYFUNCTION("""COMPUTED_VALUE"""),14.0)</f>
        <v>14</v>
      </c>
      <c r="I551" s="7">
        <f>IFERROR(__xludf.DUMMYFUNCTION("""COMPUTED_VALUE"""),0.9756944444444444)</f>
        <v>0.9756944444</v>
      </c>
      <c r="J551" s="1" t="str">
        <f>IFERROR(__xludf.DUMMYFUNCTION("""COMPUTED_VALUE"""),"D")</f>
        <v>D</v>
      </c>
      <c r="K551" s="1">
        <f>IFERROR(__xludf.DUMMYFUNCTION("""COMPUTED_VALUE"""),180.0)</f>
        <v>180</v>
      </c>
      <c r="L551" s="7">
        <f>IFERROR(__xludf.DUMMYFUNCTION("""COMPUTED_VALUE"""),0.10555555555555551)</f>
        <v>0.1055555556</v>
      </c>
      <c r="M551" s="7">
        <f>IFERROR(__xludf.DUMMYFUNCTION("""COMPUTED_VALUE"""),0.08312499999999995)</f>
        <v>0.083125</v>
      </c>
      <c r="O551" s="9">
        <f>IFERROR(__xludf.DUMMYFUNCTION("""COMPUTED_VALUE"""),1655.849999999999)</f>
        <v>1655.85</v>
      </c>
      <c r="P551" s="1" t="str">
        <f>IFERROR(__xludf.DUMMYFUNCTION("""COMPUTED_VALUE"""),"AEE")</f>
        <v>AEE</v>
      </c>
      <c r="Q551" s="1" t="str">
        <f>IFERROR(__xludf.DUMMYFUNCTION("""COMPUTED_VALUE"""),"ECAC")</f>
        <v>ECAC</v>
      </c>
    </row>
    <row r="552">
      <c r="A552" s="1" t="str">
        <f>IFERROR(__xludf.DUMMYFUNCTION("""COMPUTED_VALUE"""),"TAP1040")</f>
        <v>TAP1040</v>
      </c>
      <c r="B552" s="1" t="str">
        <f>IFERROR(__xludf.DUMMYFUNCTION("""COMPUTED_VALUE"""),"A320")</f>
        <v>A320</v>
      </c>
      <c r="C552" s="1" t="str">
        <f>IFERROR(__xludf.DUMMYFUNCTION("""COMPUTED_VALUE"""),"LPPT")</f>
        <v>LPPT</v>
      </c>
      <c r="D552" s="1" t="str">
        <f>IFERROR(__xludf.DUMMYFUNCTION("""COMPUTED_VALUE"""),"LEBL")</f>
        <v>LEBL</v>
      </c>
      <c r="E552" s="1" t="str">
        <f>IFERROR(__xludf.DUMMYFUNCTION("""COMPUTED_VALUE"""),"CSTNX")</f>
        <v>CSTNX</v>
      </c>
      <c r="F552" s="1">
        <f>IFERROR(__xludf.DUMMYFUNCTION("""COMPUTED_VALUE"""),380.0)</f>
        <v>380</v>
      </c>
      <c r="G552" s="7">
        <f>IFERROR(__xludf.DUMMYFUNCTION("""COMPUTED_VALUE"""),0.9111111111111111)</f>
        <v>0.9111111111</v>
      </c>
      <c r="H552" s="1">
        <f>IFERROR(__xludf.DUMMYFUNCTION("""COMPUTED_VALUE"""),16.0)</f>
        <v>16</v>
      </c>
      <c r="I552" s="7">
        <f>IFERROR(__xludf.DUMMYFUNCTION("""COMPUTED_VALUE"""),0.9756944444444444)</f>
        <v>0.9756944444</v>
      </c>
      <c r="J552" s="1" t="str">
        <f>IFERROR(__xludf.DUMMYFUNCTION("""COMPUTED_VALUE"""),"D")</f>
        <v>D</v>
      </c>
      <c r="K552" s="1">
        <f>IFERROR(__xludf.DUMMYFUNCTION("""COMPUTED_VALUE"""),173.0)</f>
        <v>173</v>
      </c>
      <c r="L552" s="7">
        <f>IFERROR(__xludf.DUMMYFUNCTION("""COMPUTED_VALUE"""),0.06458333333333333)</f>
        <v>0.06458333333</v>
      </c>
      <c r="M552" s="7">
        <f>IFERROR(__xludf.DUMMYFUNCTION("""COMPUTED_VALUE"""),0.04076388888888888)</f>
        <v>0.04076388889</v>
      </c>
      <c r="O552" s="9">
        <f>IFERROR(__xludf.DUMMYFUNCTION("""COMPUTED_VALUE"""),812.0166666666664)</f>
        <v>812.0166667</v>
      </c>
      <c r="P552" s="1" t="str">
        <f>IFERROR(__xludf.DUMMYFUNCTION("""COMPUTED_VALUE"""),"TAP")</f>
        <v>TAP</v>
      </c>
      <c r="Q552" s="1" t="str">
        <f>IFERROR(__xludf.DUMMYFUNCTION("""COMPUTED_VALUE"""),"ECAC")</f>
        <v>ECAC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">
        <v>1750</v>
      </c>
      <c r="B1" s="15" t="s">
        <v>1751</v>
      </c>
    </row>
    <row r="2">
      <c r="A2" s="16" t="s">
        <v>1752</v>
      </c>
      <c r="B2" s="16" t="s">
        <v>452</v>
      </c>
    </row>
    <row r="3">
      <c r="A3" s="17" t="s">
        <v>1753</v>
      </c>
      <c r="B3" s="17" t="s">
        <v>1754</v>
      </c>
    </row>
    <row r="4">
      <c r="A4" s="16" t="s">
        <v>1753</v>
      </c>
      <c r="B4" s="16" t="s">
        <v>646</v>
      </c>
    </row>
    <row r="5">
      <c r="A5" s="17" t="s">
        <v>1753</v>
      </c>
      <c r="B5" s="17" t="s">
        <v>1755</v>
      </c>
    </row>
    <row r="6">
      <c r="A6" s="16" t="s">
        <v>1753</v>
      </c>
      <c r="B6" s="16" t="s">
        <v>485</v>
      </c>
    </row>
    <row r="7">
      <c r="A7" s="17" t="s">
        <v>1753</v>
      </c>
      <c r="B7" s="17" t="s">
        <v>1756</v>
      </c>
    </row>
    <row r="8">
      <c r="A8" s="16" t="s">
        <v>1753</v>
      </c>
      <c r="B8" s="16" t="s">
        <v>1757</v>
      </c>
    </row>
    <row r="9">
      <c r="A9" s="17" t="s">
        <v>1753</v>
      </c>
      <c r="B9" s="17" t="s">
        <v>509</v>
      </c>
    </row>
    <row r="10">
      <c r="A10" s="16" t="s">
        <v>1753</v>
      </c>
      <c r="B10" s="16" t="s">
        <v>227</v>
      </c>
    </row>
    <row r="11">
      <c r="A11" s="17" t="s">
        <v>1753</v>
      </c>
      <c r="B11" s="17" t="s">
        <v>1758</v>
      </c>
    </row>
    <row r="12">
      <c r="A12" s="16" t="s">
        <v>1753</v>
      </c>
      <c r="B12" s="16" t="s">
        <v>1759</v>
      </c>
    </row>
    <row r="13">
      <c r="A13" s="17" t="s">
        <v>1753</v>
      </c>
      <c r="B13" s="17" t="s">
        <v>304</v>
      </c>
    </row>
    <row r="14">
      <c r="A14" s="16" t="s">
        <v>1753</v>
      </c>
      <c r="B14" s="16" t="s">
        <v>675</v>
      </c>
    </row>
    <row r="15">
      <c r="A15" s="17" t="s">
        <v>1753</v>
      </c>
      <c r="B15" s="17" t="s">
        <v>1760</v>
      </c>
    </row>
    <row r="16">
      <c r="A16" s="16" t="s">
        <v>1753</v>
      </c>
      <c r="B16" s="16" t="s">
        <v>690</v>
      </c>
    </row>
    <row r="17">
      <c r="A17" s="17" t="s">
        <v>1753</v>
      </c>
      <c r="B17" s="17" t="s">
        <v>287</v>
      </c>
    </row>
    <row r="18">
      <c r="A18" s="16" t="s">
        <v>1753</v>
      </c>
      <c r="B18" s="16" t="s">
        <v>1761</v>
      </c>
    </row>
    <row r="19">
      <c r="A19" s="17" t="s">
        <v>1753</v>
      </c>
      <c r="B19" s="17" t="s">
        <v>1762</v>
      </c>
    </row>
    <row r="20">
      <c r="A20" s="16" t="s">
        <v>1753</v>
      </c>
      <c r="B20" s="16" t="s">
        <v>1763</v>
      </c>
    </row>
    <row r="21">
      <c r="A21" s="17" t="s">
        <v>1753</v>
      </c>
      <c r="B21" s="17" t="s">
        <v>267</v>
      </c>
    </row>
    <row r="22">
      <c r="A22" s="16" t="s">
        <v>1753</v>
      </c>
      <c r="B22" s="16" t="s">
        <v>1764</v>
      </c>
    </row>
    <row r="23">
      <c r="A23" s="17" t="s">
        <v>1765</v>
      </c>
      <c r="B23" s="17" t="s">
        <v>1766</v>
      </c>
    </row>
    <row r="24">
      <c r="A24" s="16" t="s">
        <v>1767</v>
      </c>
      <c r="B24" s="16" t="s">
        <v>1768</v>
      </c>
    </row>
    <row r="25">
      <c r="A25" s="17" t="s">
        <v>1767</v>
      </c>
      <c r="B25" s="17" t="s">
        <v>1769</v>
      </c>
    </row>
    <row r="26">
      <c r="A26" s="16" t="s">
        <v>1767</v>
      </c>
      <c r="B26" s="16" t="s">
        <v>1770</v>
      </c>
    </row>
    <row r="27">
      <c r="A27" s="17" t="s">
        <v>1767</v>
      </c>
      <c r="B27" s="17" t="s">
        <v>1771</v>
      </c>
    </row>
    <row r="28">
      <c r="A28" s="16" t="s">
        <v>1767</v>
      </c>
      <c r="B28" s="16" t="s">
        <v>1772</v>
      </c>
    </row>
    <row r="29">
      <c r="A29" s="17" t="s">
        <v>1767</v>
      </c>
      <c r="B29" s="17" t="s">
        <v>377</v>
      </c>
    </row>
    <row r="30">
      <c r="A30" s="16" t="s">
        <v>1773</v>
      </c>
      <c r="B30" s="16" t="s">
        <v>607</v>
      </c>
    </row>
    <row r="31">
      <c r="A31" s="17" t="s">
        <v>1774</v>
      </c>
      <c r="B31" s="17" t="s">
        <v>1775</v>
      </c>
    </row>
    <row r="32">
      <c r="A32" s="16" t="s">
        <v>1774</v>
      </c>
      <c r="B32" s="16" t="s">
        <v>199</v>
      </c>
    </row>
    <row r="33">
      <c r="A33" s="17" t="s">
        <v>1774</v>
      </c>
      <c r="B33" s="17" t="s">
        <v>863</v>
      </c>
    </row>
    <row r="34">
      <c r="A34" s="16" t="s">
        <v>1774</v>
      </c>
      <c r="B34" s="16" t="s">
        <v>1776</v>
      </c>
    </row>
    <row r="35">
      <c r="A35" s="17" t="s">
        <v>1777</v>
      </c>
      <c r="B35" s="17" t="s">
        <v>1778</v>
      </c>
    </row>
    <row r="36">
      <c r="A36" s="16" t="s">
        <v>1779</v>
      </c>
      <c r="B36" s="16" t="s">
        <v>1780</v>
      </c>
    </row>
    <row r="37">
      <c r="A37" s="17" t="s">
        <v>1779</v>
      </c>
      <c r="B37" s="17" t="s">
        <v>1781</v>
      </c>
    </row>
    <row r="38">
      <c r="A38" s="16" t="s">
        <v>1782</v>
      </c>
      <c r="B38" s="16" t="s">
        <v>1783</v>
      </c>
    </row>
    <row r="39">
      <c r="A39" s="17" t="s">
        <v>1782</v>
      </c>
      <c r="B39" s="17" t="s">
        <v>1430</v>
      </c>
    </row>
    <row r="40">
      <c r="A40" s="16" t="s">
        <v>1782</v>
      </c>
      <c r="B40" s="16" t="s">
        <v>1784</v>
      </c>
    </row>
    <row r="41">
      <c r="A41" s="17" t="s">
        <v>1785</v>
      </c>
      <c r="B41" s="17" t="s">
        <v>545</v>
      </c>
    </row>
    <row r="42">
      <c r="A42" s="16" t="s">
        <v>1785</v>
      </c>
      <c r="B42" s="16" t="s">
        <v>1786</v>
      </c>
    </row>
    <row r="43">
      <c r="A43" s="17" t="s">
        <v>1787</v>
      </c>
      <c r="B43" s="17" t="s">
        <v>178</v>
      </c>
    </row>
    <row r="44">
      <c r="A44" s="16" t="s">
        <v>1787</v>
      </c>
      <c r="B44" s="16" t="s">
        <v>1788</v>
      </c>
    </row>
    <row r="45">
      <c r="A45" s="17" t="s">
        <v>1787</v>
      </c>
      <c r="B45" s="17" t="s">
        <v>1789</v>
      </c>
    </row>
    <row r="46">
      <c r="A46" s="16" t="s">
        <v>1787</v>
      </c>
      <c r="B46" s="16" t="s">
        <v>248</v>
      </c>
    </row>
    <row r="47">
      <c r="A47" s="17" t="s">
        <v>1787</v>
      </c>
      <c r="B47" s="17" t="s">
        <v>1502</v>
      </c>
    </row>
    <row r="48">
      <c r="A48" s="16" t="s">
        <v>1787</v>
      </c>
      <c r="B48" s="16" t="s">
        <v>1453</v>
      </c>
    </row>
    <row r="49">
      <c r="A49" s="17" t="s">
        <v>1790</v>
      </c>
      <c r="B49" s="17" t="s">
        <v>1791</v>
      </c>
    </row>
    <row r="50">
      <c r="A50" s="16" t="s">
        <v>1790</v>
      </c>
      <c r="B50" s="16" t="s">
        <v>1792</v>
      </c>
    </row>
    <row r="51">
      <c r="A51" s="17" t="s">
        <v>1790</v>
      </c>
      <c r="B51" s="17" t="s">
        <v>1793</v>
      </c>
    </row>
    <row r="52">
      <c r="A52" s="16" t="s">
        <v>1790</v>
      </c>
      <c r="B52" s="16" t="s">
        <v>88</v>
      </c>
    </row>
    <row r="53">
      <c r="A53" s="17" t="s">
        <v>1790</v>
      </c>
      <c r="B53" s="17" t="s">
        <v>1794</v>
      </c>
    </row>
    <row r="54">
      <c r="A54" s="16" t="s">
        <v>1795</v>
      </c>
      <c r="B54" s="16" t="s">
        <v>1796</v>
      </c>
    </row>
    <row r="55">
      <c r="A55" s="17" t="s">
        <v>1795</v>
      </c>
      <c r="B55" s="17" t="s">
        <v>1797</v>
      </c>
    </row>
    <row r="56">
      <c r="A56" s="16" t="s">
        <v>1798</v>
      </c>
      <c r="B56" s="16" t="s">
        <v>1043</v>
      </c>
    </row>
    <row r="57">
      <c r="A57" s="17" t="s">
        <v>1799</v>
      </c>
      <c r="B57" s="17" t="s">
        <v>282</v>
      </c>
    </row>
    <row r="58">
      <c r="A58" s="16" t="s">
        <v>1799</v>
      </c>
      <c r="B58" s="16" t="s">
        <v>942</v>
      </c>
    </row>
    <row r="59">
      <c r="A59" s="17" t="s">
        <v>1799</v>
      </c>
      <c r="B59" s="17" t="s">
        <v>258</v>
      </c>
    </row>
    <row r="60">
      <c r="A60" s="16" t="s">
        <v>1799</v>
      </c>
      <c r="B60" s="16" t="s">
        <v>21</v>
      </c>
    </row>
    <row r="61">
      <c r="A61" s="17" t="s">
        <v>1799</v>
      </c>
      <c r="B61" s="17" t="s">
        <v>218</v>
      </c>
    </row>
    <row r="62">
      <c r="A62" s="16" t="s">
        <v>1799</v>
      </c>
      <c r="B62" s="16" t="s">
        <v>301</v>
      </c>
    </row>
    <row r="63">
      <c r="A63" s="17" t="s">
        <v>1799</v>
      </c>
      <c r="B63" s="17" t="s">
        <v>46</v>
      </c>
    </row>
    <row r="64">
      <c r="A64" s="16" t="s">
        <v>1799</v>
      </c>
      <c r="B64" s="16" t="s">
        <v>126</v>
      </c>
    </row>
    <row r="65">
      <c r="A65" s="17" t="s">
        <v>1799</v>
      </c>
      <c r="B65" s="17" t="s">
        <v>251</v>
      </c>
    </row>
    <row r="66">
      <c r="A66" s="16" t="s">
        <v>1799</v>
      </c>
      <c r="B66" s="16" t="s">
        <v>245</v>
      </c>
    </row>
    <row r="67">
      <c r="A67" s="17" t="s">
        <v>1799</v>
      </c>
      <c r="B67" s="17" t="s">
        <v>822</v>
      </c>
    </row>
    <row r="68">
      <c r="A68" s="16" t="s">
        <v>1799</v>
      </c>
      <c r="B68" s="16" t="s">
        <v>1800</v>
      </c>
    </row>
    <row r="69">
      <c r="A69" s="17" t="s">
        <v>1799</v>
      </c>
      <c r="B69" s="17" t="s">
        <v>36</v>
      </c>
    </row>
    <row r="70">
      <c r="A70" s="16" t="s">
        <v>1799</v>
      </c>
      <c r="B70" s="16" t="s">
        <v>234</v>
      </c>
    </row>
    <row r="71">
      <c r="A71" s="17" t="s">
        <v>1799</v>
      </c>
      <c r="B71" s="17" t="s">
        <v>192</v>
      </c>
    </row>
    <row r="72">
      <c r="A72" s="16" t="s">
        <v>1799</v>
      </c>
      <c r="B72" s="16" t="s">
        <v>143</v>
      </c>
    </row>
    <row r="73">
      <c r="A73" s="17" t="s">
        <v>1799</v>
      </c>
      <c r="B73" s="17" t="s">
        <v>156</v>
      </c>
    </row>
    <row r="74">
      <c r="A74" s="16" t="s">
        <v>1799</v>
      </c>
      <c r="B74" s="16" t="s">
        <v>1801</v>
      </c>
    </row>
    <row r="75">
      <c r="A75" s="17" t="s">
        <v>1799</v>
      </c>
      <c r="B75" s="17" t="s">
        <v>1802</v>
      </c>
    </row>
    <row r="76">
      <c r="A76" s="16" t="s">
        <v>1799</v>
      </c>
      <c r="B76" s="16" t="s">
        <v>205</v>
      </c>
    </row>
    <row r="77">
      <c r="A77" s="17" t="s">
        <v>1799</v>
      </c>
      <c r="B77" s="17" t="s">
        <v>329</v>
      </c>
    </row>
    <row r="78">
      <c r="A78" s="16" t="s">
        <v>1799</v>
      </c>
      <c r="B78" s="16" t="s">
        <v>322</v>
      </c>
    </row>
    <row r="79">
      <c r="A79" s="17" t="s">
        <v>1799</v>
      </c>
      <c r="B79" s="17" t="s">
        <v>166</v>
      </c>
    </row>
    <row r="80">
      <c r="A80" s="16" t="s">
        <v>1799</v>
      </c>
      <c r="B80" s="16" t="s">
        <v>1803</v>
      </c>
    </row>
    <row r="81">
      <c r="A81" s="17" t="s">
        <v>1799</v>
      </c>
      <c r="B81" s="17" t="s">
        <v>1804</v>
      </c>
    </row>
    <row r="82">
      <c r="A82" s="16" t="s">
        <v>1799</v>
      </c>
      <c r="B82" s="16" t="s">
        <v>1805</v>
      </c>
    </row>
    <row r="83">
      <c r="A83" s="17" t="s">
        <v>1806</v>
      </c>
      <c r="B83" s="17" t="s">
        <v>1807</v>
      </c>
    </row>
    <row r="84">
      <c r="A84" s="16" t="s">
        <v>1808</v>
      </c>
      <c r="B84" s="16" t="s">
        <v>504</v>
      </c>
    </row>
    <row r="85">
      <c r="A85" s="17" t="s">
        <v>1808</v>
      </c>
      <c r="B85" s="17" t="s">
        <v>1809</v>
      </c>
    </row>
    <row r="86">
      <c r="A86" s="16" t="s">
        <v>1808</v>
      </c>
      <c r="B86" s="16" t="s">
        <v>1810</v>
      </c>
    </row>
    <row r="87">
      <c r="A87" s="17" t="s">
        <v>1808</v>
      </c>
      <c r="B87" s="17" t="s">
        <v>1811</v>
      </c>
    </row>
    <row r="88">
      <c r="A88" s="16" t="s">
        <v>1808</v>
      </c>
      <c r="B88" s="16" t="s">
        <v>1812</v>
      </c>
    </row>
    <row r="89">
      <c r="A89" s="17" t="s">
        <v>1808</v>
      </c>
      <c r="B89" s="17" t="s">
        <v>1813</v>
      </c>
    </row>
    <row r="90">
      <c r="A90" s="16" t="s">
        <v>1808</v>
      </c>
      <c r="B90" s="16" t="s">
        <v>1814</v>
      </c>
    </row>
    <row r="91">
      <c r="A91" s="17" t="s">
        <v>1815</v>
      </c>
      <c r="B91" s="17" t="s">
        <v>1816</v>
      </c>
    </row>
    <row r="92">
      <c r="A92" s="16" t="s">
        <v>1815</v>
      </c>
      <c r="B92" s="16" t="s">
        <v>1817</v>
      </c>
    </row>
    <row r="93">
      <c r="A93" s="17" t="s">
        <v>1815</v>
      </c>
      <c r="B93" s="17" t="s">
        <v>1818</v>
      </c>
    </row>
    <row r="94">
      <c r="A94" s="16" t="s">
        <v>1815</v>
      </c>
      <c r="B94" s="16" t="s">
        <v>1819</v>
      </c>
    </row>
    <row r="95">
      <c r="A95" s="17" t="s">
        <v>1815</v>
      </c>
      <c r="B95" s="17" t="s">
        <v>1820</v>
      </c>
    </row>
    <row r="96">
      <c r="A96" s="16" t="s">
        <v>1815</v>
      </c>
      <c r="B96" s="16" t="s">
        <v>714</v>
      </c>
    </row>
    <row r="97">
      <c r="A97" s="17" t="s">
        <v>1815</v>
      </c>
      <c r="B97" s="17" t="s">
        <v>1821</v>
      </c>
    </row>
    <row r="98">
      <c r="A98" s="16" t="s">
        <v>1815</v>
      </c>
      <c r="B98" s="16" t="s">
        <v>1069</v>
      </c>
    </row>
    <row r="99">
      <c r="A99" s="17" t="s">
        <v>1815</v>
      </c>
      <c r="B99" s="17" t="s">
        <v>1822</v>
      </c>
    </row>
    <row r="100">
      <c r="A100" s="16" t="s">
        <v>1815</v>
      </c>
      <c r="B100" s="16" t="s">
        <v>210</v>
      </c>
    </row>
    <row r="101">
      <c r="A101" s="17" t="s">
        <v>1815</v>
      </c>
      <c r="B101" s="17" t="s">
        <v>63</v>
      </c>
    </row>
    <row r="102">
      <c r="A102" s="16" t="s">
        <v>1815</v>
      </c>
      <c r="B102" s="16" t="s">
        <v>1823</v>
      </c>
    </row>
    <row r="103">
      <c r="A103" s="17" t="s">
        <v>1815</v>
      </c>
      <c r="B103" s="17" t="s">
        <v>279</v>
      </c>
    </row>
    <row r="104">
      <c r="A104" s="16" t="s">
        <v>1815</v>
      </c>
      <c r="B104" s="16" t="s">
        <v>682</v>
      </c>
    </row>
    <row r="105">
      <c r="A105" s="17" t="s">
        <v>1815</v>
      </c>
      <c r="B105" s="17" t="s">
        <v>110</v>
      </c>
    </row>
    <row r="106">
      <c r="A106" s="16" t="s">
        <v>1815</v>
      </c>
      <c r="B106" s="16" t="s">
        <v>116</v>
      </c>
    </row>
    <row r="107">
      <c r="A107" s="17" t="s">
        <v>1815</v>
      </c>
      <c r="B107" s="17" t="s">
        <v>74</v>
      </c>
    </row>
    <row r="108">
      <c r="A108" s="16" t="s">
        <v>1815</v>
      </c>
      <c r="B108" s="16" t="s">
        <v>1824</v>
      </c>
    </row>
    <row r="109">
      <c r="A109" s="17" t="s">
        <v>1815</v>
      </c>
      <c r="B109" s="17" t="s">
        <v>1825</v>
      </c>
    </row>
    <row r="110">
      <c r="A110" s="16" t="s">
        <v>1815</v>
      </c>
      <c r="B110" s="16" t="s">
        <v>1826</v>
      </c>
    </row>
    <row r="111">
      <c r="A111" s="17" t="s">
        <v>1827</v>
      </c>
      <c r="B111" s="17" t="s">
        <v>1828</v>
      </c>
    </row>
    <row r="112">
      <c r="A112" s="16" t="s">
        <v>1827</v>
      </c>
      <c r="B112" s="16" t="s">
        <v>1829</v>
      </c>
    </row>
    <row r="113">
      <c r="A113" s="17" t="s">
        <v>1830</v>
      </c>
      <c r="B113" s="17" t="s">
        <v>1831</v>
      </c>
    </row>
    <row r="114">
      <c r="A114" s="16" t="s">
        <v>1830</v>
      </c>
      <c r="B114" s="16" t="s">
        <v>26</v>
      </c>
    </row>
    <row r="115">
      <c r="A115" s="17" t="s">
        <v>1830</v>
      </c>
      <c r="B115" s="17" t="s">
        <v>1832</v>
      </c>
    </row>
    <row r="116">
      <c r="A116" s="16" t="s">
        <v>1830</v>
      </c>
      <c r="B116" s="16" t="s">
        <v>1250</v>
      </c>
    </row>
    <row r="117">
      <c r="A117" s="17" t="s">
        <v>1830</v>
      </c>
      <c r="B117" s="17" t="s">
        <v>1833</v>
      </c>
    </row>
    <row r="118">
      <c r="A118" s="16" t="s">
        <v>1830</v>
      </c>
      <c r="B118" s="16" t="s">
        <v>85</v>
      </c>
    </row>
    <row r="119">
      <c r="A119" s="17" t="s">
        <v>1830</v>
      </c>
      <c r="B119" s="17" t="s">
        <v>1834</v>
      </c>
    </row>
    <row r="120">
      <c r="A120" s="16" t="s">
        <v>1830</v>
      </c>
      <c r="B120" s="16" t="s">
        <v>1835</v>
      </c>
    </row>
    <row r="121">
      <c r="A121" s="17" t="s">
        <v>1830</v>
      </c>
      <c r="B121" s="17" t="s">
        <v>1667</v>
      </c>
    </row>
    <row r="122">
      <c r="A122" s="16" t="s">
        <v>1830</v>
      </c>
      <c r="B122" s="16" t="s">
        <v>595</v>
      </c>
    </row>
    <row r="123">
      <c r="A123" s="17" t="s">
        <v>1830</v>
      </c>
      <c r="B123" s="17" t="s">
        <v>1836</v>
      </c>
    </row>
    <row r="124">
      <c r="A124" s="16" t="s">
        <v>1830</v>
      </c>
      <c r="B124" s="16" t="s">
        <v>1837</v>
      </c>
    </row>
    <row r="125">
      <c r="A125" s="17" t="s">
        <v>1830</v>
      </c>
      <c r="B125" s="17" t="s">
        <v>1838</v>
      </c>
    </row>
    <row r="126">
      <c r="A126" s="16" t="s">
        <v>1830</v>
      </c>
      <c r="B126" s="16" t="s">
        <v>1839</v>
      </c>
    </row>
    <row r="127">
      <c r="A127" s="17" t="s">
        <v>1830</v>
      </c>
      <c r="B127" s="17" t="s">
        <v>1840</v>
      </c>
    </row>
    <row r="128">
      <c r="A128" s="16" t="s">
        <v>1841</v>
      </c>
      <c r="B128" s="16" t="s">
        <v>374</v>
      </c>
    </row>
    <row r="129">
      <c r="A129" s="17" t="s">
        <v>1841</v>
      </c>
      <c r="B129" s="17" t="s">
        <v>1842</v>
      </c>
    </row>
    <row r="130">
      <c r="A130" s="16" t="s">
        <v>1843</v>
      </c>
      <c r="B130" s="16" t="s">
        <v>119</v>
      </c>
    </row>
    <row r="131">
      <c r="A131" s="17" t="s">
        <v>1843</v>
      </c>
      <c r="B131" s="17" t="s">
        <v>41</v>
      </c>
    </row>
    <row r="132">
      <c r="A132" s="16" t="s">
        <v>1843</v>
      </c>
      <c r="B132" s="16" t="s">
        <v>1844</v>
      </c>
    </row>
    <row r="133">
      <c r="A133" s="17" t="s">
        <v>1843</v>
      </c>
      <c r="B133" s="17" t="s">
        <v>1845</v>
      </c>
    </row>
    <row r="134">
      <c r="A134" s="16" t="s">
        <v>1843</v>
      </c>
      <c r="B134" s="16" t="s">
        <v>1846</v>
      </c>
    </row>
    <row r="135">
      <c r="A135" s="17" t="s">
        <v>1847</v>
      </c>
      <c r="B135" s="17" t="s">
        <v>1232</v>
      </c>
    </row>
    <row r="136">
      <c r="A136" s="16" t="s">
        <v>1848</v>
      </c>
      <c r="B136" s="16" t="s">
        <v>1100</v>
      </c>
    </row>
    <row r="137">
      <c r="A137" s="17" t="s">
        <v>1848</v>
      </c>
      <c r="B137" s="17" t="s">
        <v>1849</v>
      </c>
    </row>
    <row r="138">
      <c r="A138" s="16" t="s">
        <v>1848</v>
      </c>
      <c r="B138" s="16" t="s">
        <v>731</v>
      </c>
    </row>
    <row r="139">
      <c r="A139" s="17" t="s">
        <v>1848</v>
      </c>
      <c r="B139" s="17" t="s">
        <v>129</v>
      </c>
    </row>
    <row r="140">
      <c r="A140" s="16" t="s">
        <v>1848</v>
      </c>
      <c r="B140" s="16" t="s">
        <v>153</v>
      </c>
    </row>
    <row r="141">
      <c r="A141" s="17" t="s">
        <v>1848</v>
      </c>
      <c r="B141" s="17" t="s">
        <v>1850</v>
      </c>
    </row>
    <row r="142">
      <c r="A142" s="16" t="s">
        <v>1848</v>
      </c>
      <c r="B142" s="16" t="s">
        <v>1272</v>
      </c>
    </row>
    <row r="143">
      <c r="A143" s="17" t="s">
        <v>1848</v>
      </c>
      <c r="B143" s="17" t="s">
        <v>937</v>
      </c>
    </row>
    <row r="144">
      <c r="A144" s="16" t="s">
        <v>1848</v>
      </c>
      <c r="B144" s="16" t="s">
        <v>82</v>
      </c>
    </row>
    <row r="145">
      <c r="A145" s="17" t="s">
        <v>1848</v>
      </c>
      <c r="B145" s="17" t="s">
        <v>369</v>
      </c>
    </row>
    <row r="146">
      <c r="A146" s="16" t="s">
        <v>1848</v>
      </c>
      <c r="B146" s="16" t="s">
        <v>224</v>
      </c>
    </row>
    <row r="147">
      <c r="A147" s="17" t="s">
        <v>1848</v>
      </c>
      <c r="B147" s="17" t="s">
        <v>1851</v>
      </c>
    </row>
    <row r="148">
      <c r="A148" s="16" t="s">
        <v>1848</v>
      </c>
      <c r="B148" s="16" t="s">
        <v>1852</v>
      </c>
    </row>
    <row r="149">
      <c r="A149" s="17" t="s">
        <v>1848</v>
      </c>
      <c r="B149" s="17" t="s">
        <v>97</v>
      </c>
    </row>
    <row r="150">
      <c r="A150" s="16" t="s">
        <v>1848</v>
      </c>
      <c r="B150" s="16" t="s">
        <v>271</v>
      </c>
    </row>
    <row r="151">
      <c r="A151" s="17" t="s">
        <v>1848</v>
      </c>
      <c r="B151" s="17" t="s">
        <v>808</v>
      </c>
    </row>
    <row r="152">
      <c r="A152" s="16" t="s">
        <v>1848</v>
      </c>
      <c r="B152" s="16" t="s">
        <v>678</v>
      </c>
    </row>
    <row r="153">
      <c r="A153" s="17" t="s">
        <v>1848</v>
      </c>
      <c r="B153" s="17" t="s">
        <v>1853</v>
      </c>
    </row>
    <row r="154">
      <c r="A154" s="16" t="s">
        <v>1848</v>
      </c>
      <c r="B154" s="16" t="s">
        <v>1854</v>
      </c>
    </row>
    <row r="155">
      <c r="A155" s="17" t="s">
        <v>1848</v>
      </c>
      <c r="B155" s="17" t="s">
        <v>1855</v>
      </c>
    </row>
    <row r="156">
      <c r="A156" s="16" t="s">
        <v>1848</v>
      </c>
      <c r="B156" s="16" t="s">
        <v>1856</v>
      </c>
    </row>
    <row r="157">
      <c r="A157" s="17" t="s">
        <v>1848</v>
      </c>
      <c r="B157" s="17" t="s">
        <v>140</v>
      </c>
    </row>
    <row r="158">
      <c r="A158" s="16" t="s">
        <v>1848</v>
      </c>
      <c r="B158" s="16" t="s">
        <v>995</v>
      </c>
    </row>
    <row r="159">
      <c r="A159" s="17" t="s">
        <v>1848</v>
      </c>
      <c r="B159" s="17" t="s">
        <v>1857</v>
      </c>
    </row>
    <row r="160">
      <c r="A160" s="16" t="s">
        <v>1848</v>
      </c>
      <c r="B160" s="16" t="s">
        <v>1858</v>
      </c>
    </row>
    <row r="161">
      <c r="A161" s="17" t="s">
        <v>1848</v>
      </c>
      <c r="B161" s="17" t="s">
        <v>1524</v>
      </c>
    </row>
    <row r="162">
      <c r="A162" s="16" t="s">
        <v>1848</v>
      </c>
      <c r="B162" s="16" t="s">
        <v>105</v>
      </c>
    </row>
    <row r="163">
      <c r="A163" s="17" t="s">
        <v>1848</v>
      </c>
      <c r="B163" s="17" t="s">
        <v>100</v>
      </c>
    </row>
    <row r="164">
      <c r="A164" s="16" t="s">
        <v>1848</v>
      </c>
      <c r="B164" s="16" t="s">
        <v>1859</v>
      </c>
    </row>
    <row r="165">
      <c r="A165" s="17" t="s">
        <v>1860</v>
      </c>
      <c r="B165" s="17" t="s">
        <v>1861</v>
      </c>
    </row>
    <row r="166">
      <c r="A166" s="16" t="s">
        <v>1860</v>
      </c>
      <c r="B166" s="16" t="s">
        <v>1862</v>
      </c>
    </row>
    <row r="167">
      <c r="A167" s="17" t="s">
        <v>1863</v>
      </c>
      <c r="B167" s="17" t="s">
        <v>982</v>
      </c>
    </row>
    <row r="168">
      <c r="A168" s="16" t="s">
        <v>1864</v>
      </c>
      <c r="B168" s="16" t="s">
        <v>390</v>
      </c>
    </row>
    <row r="169">
      <c r="A169" s="17" t="s">
        <v>1865</v>
      </c>
      <c r="B169" s="17" t="s">
        <v>1866</v>
      </c>
    </row>
    <row r="170">
      <c r="A170" s="16" t="s">
        <v>1865</v>
      </c>
      <c r="B170" s="16" t="s">
        <v>338</v>
      </c>
    </row>
    <row r="171">
      <c r="A171" s="17" t="s">
        <v>1867</v>
      </c>
      <c r="B171" s="17" t="s">
        <v>163</v>
      </c>
    </row>
    <row r="172">
      <c r="A172" s="16" t="s">
        <v>1868</v>
      </c>
      <c r="B172" s="16" t="s">
        <v>1869</v>
      </c>
    </row>
    <row r="173">
      <c r="A173" s="17" t="s">
        <v>1870</v>
      </c>
      <c r="B173" s="17" t="s">
        <v>113</v>
      </c>
    </row>
    <row r="174">
      <c r="A174" s="16" t="s">
        <v>1871</v>
      </c>
      <c r="B174" s="16" t="s">
        <v>332</v>
      </c>
    </row>
    <row r="175">
      <c r="A175" s="17" t="s">
        <v>1872</v>
      </c>
      <c r="B175" s="17" t="s">
        <v>1873</v>
      </c>
    </row>
    <row r="176">
      <c r="A176" s="16" t="s">
        <v>1872</v>
      </c>
      <c r="B176" s="16" t="s">
        <v>1874</v>
      </c>
    </row>
    <row r="177">
      <c r="A177" s="17" t="s">
        <v>1875</v>
      </c>
      <c r="B177" s="17" t="s">
        <v>1876</v>
      </c>
    </row>
    <row r="178">
      <c r="A178" s="16" t="s">
        <v>1875</v>
      </c>
      <c r="B178" s="16" t="s">
        <v>380</v>
      </c>
    </row>
    <row r="179">
      <c r="A179" s="17" t="s">
        <v>1875</v>
      </c>
      <c r="B179" s="17" t="s">
        <v>1877</v>
      </c>
    </row>
    <row r="180">
      <c r="A180" s="16" t="s">
        <v>1875</v>
      </c>
      <c r="B180" s="16" t="s">
        <v>1878</v>
      </c>
    </row>
    <row r="181">
      <c r="A181" s="17" t="s">
        <v>1875</v>
      </c>
      <c r="B181" s="17" t="s">
        <v>1879</v>
      </c>
    </row>
    <row r="182">
      <c r="A182" s="16" t="s">
        <v>1875</v>
      </c>
      <c r="B182" s="16" t="s">
        <v>1243</v>
      </c>
    </row>
    <row r="183">
      <c r="A183" s="17" t="s">
        <v>1875</v>
      </c>
      <c r="B183" s="17" t="s">
        <v>1880</v>
      </c>
    </row>
    <row r="184">
      <c r="A184" s="16" t="s">
        <v>1875</v>
      </c>
      <c r="B184" s="16" t="s">
        <v>1881</v>
      </c>
    </row>
    <row r="185">
      <c r="A185" s="17" t="s">
        <v>1875</v>
      </c>
      <c r="B185" s="17" t="s">
        <v>1882</v>
      </c>
    </row>
    <row r="186">
      <c r="A186" s="16" t="s">
        <v>1875</v>
      </c>
      <c r="B186" s="16" t="s">
        <v>1883</v>
      </c>
    </row>
    <row r="187">
      <c r="A187" s="17" t="s">
        <v>1884</v>
      </c>
      <c r="B187" s="17" t="s">
        <v>169</v>
      </c>
    </row>
    <row r="188">
      <c r="A188" s="16" t="s">
        <v>1884</v>
      </c>
      <c r="B188" s="16" t="s">
        <v>1371</v>
      </c>
    </row>
    <row r="189">
      <c r="A189" s="17" t="s">
        <v>1884</v>
      </c>
      <c r="B189" s="17" t="s">
        <v>1885</v>
      </c>
    </row>
    <row r="190">
      <c r="A190" s="16" t="s">
        <v>1884</v>
      </c>
      <c r="B190" s="16" t="s">
        <v>886</v>
      </c>
    </row>
    <row r="191">
      <c r="A191" s="17" t="s">
        <v>1886</v>
      </c>
      <c r="B191" s="17" t="s">
        <v>435</v>
      </c>
    </row>
    <row r="192">
      <c r="A192" s="16" t="s">
        <v>1886</v>
      </c>
      <c r="B192" s="16" t="s">
        <v>397</v>
      </c>
    </row>
    <row r="193">
      <c r="A193" s="17" t="s">
        <v>1886</v>
      </c>
      <c r="B193" s="17" t="s">
        <v>148</v>
      </c>
    </row>
    <row r="194">
      <c r="A194" s="16" t="s">
        <v>1886</v>
      </c>
      <c r="B194" s="16" t="s">
        <v>1021</v>
      </c>
    </row>
    <row r="195">
      <c r="A195" s="17" t="s">
        <v>1886</v>
      </c>
      <c r="B195" s="17" t="s">
        <v>1887</v>
      </c>
    </row>
    <row r="196">
      <c r="A196" s="16" t="s">
        <v>1886</v>
      </c>
      <c r="B196" s="16" t="s">
        <v>1888</v>
      </c>
    </row>
    <row r="197">
      <c r="A197" s="17" t="s">
        <v>1886</v>
      </c>
      <c r="B197" s="17" t="s">
        <v>68</v>
      </c>
    </row>
    <row r="198">
      <c r="A198" s="16" t="s">
        <v>1886</v>
      </c>
      <c r="B198" s="16" t="s">
        <v>1889</v>
      </c>
    </row>
    <row r="199">
      <c r="A199" s="17" t="s">
        <v>1890</v>
      </c>
      <c r="B199" s="17" t="s">
        <v>700</v>
      </c>
    </row>
    <row r="200">
      <c r="A200" s="16" t="s">
        <v>1890</v>
      </c>
      <c r="B200" s="16" t="s">
        <v>107</v>
      </c>
    </row>
    <row r="201">
      <c r="A201" s="17" t="s">
        <v>1890</v>
      </c>
      <c r="B201" s="17" t="s">
        <v>1891</v>
      </c>
    </row>
    <row r="202">
      <c r="A202" s="16" t="s">
        <v>1890</v>
      </c>
      <c r="B202" s="16" t="s">
        <v>20</v>
      </c>
    </row>
    <row r="203">
      <c r="A203" s="17" t="s">
        <v>1890</v>
      </c>
      <c r="B203" s="17" t="s">
        <v>857</v>
      </c>
    </row>
    <row r="204">
      <c r="A204" s="16" t="s">
        <v>1892</v>
      </c>
      <c r="B204" s="16" t="s">
        <v>1893</v>
      </c>
    </row>
    <row r="205">
      <c r="A205" s="17" t="s">
        <v>1892</v>
      </c>
      <c r="B205" s="17" t="s">
        <v>1894</v>
      </c>
    </row>
    <row r="206">
      <c r="A206" s="16" t="s">
        <v>1892</v>
      </c>
      <c r="B206" s="16" t="s">
        <v>489</v>
      </c>
    </row>
    <row r="207">
      <c r="A207" s="17" t="s">
        <v>1892</v>
      </c>
      <c r="B207" s="17" t="s">
        <v>527</v>
      </c>
    </row>
    <row r="208">
      <c r="A208" s="16" t="s">
        <v>1892</v>
      </c>
      <c r="B208" s="16" t="s">
        <v>335</v>
      </c>
    </row>
    <row r="209">
      <c r="A209" s="17" t="s">
        <v>1892</v>
      </c>
      <c r="B209" s="17" t="s">
        <v>1895</v>
      </c>
    </row>
    <row r="210">
      <c r="A210" s="16" t="s">
        <v>1892</v>
      </c>
      <c r="B210" s="16" t="s">
        <v>94</v>
      </c>
    </row>
    <row r="211">
      <c r="A211" s="17" t="s">
        <v>1892</v>
      </c>
      <c r="B211" s="17" t="s">
        <v>524</v>
      </c>
    </row>
    <row r="212">
      <c r="A212" s="16" t="s">
        <v>1892</v>
      </c>
      <c r="B212" s="16" t="s">
        <v>1896</v>
      </c>
    </row>
    <row r="213">
      <c r="A213" s="17" t="s">
        <v>1892</v>
      </c>
      <c r="B213" s="17" t="s">
        <v>584</v>
      </c>
    </row>
    <row r="214">
      <c r="A214" s="16" t="s">
        <v>1892</v>
      </c>
      <c r="B214" s="16" t="s">
        <v>1897</v>
      </c>
    </row>
    <row r="215">
      <c r="A215" s="17" t="s">
        <v>1892</v>
      </c>
      <c r="B215" s="17" t="s">
        <v>1898</v>
      </c>
    </row>
    <row r="216">
      <c r="A216" s="16" t="s">
        <v>1892</v>
      </c>
      <c r="B216" s="16" t="s">
        <v>1899</v>
      </c>
    </row>
    <row r="217">
      <c r="A217" s="17" t="s">
        <v>1892</v>
      </c>
      <c r="B217" s="17" t="s">
        <v>1900</v>
      </c>
    </row>
    <row r="218">
      <c r="A218" s="16" t="s">
        <v>1892</v>
      </c>
      <c r="B218" s="16" t="s">
        <v>1286</v>
      </c>
    </row>
    <row r="219">
      <c r="A219" s="17" t="s">
        <v>1892</v>
      </c>
      <c r="B219" s="17" t="s">
        <v>1378</v>
      </c>
    </row>
    <row r="220">
      <c r="A220" s="16" t="s">
        <v>1892</v>
      </c>
      <c r="B220" s="16" t="s">
        <v>221</v>
      </c>
    </row>
    <row r="221">
      <c r="A221" s="17" t="s">
        <v>1892</v>
      </c>
      <c r="B221" s="17" t="s">
        <v>274</v>
      </c>
    </row>
    <row r="222">
      <c r="A222" s="16" t="s">
        <v>1892</v>
      </c>
      <c r="B222" s="16" t="s">
        <v>541</v>
      </c>
    </row>
    <row r="223">
      <c r="A223" s="17" t="s">
        <v>1892</v>
      </c>
      <c r="B223" s="17" t="s">
        <v>1901</v>
      </c>
    </row>
    <row r="224">
      <c r="A224" s="16" t="s">
        <v>1892</v>
      </c>
      <c r="B224" s="16" t="s">
        <v>448</v>
      </c>
    </row>
    <row r="225">
      <c r="A225" s="17" t="s">
        <v>1892</v>
      </c>
      <c r="B225" s="17" t="s">
        <v>581</v>
      </c>
    </row>
    <row r="226">
      <c r="A226" s="16" t="s">
        <v>1892</v>
      </c>
      <c r="B226" s="16" t="s">
        <v>1902</v>
      </c>
    </row>
    <row r="227">
      <c r="A227" s="17" t="s">
        <v>1892</v>
      </c>
      <c r="B227" s="17" t="s">
        <v>1903</v>
      </c>
    </row>
    <row r="228">
      <c r="A228" s="16" t="s">
        <v>1904</v>
      </c>
      <c r="B228" s="16" t="s">
        <v>1905</v>
      </c>
    </row>
    <row r="229">
      <c r="A229" s="17" t="s">
        <v>1904</v>
      </c>
      <c r="B229" s="17" t="s">
        <v>53</v>
      </c>
    </row>
    <row r="230">
      <c r="A230" s="16" t="s">
        <v>1906</v>
      </c>
      <c r="B230" s="16" t="s">
        <v>290</v>
      </c>
    </row>
    <row r="231">
      <c r="A231" s="17" t="s">
        <v>1906</v>
      </c>
      <c r="B231" s="17" t="s">
        <v>939</v>
      </c>
    </row>
    <row r="232">
      <c r="A232" s="16" t="s">
        <v>1906</v>
      </c>
      <c r="B232" s="16" t="s">
        <v>1437</v>
      </c>
    </row>
    <row r="233">
      <c r="A233" s="17" t="s">
        <v>1906</v>
      </c>
      <c r="B233" s="17" t="s">
        <v>1907</v>
      </c>
    </row>
    <row r="234">
      <c r="A234" s="16" t="s">
        <v>1906</v>
      </c>
      <c r="B234" s="16" t="s">
        <v>1908</v>
      </c>
    </row>
    <row r="235">
      <c r="A235" s="17" t="s">
        <v>1909</v>
      </c>
      <c r="B235" s="17" t="s">
        <v>1910</v>
      </c>
    </row>
    <row r="236">
      <c r="A236" s="16" t="s">
        <v>1909</v>
      </c>
      <c r="B236" s="16" t="s">
        <v>1911</v>
      </c>
    </row>
    <row r="237">
      <c r="A237" s="17" t="s">
        <v>1909</v>
      </c>
      <c r="B237" s="17" t="s">
        <v>1912</v>
      </c>
    </row>
    <row r="238">
      <c r="A238" s="16" t="s">
        <v>1909</v>
      </c>
      <c r="B238" s="16" t="s">
        <v>1913</v>
      </c>
    </row>
    <row r="239">
      <c r="A239" s="17" t="s">
        <v>1909</v>
      </c>
      <c r="B239" s="17" t="s">
        <v>1914</v>
      </c>
    </row>
    <row r="240">
      <c r="A240" s="16" t="s">
        <v>1909</v>
      </c>
      <c r="B240" s="16" t="s">
        <v>1915</v>
      </c>
    </row>
    <row r="241">
      <c r="A241" s="17" t="s">
        <v>1916</v>
      </c>
      <c r="B241" s="17" t="s">
        <v>1375</v>
      </c>
    </row>
    <row r="242">
      <c r="A242" s="16" t="s">
        <v>1916</v>
      </c>
      <c r="B242" s="16" t="s">
        <v>1917</v>
      </c>
    </row>
    <row r="243">
      <c r="A243" s="17" t="s">
        <v>1918</v>
      </c>
      <c r="B243" s="17" t="s">
        <v>240</v>
      </c>
    </row>
    <row r="244">
      <c r="A244" s="16" t="s">
        <v>1918</v>
      </c>
      <c r="B244" s="16" t="s">
        <v>1919</v>
      </c>
    </row>
    <row r="245">
      <c r="A245" s="17" t="s">
        <v>1918</v>
      </c>
      <c r="B245" s="17" t="s">
        <v>1143</v>
      </c>
    </row>
    <row r="246">
      <c r="A246" s="16" t="s">
        <v>1918</v>
      </c>
      <c r="B246" s="16" t="s">
        <v>1920</v>
      </c>
    </row>
    <row r="247">
      <c r="A247" s="17" t="s">
        <v>1921</v>
      </c>
      <c r="B247" s="17" t="s">
        <v>237</v>
      </c>
    </row>
    <row r="248">
      <c r="A248" s="16" t="s">
        <v>1921</v>
      </c>
      <c r="B248" s="16" t="s">
        <v>137</v>
      </c>
    </row>
    <row r="249">
      <c r="A249" s="17" t="s">
        <v>1921</v>
      </c>
      <c r="B249" s="17" t="s">
        <v>158</v>
      </c>
    </row>
    <row r="250">
      <c r="A250" s="16" t="s">
        <v>1922</v>
      </c>
      <c r="B250" s="16" t="s">
        <v>1923</v>
      </c>
    </row>
    <row r="251">
      <c r="A251" s="17" t="s">
        <v>1922</v>
      </c>
      <c r="B251" s="17" t="s">
        <v>1924</v>
      </c>
    </row>
    <row r="252">
      <c r="A252" s="16" t="s">
        <v>1922</v>
      </c>
      <c r="B252" s="16" t="s">
        <v>1925</v>
      </c>
    </row>
    <row r="253">
      <c r="A253" s="17" t="s">
        <v>1922</v>
      </c>
      <c r="B253" s="17" t="s">
        <v>1926</v>
      </c>
    </row>
    <row r="254">
      <c r="A254" s="16" t="s">
        <v>1922</v>
      </c>
      <c r="B254" s="16" t="s">
        <v>880</v>
      </c>
    </row>
    <row r="255">
      <c r="A255" s="17" t="s">
        <v>1922</v>
      </c>
      <c r="B255" s="17" t="s">
        <v>343</v>
      </c>
    </row>
    <row r="256">
      <c r="A256" s="16" t="s">
        <v>1922</v>
      </c>
      <c r="B256" s="16" t="s">
        <v>794</v>
      </c>
    </row>
    <row r="257">
      <c r="A257" s="17" t="s">
        <v>1922</v>
      </c>
      <c r="B257" s="17" t="s">
        <v>1927</v>
      </c>
    </row>
    <row r="258">
      <c r="A258" s="16" t="s">
        <v>1922</v>
      </c>
      <c r="B258" s="16" t="s">
        <v>1928</v>
      </c>
    </row>
    <row r="259">
      <c r="A259" s="17" t="s">
        <v>1929</v>
      </c>
      <c r="B259" s="17" t="s">
        <v>1930</v>
      </c>
    </row>
    <row r="260">
      <c r="A260" s="16" t="s">
        <v>1929</v>
      </c>
      <c r="B260" s="16" t="s">
        <v>1931</v>
      </c>
    </row>
    <row r="261">
      <c r="A261" s="17" t="s">
        <v>1929</v>
      </c>
      <c r="B261" s="17" t="s">
        <v>1932</v>
      </c>
    </row>
    <row r="262">
      <c r="A262" s="16" t="s">
        <v>1929</v>
      </c>
      <c r="B262" s="16" t="s">
        <v>1933</v>
      </c>
    </row>
    <row r="263">
      <c r="A263" s="17" t="s">
        <v>1929</v>
      </c>
      <c r="B263" s="17" t="s">
        <v>1934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B1" s="1" t="s">
        <v>1935</v>
      </c>
      <c r="C1" s="1" t="s">
        <v>1936</v>
      </c>
      <c r="D1" s="1" t="s">
        <v>1937</v>
      </c>
    </row>
    <row r="2" ht="14.25" customHeight="1">
      <c r="A2" s="1">
        <v>1.0</v>
      </c>
      <c r="B2" s="1" t="s">
        <v>1938</v>
      </c>
      <c r="C2" s="1" t="s">
        <v>43</v>
      </c>
      <c r="D2" s="1">
        <v>52.0</v>
      </c>
    </row>
    <row r="3" ht="14.25" customHeight="1">
      <c r="A3" s="1">
        <v>2.0</v>
      </c>
      <c r="B3" s="1" t="s">
        <v>1939</v>
      </c>
      <c r="C3" s="1" t="s">
        <v>43</v>
      </c>
      <c r="D3" s="1">
        <v>74.0</v>
      </c>
    </row>
    <row r="4" ht="14.25" customHeight="1">
      <c r="A4" s="1">
        <v>3.0</v>
      </c>
      <c r="B4" s="1" t="s">
        <v>1940</v>
      </c>
      <c r="C4" s="1" t="s">
        <v>33</v>
      </c>
      <c r="D4" s="1">
        <v>253.0</v>
      </c>
    </row>
    <row r="5" ht="14.25" customHeight="1">
      <c r="A5" s="1">
        <v>4.0</v>
      </c>
      <c r="B5" s="1" t="s">
        <v>1941</v>
      </c>
      <c r="C5" s="1" t="s">
        <v>33</v>
      </c>
      <c r="D5" s="1">
        <v>226.0</v>
      </c>
    </row>
    <row r="6" ht="14.25" customHeight="1">
      <c r="A6" s="1">
        <v>5.0</v>
      </c>
      <c r="B6" s="1" t="s">
        <v>1942</v>
      </c>
      <c r="C6" s="1" t="s">
        <v>38</v>
      </c>
      <c r="D6" s="1">
        <v>122.0</v>
      </c>
    </row>
    <row r="7" ht="14.25" customHeight="1">
      <c r="A7" s="1">
        <v>6.0</v>
      </c>
      <c r="B7" s="1" t="s">
        <v>136</v>
      </c>
      <c r="C7" s="1" t="s">
        <v>38</v>
      </c>
      <c r="D7" s="1">
        <v>144.0</v>
      </c>
    </row>
    <row r="8" ht="14.25" customHeight="1">
      <c r="A8" s="1">
        <v>7.0</v>
      </c>
      <c r="B8" s="1" t="s">
        <v>30</v>
      </c>
      <c r="C8" s="1" t="s">
        <v>38</v>
      </c>
      <c r="D8" s="1">
        <v>173.0</v>
      </c>
    </row>
    <row r="9" ht="14.25" customHeight="1">
      <c r="A9" s="1">
        <v>8.0</v>
      </c>
      <c r="B9" s="1" t="s">
        <v>35</v>
      </c>
      <c r="C9" s="1" t="s">
        <v>38</v>
      </c>
      <c r="D9" s="1">
        <v>207.0</v>
      </c>
    </row>
    <row r="10" ht="14.25" customHeight="1">
      <c r="A10" s="1">
        <v>9.0</v>
      </c>
      <c r="B10" s="1" t="s">
        <v>57</v>
      </c>
      <c r="C10" s="1" t="s">
        <v>28</v>
      </c>
      <c r="D10" s="1">
        <v>281.0</v>
      </c>
    </row>
    <row r="11" ht="14.25" customHeight="1">
      <c r="A11" s="1">
        <v>10.0</v>
      </c>
      <c r="B11" s="1" t="s">
        <v>576</v>
      </c>
      <c r="C11" s="1" t="s">
        <v>28</v>
      </c>
      <c r="D11" s="1">
        <v>284.0</v>
      </c>
    </row>
    <row r="12" ht="14.25" customHeight="1">
      <c r="A12" s="1">
        <v>11.0</v>
      </c>
      <c r="B12" s="1" t="s">
        <v>1943</v>
      </c>
      <c r="C12" s="1" t="s">
        <v>28</v>
      </c>
      <c r="D12" s="1">
        <v>271.0</v>
      </c>
    </row>
    <row r="13" ht="14.25" customHeight="1">
      <c r="A13" s="1">
        <v>12.0</v>
      </c>
      <c r="B13" s="1" t="s">
        <v>1944</v>
      </c>
      <c r="C13" s="1" t="s">
        <v>28</v>
      </c>
      <c r="D13" s="1">
        <v>259.0</v>
      </c>
    </row>
    <row r="14" ht="14.25" customHeight="1">
      <c r="A14" s="1">
        <v>13.0</v>
      </c>
      <c r="B14" s="1" t="s">
        <v>1945</v>
      </c>
      <c r="C14" s="1" t="s">
        <v>28</v>
      </c>
      <c r="D14" s="1">
        <v>314.0</v>
      </c>
    </row>
    <row r="15" ht="14.25" customHeight="1">
      <c r="A15" s="1">
        <v>14.0</v>
      </c>
      <c r="B15" s="1" t="s">
        <v>1946</v>
      </c>
      <c r="C15" s="1" t="s">
        <v>28</v>
      </c>
      <c r="D15" s="1">
        <v>315.0</v>
      </c>
    </row>
    <row r="16" ht="14.25" customHeight="1">
      <c r="A16" s="1">
        <v>15.0</v>
      </c>
      <c r="B16" s="1" t="s">
        <v>122</v>
      </c>
      <c r="C16" s="1" t="s">
        <v>28</v>
      </c>
      <c r="D16" s="1">
        <v>297.0</v>
      </c>
    </row>
    <row r="17" ht="14.25" customHeight="1">
      <c r="A17" s="1">
        <v>16.0</v>
      </c>
      <c r="B17" s="1" t="s">
        <v>906</v>
      </c>
      <c r="C17" s="1" t="s">
        <v>23</v>
      </c>
      <c r="D17" s="1">
        <v>492.0</v>
      </c>
    </row>
    <row r="18" ht="14.25" customHeight="1">
      <c r="A18" s="1">
        <v>17.0</v>
      </c>
      <c r="B18" s="1" t="s">
        <v>1947</v>
      </c>
      <c r="C18" s="1" t="s">
        <v>43</v>
      </c>
      <c r="D18" s="1">
        <v>48.0</v>
      </c>
    </row>
    <row r="19" ht="14.25" customHeight="1">
      <c r="A19" s="1">
        <v>18.0</v>
      </c>
      <c r="B19" s="1" t="s">
        <v>1948</v>
      </c>
      <c r="C19" s="1" t="s">
        <v>43</v>
      </c>
      <c r="D19" s="1">
        <v>19.0</v>
      </c>
    </row>
    <row r="20" ht="14.25" customHeight="1">
      <c r="A20" s="1">
        <v>19.0</v>
      </c>
      <c r="B20" s="1" t="s">
        <v>1949</v>
      </c>
      <c r="C20" s="1" t="s">
        <v>48</v>
      </c>
      <c r="D20" s="1">
        <v>27.0</v>
      </c>
    </row>
    <row r="21" ht="14.25" customHeight="1">
      <c r="A21" s="1">
        <v>20.0</v>
      </c>
      <c r="B21" s="1" t="s">
        <v>1950</v>
      </c>
      <c r="C21" s="1" t="s">
        <v>48</v>
      </c>
      <c r="D21" s="1">
        <v>4.0</v>
      </c>
    </row>
    <row r="22" ht="14.25" customHeight="1">
      <c r="A22" s="1">
        <v>21.0</v>
      </c>
      <c r="B22" s="1" t="s">
        <v>1613</v>
      </c>
      <c r="C22" s="1" t="s">
        <v>43</v>
      </c>
      <c r="D22" s="1">
        <v>49.0</v>
      </c>
    </row>
    <row r="23" ht="14.25" customHeight="1">
      <c r="A23" s="1">
        <v>22.0</v>
      </c>
      <c r="B23" s="1" t="s">
        <v>1951</v>
      </c>
      <c r="C23" s="1" t="s">
        <v>43</v>
      </c>
      <c r="D23" s="1">
        <v>61.0</v>
      </c>
    </row>
    <row r="24" ht="14.25" customHeight="1">
      <c r="A24" s="1">
        <v>23.0</v>
      </c>
      <c r="B24" s="1" t="s">
        <v>1952</v>
      </c>
      <c r="C24" s="1" t="s">
        <v>43</v>
      </c>
      <c r="D24" s="1">
        <v>69.0</v>
      </c>
    </row>
    <row r="25" ht="14.25" customHeight="1">
      <c r="A25" s="1">
        <v>24.0</v>
      </c>
      <c r="B25" s="1" t="s">
        <v>1953</v>
      </c>
      <c r="C25" s="1" t="s">
        <v>43</v>
      </c>
      <c r="D25" s="1">
        <v>66.0</v>
      </c>
    </row>
    <row r="26" ht="14.25" customHeight="1">
      <c r="A26" s="1">
        <v>25.0</v>
      </c>
      <c r="B26" s="1" t="s">
        <v>1954</v>
      </c>
      <c r="C26" s="1" t="s">
        <v>48</v>
      </c>
      <c r="D26" s="1">
        <v>19.0</v>
      </c>
    </row>
    <row r="27" ht="14.25" customHeight="1">
      <c r="A27" s="1">
        <v>26.0</v>
      </c>
      <c r="B27" s="1" t="s">
        <v>1955</v>
      </c>
      <c r="C27" s="1" t="s">
        <v>48</v>
      </c>
      <c r="D27" s="1">
        <v>11.0</v>
      </c>
    </row>
    <row r="28" ht="14.25" customHeight="1">
      <c r="A28" s="1">
        <v>27.0</v>
      </c>
      <c r="B28" s="1" t="s">
        <v>1956</v>
      </c>
      <c r="C28" s="1" t="s">
        <v>43</v>
      </c>
      <c r="D28" s="1">
        <v>94.0</v>
      </c>
    </row>
    <row r="29" ht="14.25" customHeight="1">
      <c r="A29" s="1">
        <v>28.0</v>
      </c>
      <c r="B29" s="1" t="s">
        <v>1957</v>
      </c>
      <c r="C29" s="1" t="s">
        <v>43</v>
      </c>
      <c r="D29" s="1">
        <v>94.0</v>
      </c>
    </row>
    <row r="30" ht="14.25" customHeight="1">
      <c r="A30" s="1">
        <v>29.0</v>
      </c>
      <c r="B30" s="1" t="s">
        <v>1958</v>
      </c>
      <c r="C30" s="1" t="s">
        <v>43</v>
      </c>
      <c r="D30" s="1">
        <v>125.0</v>
      </c>
    </row>
    <row r="31" ht="14.25" customHeight="1">
      <c r="A31" s="1">
        <v>30.0</v>
      </c>
      <c r="B31" s="1" t="s">
        <v>782</v>
      </c>
      <c r="C31" s="1" t="s">
        <v>43</v>
      </c>
      <c r="D31" s="1">
        <v>142.0</v>
      </c>
    </row>
    <row r="32" ht="14.25" customHeight="1">
      <c r="A32" s="1">
        <v>31.0</v>
      </c>
      <c r="B32" s="1" t="s">
        <v>1959</v>
      </c>
      <c r="C32" s="1" t="s">
        <v>43</v>
      </c>
      <c r="D32" s="1">
        <v>164.0</v>
      </c>
    </row>
    <row r="33" ht="14.25" customHeight="1">
      <c r="A33" s="1">
        <v>32.0</v>
      </c>
      <c r="B33" s="1" t="s">
        <v>1960</v>
      </c>
      <c r="C33" s="1" t="s">
        <v>43</v>
      </c>
      <c r="D33" s="1">
        <v>119.0</v>
      </c>
    </row>
    <row r="34" ht="14.25" customHeight="1">
      <c r="A34" s="1">
        <v>33.0</v>
      </c>
      <c r="B34" s="1" t="s">
        <v>1961</v>
      </c>
      <c r="C34" s="1" t="s">
        <v>38</v>
      </c>
      <c r="D34" s="1">
        <v>129.0</v>
      </c>
    </row>
    <row r="35" ht="14.25" customHeight="1">
      <c r="A35" s="1">
        <v>34.0</v>
      </c>
      <c r="B35" s="1" t="s">
        <v>1459</v>
      </c>
      <c r="C35" s="1" t="s">
        <v>38</v>
      </c>
      <c r="D35" s="1">
        <v>145.0</v>
      </c>
    </row>
    <row r="36" ht="14.25" customHeight="1">
      <c r="A36" s="1">
        <v>35.0</v>
      </c>
      <c r="B36" s="1" t="s">
        <v>19</v>
      </c>
      <c r="C36" s="1" t="s">
        <v>38</v>
      </c>
      <c r="D36" s="1">
        <v>184.0</v>
      </c>
    </row>
    <row r="37" ht="14.25" customHeight="1">
      <c r="A37" s="1">
        <v>36.0</v>
      </c>
      <c r="B37" s="1" t="s">
        <v>443</v>
      </c>
      <c r="C37" s="1" t="s">
        <v>38</v>
      </c>
      <c r="D37" s="1">
        <v>183.0</v>
      </c>
    </row>
    <row r="38" ht="14.25" customHeight="1">
      <c r="A38" s="1">
        <v>37.0</v>
      </c>
      <c r="B38" s="1" t="s">
        <v>1962</v>
      </c>
      <c r="C38" s="1" t="s">
        <v>28</v>
      </c>
      <c r="D38" s="1">
        <v>387.0</v>
      </c>
    </row>
    <row r="39" ht="14.25" customHeight="1">
      <c r="A39" s="1">
        <v>38.0</v>
      </c>
      <c r="B39" s="1" t="s">
        <v>1963</v>
      </c>
      <c r="C39" s="1" t="s">
        <v>28</v>
      </c>
      <c r="D39" s="1">
        <v>363.0</v>
      </c>
    </row>
    <row r="40" ht="14.25" customHeight="1">
      <c r="A40" s="1">
        <v>39.0</v>
      </c>
      <c r="B40" s="1" t="s">
        <v>1964</v>
      </c>
      <c r="C40" s="1" t="s">
        <v>33</v>
      </c>
      <c r="D40" s="1">
        <v>207.0</v>
      </c>
    </row>
    <row r="41" ht="14.25" customHeight="1">
      <c r="A41" s="1">
        <v>40.0</v>
      </c>
      <c r="B41" s="1" t="s">
        <v>1965</v>
      </c>
      <c r="C41" s="1" t="s">
        <v>33</v>
      </c>
      <c r="D41" s="1">
        <v>257.0</v>
      </c>
    </row>
    <row r="42" ht="14.25" customHeight="1">
      <c r="A42" s="1">
        <v>41.0</v>
      </c>
      <c r="B42" s="1" t="s">
        <v>1966</v>
      </c>
      <c r="C42" s="1" t="s">
        <v>33</v>
      </c>
      <c r="D42" s="1">
        <v>252.0</v>
      </c>
    </row>
    <row r="43" ht="14.25" customHeight="1">
      <c r="A43" s="1">
        <v>42.0</v>
      </c>
      <c r="B43" s="1" t="s">
        <v>1967</v>
      </c>
      <c r="C43" s="1" t="s">
        <v>33</v>
      </c>
      <c r="D43" s="1">
        <v>243.0</v>
      </c>
    </row>
    <row r="44" ht="14.25" customHeight="1">
      <c r="A44" s="1">
        <v>43.0</v>
      </c>
      <c r="B44" s="1" t="s">
        <v>366</v>
      </c>
      <c r="C44" s="1" t="s">
        <v>33</v>
      </c>
      <c r="D44" s="1">
        <v>245.0</v>
      </c>
    </row>
    <row r="45" ht="14.25" customHeight="1">
      <c r="A45" s="1">
        <v>44.0</v>
      </c>
      <c r="B45" s="1" t="s">
        <v>132</v>
      </c>
      <c r="C45" s="1" t="s">
        <v>28</v>
      </c>
      <c r="D45" s="1">
        <v>296.0</v>
      </c>
    </row>
    <row r="46" ht="14.25" customHeight="1">
      <c r="A46" s="1">
        <v>45.0</v>
      </c>
      <c r="B46" s="1" t="s">
        <v>1968</v>
      </c>
      <c r="C46" s="1" t="s">
        <v>28</v>
      </c>
      <c r="D46" s="1">
        <v>364.0</v>
      </c>
    </row>
    <row r="47" ht="14.25" customHeight="1">
      <c r="A47" s="1">
        <v>46.0</v>
      </c>
      <c r="B47" s="1" t="s">
        <v>294</v>
      </c>
      <c r="C47" s="1" t="s">
        <v>28</v>
      </c>
      <c r="D47" s="1">
        <v>331.0</v>
      </c>
    </row>
    <row r="48" ht="14.25" customHeight="1">
      <c r="A48" s="1">
        <v>47.0</v>
      </c>
      <c r="B48" s="1" t="s">
        <v>477</v>
      </c>
      <c r="C48" s="1" t="s">
        <v>28</v>
      </c>
      <c r="D48" s="1">
        <v>266.0</v>
      </c>
    </row>
    <row r="49" ht="14.25" customHeight="1">
      <c r="A49" s="1">
        <v>48.0</v>
      </c>
      <c r="B49" s="1" t="s">
        <v>182</v>
      </c>
      <c r="C49" s="1" t="s">
        <v>28</v>
      </c>
      <c r="D49" s="1">
        <v>284.0</v>
      </c>
    </row>
    <row r="50" ht="14.25" customHeight="1">
      <c r="A50" s="1">
        <v>49.0</v>
      </c>
      <c r="B50" s="1" t="s">
        <v>1969</v>
      </c>
      <c r="C50" s="1" t="s">
        <v>38</v>
      </c>
      <c r="D50" s="1">
        <v>125.0</v>
      </c>
    </row>
    <row r="51" ht="14.25" customHeight="1">
      <c r="A51" s="1">
        <v>50.0</v>
      </c>
      <c r="B51" s="1" t="s">
        <v>1970</v>
      </c>
      <c r="C51" s="1" t="s">
        <v>48</v>
      </c>
      <c r="D51" s="1">
        <v>8.0</v>
      </c>
    </row>
    <row r="52" ht="14.25" customHeight="1">
      <c r="A52" s="1">
        <v>51.0</v>
      </c>
      <c r="B52" s="1" t="s">
        <v>1971</v>
      </c>
      <c r="C52" s="1" t="s">
        <v>48</v>
      </c>
      <c r="D52" s="1">
        <v>8.0</v>
      </c>
    </row>
    <row r="53" ht="14.25" customHeight="1">
      <c r="A53" s="1">
        <v>52.0</v>
      </c>
      <c r="B53" s="1" t="s">
        <v>1972</v>
      </c>
      <c r="C53" s="1" t="s">
        <v>48</v>
      </c>
      <c r="D53" s="1">
        <v>10.0</v>
      </c>
    </row>
    <row r="54" ht="14.25" customHeight="1">
      <c r="A54" s="1">
        <v>53.0</v>
      </c>
      <c r="B54" s="1" t="s">
        <v>1973</v>
      </c>
      <c r="C54" s="1" t="s">
        <v>48</v>
      </c>
      <c r="D54" s="1">
        <v>8.0</v>
      </c>
    </row>
    <row r="55" ht="14.25" customHeight="1">
      <c r="A55" s="1">
        <v>54.0</v>
      </c>
      <c r="B55" s="1" t="s">
        <v>1974</v>
      </c>
      <c r="C55" s="1" t="s">
        <v>43</v>
      </c>
      <c r="D55" s="1">
        <v>51.0</v>
      </c>
    </row>
    <row r="56" ht="14.25" customHeight="1">
      <c r="A56" s="1">
        <v>55.0</v>
      </c>
      <c r="B56" s="1" t="s">
        <v>1975</v>
      </c>
      <c r="C56" s="1" t="s">
        <v>43</v>
      </c>
      <c r="D56" s="1">
        <v>50.0</v>
      </c>
    </row>
    <row r="57" ht="14.25" customHeight="1">
      <c r="A57" s="1">
        <v>56.0</v>
      </c>
      <c r="B57" s="1" t="s">
        <v>790</v>
      </c>
      <c r="C57" s="1" t="s">
        <v>43</v>
      </c>
      <c r="D57" s="1">
        <v>49.0</v>
      </c>
    </row>
    <row r="58" ht="14.25" customHeight="1">
      <c r="A58" s="1">
        <v>57.0</v>
      </c>
      <c r="B58" s="1" t="s">
        <v>1976</v>
      </c>
      <c r="C58" s="1" t="s">
        <v>43</v>
      </c>
      <c r="D58" s="1">
        <v>71.0</v>
      </c>
    </row>
    <row r="59" ht="14.25" customHeight="1">
      <c r="A59" s="1">
        <v>58.0</v>
      </c>
      <c r="B59" s="1" t="s">
        <v>1977</v>
      </c>
      <c r="C59" s="1" t="s">
        <v>43</v>
      </c>
      <c r="D59" s="1">
        <v>85.0</v>
      </c>
    </row>
    <row r="60" ht="14.25" customHeight="1">
      <c r="A60" s="1">
        <v>59.0</v>
      </c>
      <c r="B60" s="1" t="s">
        <v>45</v>
      </c>
      <c r="C60" s="1" t="s">
        <v>43</v>
      </c>
      <c r="D60" s="1">
        <v>100.0</v>
      </c>
    </row>
    <row r="61" ht="14.25" customHeight="1">
      <c r="A61" s="1">
        <v>60.0</v>
      </c>
      <c r="B61" s="1" t="s">
        <v>1978</v>
      </c>
      <c r="C61" s="1" t="s">
        <v>48</v>
      </c>
      <c r="D61" s="1">
        <v>18.0</v>
      </c>
    </row>
    <row r="62" ht="14.25" customHeight="1">
      <c r="A62" s="1">
        <v>61.0</v>
      </c>
      <c r="B62" s="1" t="s">
        <v>1979</v>
      </c>
      <c r="C62" s="1" t="s">
        <v>48</v>
      </c>
      <c r="D62" s="1">
        <v>31.0</v>
      </c>
    </row>
    <row r="63" ht="14.25" customHeight="1">
      <c r="A63" s="1">
        <v>62.0</v>
      </c>
      <c r="B63" s="1" t="s">
        <v>1980</v>
      </c>
      <c r="C63" s="1" t="s">
        <v>43</v>
      </c>
      <c r="D63" s="1">
        <v>39.0</v>
      </c>
    </row>
    <row r="64" ht="14.25" customHeight="1">
      <c r="A64" s="1">
        <v>63.0</v>
      </c>
      <c r="B64" s="1" t="s">
        <v>1981</v>
      </c>
      <c r="C64" s="1" t="s">
        <v>43</v>
      </c>
      <c r="D64" s="1">
        <v>38.0</v>
      </c>
    </row>
    <row r="65" ht="14.25" customHeight="1">
      <c r="A65" s="1">
        <v>64.0</v>
      </c>
      <c r="B65" s="1" t="s">
        <v>1982</v>
      </c>
      <c r="C65" s="1" t="s">
        <v>43</v>
      </c>
      <c r="D65" s="1">
        <v>48.0</v>
      </c>
    </row>
    <row r="66" ht="14.25" customHeight="1">
      <c r="A66" s="1">
        <v>65.0</v>
      </c>
      <c r="B66" s="1" t="s">
        <v>1983</v>
      </c>
      <c r="C66" s="1" t="s">
        <v>43</v>
      </c>
      <c r="D66" s="1">
        <v>76.0</v>
      </c>
    </row>
    <row r="67" ht="14.25" customHeight="1">
      <c r="A67" s="1">
        <v>66.0</v>
      </c>
      <c r="B67" s="1" t="s">
        <v>1984</v>
      </c>
      <c r="C67" s="1" t="s">
        <v>48</v>
      </c>
      <c r="D67" s="1">
        <v>19.0</v>
      </c>
    </row>
    <row r="68" ht="14.25" customHeight="1">
      <c r="A68" s="1">
        <v>67.0</v>
      </c>
      <c r="B68" s="1" t="s">
        <v>1985</v>
      </c>
      <c r="C68" s="1" t="s">
        <v>48</v>
      </c>
      <c r="D68" s="1">
        <v>28.0</v>
      </c>
    </row>
    <row r="69" ht="14.25" customHeight="1">
      <c r="A69" s="1">
        <v>68.0</v>
      </c>
      <c r="B69" s="1" t="s">
        <v>1986</v>
      </c>
      <c r="C69" s="1" t="s">
        <v>43</v>
      </c>
      <c r="D69" s="1">
        <v>37.0</v>
      </c>
    </row>
    <row r="70" ht="14.25" customHeight="1">
      <c r="A70" s="1">
        <v>69.0</v>
      </c>
      <c r="B70" s="1" t="s">
        <v>1987</v>
      </c>
      <c r="C70" s="1" t="s">
        <v>43</v>
      </c>
      <c r="D70" s="1">
        <v>49.0</v>
      </c>
    </row>
    <row r="71" ht="14.25" customHeight="1">
      <c r="A71" s="1">
        <v>70.0</v>
      </c>
      <c r="B71" s="1" t="s">
        <v>1988</v>
      </c>
      <c r="C71" s="1" t="s">
        <v>43</v>
      </c>
      <c r="D71" s="1">
        <v>75.0</v>
      </c>
    </row>
    <row r="72" ht="14.25" customHeight="1">
      <c r="A72" s="1">
        <v>71.0</v>
      </c>
      <c r="B72" s="1" t="s">
        <v>400</v>
      </c>
      <c r="C72" s="1" t="s">
        <v>43</v>
      </c>
      <c r="D72" s="1">
        <v>104.0</v>
      </c>
    </row>
    <row r="73" ht="14.25" customHeight="1">
      <c r="A73" s="1">
        <v>72.0</v>
      </c>
      <c r="B73" s="1" t="s">
        <v>1989</v>
      </c>
      <c r="C73" s="1" t="s">
        <v>43</v>
      </c>
      <c r="D73" s="1">
        <v>116.0</v>
      </c>
    </row>
    <row r="74" ht="14.25" customHeight="1">
      <c r="A74" s="1">
        <v>73.0</v>
      </c>
      <c r="B74" s="1" t="s">
        <v>1990</v>
      </c>
      <c r="C74" s="1" t="s">
        <v>43</v>
      </c>
      <c r="D74" s="1">
        <v>85.0</v>
      </c>
    </row>
    <row r="75" ht="14.25" customHeight="1">
      <c r="A75" s="1">
        <v>74.0</v>
      </c>
      <c r="B75" s="1" t="s">
        <v>1991</v>
      </c>
      <c r="C75" s="1" t="s">
        <v>1992</v>
      </c>
      <c r="D75" s="1">
        <v>5.0</v>
      </c>
    </row>
    <row r="76" ht="14.25" customHeight="1">
      <c r="A76" s="1">
        <v>75.0</v>
      </c>
      <c r="B76" s="1" t="s">
        <v>1993</v>
      </c>
      <c r="C76" s="1" t="s">
        <v>43</v>
      </c>
      <c r="D76" s="1">
        <v>101.0</v>
      </c>
    </row>
    <row r="77" ht="14.25" customHeight="1">
      <c r="A77" s="1">
        <v>76.0</v>
      </c>
      <c r="B77" s="1" t="s">
        <v>1994</v>
      </c>
      <c r="C77" s="1" t="s">
        <v>43</v>
      </c>
      <c r="D77" s="1">
        <v>50.0</v>
      </c>
    </row>
    <row r="78" ht="14.25" customHeight="1">
      <c r="A78" s="1">
        <v>77.0</v>
      </c>
      <c r="B78" s="1" t="s">
        <v>1995</v>
      </c>
      <c r="C78" s="1" t="s">
        <v>43</v>
      </c>
      <c r="D78" s="1">
        <v>80.0</v>
      </c>
    </row>
    <row r="79" ht="14.25" customHeight="1">
      <c r="A79" s="1">
        <v>78.0</v>
      </c>
      <c r="B79" s="1" t="s">
        <v>1996</v>
      </c>
      <c r="C79" s="1" t="s">
        <v>28</v>
      </c>
      <c r="D79" s="1">
        <v>260.0</v>
      </c>
    </row>
    <row r="80" ht="14.25" customHeight="1">
      <c r="A80" s="1">
        <v>79.0</v>
      </c>
      <c r="B80" s="1" t="s">
        <v>1997</v>
      </c>
      <c r="C80" s="1" t="s">
        <v>43</v>
      </c>
      <c r="D80" s="1">
        <v>32.0</v>
      </c>
    </row>
    <row r="81" ht="14.25" customHeight="1">
      <c r="A81" s="1">
        <v>80.0</v>
      </c>
      <c r="B81" s="1" t="s">
        <v>1998</v>
      </c>
      <c r="C81" s="1" t="s">
        <v>48</v>
      </c>
      <c r="D81" s="1">
        <v>18.0</v>
      </c>
    </row>
    <row r="82" ht="14.25" customHeight="1">
      <c r="A82" s="1">
        <v>81.0</v>
      </c>
      <c r="B82" s="1" t="s">
        <v>1999</v>
      </c>
      <c r="C82" s="1" t="s">
        <v>48</v>
      </c>
      <c r="D82" s="1">
        <v>19.0</v>
      </c>
    </row>
    <row r="83" ht="14.25" customHeight="1">
      <c r="A83" s="1">
        <v>82.0</v>
      </c>
      <c r="B83" s="1" t="s">
        <v>2000</v>
      </c>
      <c r="C83" s="1" t="s">
        <v>48</v>
      </c>
      <c r="D83" s="1">
        <v>29.0</v>
      </c>
    </row>
    <row r="84" ht="14.25" customHeight="1">
      <c r="A84" s="1">
        <v>83.0</v>
      </c>
      <c r="B84" s="1" t="s">
        <v>2001</v>
      </c>
      <c r="C84" s="1" t="s">
        <v>48</v>
      </c>
      <c r="D84" s="1">
        <v>18.0</v>
      </c>
    </row>
    <row r="85" ht="14.25" customHeight="1">
      <c r="A85" s="1">
        <v>84.0</v>
      </c>
      <c r="B85" s="1" t="s">
        <v>2002</v>
      </c>
      <c r="C85" s="1" t="s">
        <v>38</v>
      </c>
      <c r="D85" s="1">
        <v>163.0</v>
      </c>
    </row>
    <row r="86" ht="14.25" customHeight="1">
      <c r="A86" s="1">
        <v>85.0</v>
      </c>
      <c r="B86" s="1" t="s">
        <v>2003</v>
      </c>
      <c r="C86" s="1" t="s">
        <v>38</v>
      </c>
      <c r="D86" s="1">
        <v>147.0</v>
      </c>
    </row>
    <row r="87" ht="14.25" customHeight="1">
      <c r="A87" s="1">
        <v>86.0</v>
      </c>
      <c r="B87" s="1" t="s">
        <v>2004</v>
      </c>
      <c r="C87" s="1" t="s">
        <v>38</v>
      </c>
      <c r="D87" s="1">
        <v>172.0</v>
      </c>
    </row>
    <row r="88" ht="14.25" customHeight="1">
      <c r="A88" s="1">
        <v>87.0</v>
      </c>
      <c r="B88" s="1" t="s">
        <v>2005</v>
      </c>
      <c r="C88" s="1" t="s">
        <v>48</v>
      </c>
      <c r="D88" s="1">
        <v>6.0</v>
      </c>
    </row>
    <row r="89" ht="14.25" customHeight="1">
      <c r="A89" s="1">
        <v>88.0</v>
      </c>
      <c r="B89" s="1" t="s">
        <v>2006</v>
      </c>
      <c r="C89" s="1" t="s">
        <v>48</v>
      </c>
      <c r="D89" s="1">
        <v>6.0</v>
      </c>
    </row>
    <row r="90" ht="14.25" customHeight="1">
      <c r="A90" s="1">
        <v>89.0</v>
      </c>
      <c r="B90" s="1" t="s">
        <v>2007</v>
      </c>
      <c r="C90" s="1" t="s">
        <v>43</v>
      </c>
      <c r="D90" s="1">
        <v>101.0</v>
      </c>
    </row>
    <row r="91" ht="14.25" customHeight="1">
      <c r="A91" s="1">
        <v>90.0</v>
      </c>
      <c r="B91" s="1" t="s">
        <v>2008</v>
      </c>
      <c r="C91" s="1" t="s">
        <v>43</v>
      </c>
      <c r="D91" s="1">
        <v>95.0</v>
      </c>
    </row>
    <row r="92" ht="14.25" customHeight="1">
      <c r="A92" s="1">
        <v>91.0</v>
      </c>
      <c r="B92" s="1" t="s">
        <v>2009</v>
      </c>
      <c r="C92" s="1" t="s">
        <v>43</v>
      </c>
      <c r="D92" s="1">
        <v>50.0</v>
      </c>
    </row>
    <row r="93" ht="14.25" customHeight="1">
      <c r="A93" s="1">
        <v>92.0</v>
      </c>
      <c r="B93" s="1" t="s">
        <v>2010</v>
      </c>
      <c r="C93" s="1" t="s">
        <v>48</v>
      </c>
      <c r="D93" s="1">
        <v>33.0</v>
      </c>
    </row>
    <row r="94" ht="14.25" customHeight="1">
      <c r="A94" s="1">
        <v>93.0</v>
      </c>
      <c r="B94" s="1" t="s">
        <v>2011</v>
      </c>
      <c r="C94" s="1" t="s">
        <v>43</v>
      </c>
      <c r="D94" s="1">
        <v>92.0</v>
      </c>
    </row>
    <row r="95" ht="14.25" customHeight="1">
      <c r="A95" s="1">
        <v>94.0</v>
      </c>
      <c r="B95" s="1" t="s">
        <v>2012</v>
      </c>
      <c r="C95" s="1" t="s">
        <v>48</v>
      </c>
      <c r="D95" s="1">
        <v>18.0</v>
      </c>
    </row>
    <row r="96" ht="14.25" customHeight="1">
      <c r="A96" s="1">
        <v>95.0</v>
      </c>
      <c r="B96" s="1" t="s">
        <v>2013</v>
      </c>
      <c r="C96" s="1" t="s">
        <v>43</v>
      </c>
      <c r="D96" s="1">
        <v>55.0</v>
      </c>
    </row>
    <row r="97" ht="14.25" customHeight="1">
      <c r="A97" s="1">
        <v>96.0</v>
      </c>
      <c r="B97" s="1" t="s">
        <v>2014</v>
      </c>
      <c r="C97" s="1" t="s">
        <v>38</v>
      </c>
      <c r="D97" s="1">
        <v>132.0</v>
      </c>
    </row>
    <row r="98" ht="14.25" customHeight="1">
      <c r="A98" s="1">
        <v>97.0</v>
      </c>
      <c r="B98" s="1" t="s">
        <v>2015</v>
      </c>
      <c r="C98" s="1" t="s">
        <v>33</v>
      </c>
      <c r="D98" s="1">
        <v>201.0</v>
      </c>
    </row>
    <row r="99" ht="14.25" customHeight="1">
      <c r="A99" s="1">
        <v>98.0</v>
      </c>
      <c r="B99" s="1" t="s">
        <v>2016</v>
      </c>
      <c r="C99" s="1" t="s">
        <v>43</v>
      </c>
      <c r="D99" s="1">
        <v>19.0</v>
      </c>
    </row>
    <row r="100" ht="14.25" customHeight="1">
      <c r="A100" s="1">
        <v>99.0</v>
      </c>
      <c r="B100" s="1" t="s">
        <v>2017</v>
      </c>
      <c r="C100" s="1" t="s">
        <v>38</v>
      </c>
      <c r="D100" s="1">
        <v>107.0</v>
      </c>
    </row>
    <row r="101" ht="14.25" customHeight="1">
      <c r="A101" s="1">
        <v>100.0</v>
      </c>
      <c r="B101" s="1" t="s">
        <v>25</v>
      </c>
      <c r="C101" s="1" t="s">
        <v>38</v>
      </c>
      <c r="D101" s="1">
        <v>180.0</v>
      </c>
    </row>
    <row r="102" ht="14.25" customHeight="1">
      <c r="A102" s="1">
        <v>101.0</v>
      </c>
      <c r="B102" s="1" t="s">
        <v>212</v>
      </c>
      <c r="C102" s="1" t="s">
        <v>38</v>
      </c>
      <c r="D102" s="1">
        <v>200.0</v>
      </c>
    </row>
    <row r="103" ht="14.25" customHeight="1">
      <c r="A103" s="1">
        <v>102.0</v>
      </c>
      <c r="B103" s="1" t="s">
        <v>40</v>
      </c>
      <c r="C103" s="1" t="s">
        <v>38</v>
      </c>
      <c r="D103" s="1">
        <v>186.0</v>
      </c>
    </row>
    <row r="104" ht="14.25" customHeight="1">
      <c r="A104" s="1">
        <v>103.0</v>
      </c>
      <c r="B104" s="1" t="s">
        <v>174</v>
      </c>
      <c r="C104" s="1" t="s">
        <v>28</v>
      </c>
      <c r="D104" s="1">
        <v>327.0</v>
      </c>
    </row>
    <row r="105" ht="14.25" customHeight="1">
      <c r="A105" s="1">
        <v>104.0</v>
      </c>
      <c r="B105" s="1" t="s">
        <v>195</v>
      </c>
      <c r="C105" s="1" t="s">
        <v>28</v>
      </c>
      <c r="D105" s="1">
        <v>281.0</v>
      </c>
    </row>
    <row r="106" ht="14.25" customHeight="1">
      <c r="A106" s="1">
        <v>105.0</v>
      </c>
      <c r="B106" s="1" t="s">
        <v>410</v>
      </c>
      <c r="C106" s="1" t="s">
        <v>28</v>
      </c>
      <c r="D106" s="1">
        <v>302.0</v>
      </c>
    </row>
    <row r="107" ht="14.25" customHeight="1">
      <c r="A107" s="1">
        <v>106.0</v>
      </c>
      <c r="B107" s="1" t="s">
        <v>496</v>
      </c>
      <c r="C107" s="1" t="s">
        <v>43</v>
      </c>
      <c r="D107" s="1">
        <v>15.0</v>
      </c>
    </row>
    <row r="108" ht="14.25" customHeight="1">
      <c r="A108" s="1">
        <v>107.0</v>
      </c>
      <c r="B108" s="1" t="s">
        <v>544</v>
      </c>
      <c r="C108" s="1" t="s">
        <v>38</v>
      </c>
      <c r="D108" s="1">
        <v>148.0</v>
      </c>
    </row>
    <row r="109" ht="14.25" customHeight="1">
      <c r="A109" s="1">
        <v>108.0</v>
      </c>
      <c r="B109" s="1" t="s">
        <v>561</v>
      </c>
      <c r="C109" s="1" t="s">
        <v>48</v>
      </c>
      <c r="D109" s="1">
        <v>9.0</v>
      </c>
    </row>
    <row r="110" ht="14.25" customHeight="1">
      <c r="A110" s="1">
        <v>109.0</v>
      </c>
      <c r="B110" s="1" t="s">
        <v>580</v>
      </c>
      <c r="C110" s="1" t="s">
        <v>43</v>
      </c>
      <c r="D110" s="1">
        <v>10.0</v>
      </c>
    </row>
    <row r="111" ht="14.25" customHeight="1">
      <c r="A111" s="1">
        <v>110.0</v>
      </c>
      <c r="B111" s="1" t="s">
        <v>594</v>
      </c>
      <c r="C111" s="1" t="s">
        <v>43</v>
      </c>
      <c r="D111" s="1">
        <v>15.0</v>
      </c>
    </row>
    <row r="112" ht="14.25" customHeight="1">
      <c r="A112" s="1">
        <v>111.0</v>
      </c>
      <c r="B112" s="1" t="s">
        <v>630</v>
      </c>
      <c r="C112" s="1" t="s">
        <v>48</v>
      </c>
      <c r="D112" s="1">
        <v>9.0</v>
      </c>
    </row>
    <row r="113" ht="14.25" customHeight="1">
      <c r="A113" s="1">
        <v>112.0</v>
      </c>
      <c r="B113" s="1" t="s">
        <v>633</v>
      </c>
      <c r="C113" s="1" t="s">
        <v>43</v>
      </c>
      <c r="D113" s="1">
        <v>10.0</v>
      </c>
    </row>
    <row r="114" ht="14.25" customHeight="1">
      <c r="A114" s="1">
        <v>113.0</v>
      </c>
      <c r="B114" s="1" t="s">
        <v>681</v>
      </c>
      <c r="C114" s="1" t="s">
        <v>43</v>
      </c>
      <c r="D114" s="1">
        <v>15.0</v>
      </c>
    </row>
    <row r="115" ht="14.25" customHeight="1">
      <c r="A115" s="1">
        <v>114.0</v>
      </c>
      <c r="B115" s="1" t="s">
        <v>767</v>
      </c>
      <c r="C115" s="1" t="s">
        <v>48</v>
      </c>
      <c r="D115" s="1">
        <v>4.0</v>
      </c>
    </row>
    <row r="116" ht="14.25" customHeight="1">
      <c r="A116" s="1">
        <v>115.0</v>
      </c>
      <c r="B116" s="1" t="s">
        <v>772</v>
      </c>
      <c r="C116" s="1" t="s">
        <v>48</v>
      </c>
      <c r="D116" s="1">
        <v>8.0</v>
      </c>
    </row>
    <row r="117" ht="14.25" customHeight="1">
      <c r="A117" s="1">
        <v>116.0</v>
      </c>
      <c r="B117" s="1" t="s">
        <v>800</v>
      </c>
      <c r="C117" s="1" t="s">
        <v>43</v>
      </c>
      <c r="D117" s="1">
        <v>9.0</v>
      </c>
    </row>
    <row r="118" ht="14.25" customHeight="1">
      <c r="A118" s="1">
        <v>117.0</v>
      </c>
      <c r="B118" s="1" t="s">
        <v>842</v>
      </c>
      <c r="C118" s="1" t="s">
        <v>28</v>
      </c>
      <c r="D118" s="1">
        <v>257.0</v>
      </c>
    </row>
    <row r="119" ht="14.25" customHeight="1">
      <c r="A119" s="1">
        <v>118.0</v>
      </c>
      <c r="B119" s="1" t="s">
        <v>901</v>
      </c>
      <c r="C119" s="1" t="s">
        <v>48</v>
      </c>
      <c r="D119" s="1">
        <v>8.0</v>
      </c>
    </row>
    <row r="120" ht="14.25" customHeight="1">
      <c r="A120" s="1">
        <v>119.0</v>
      </c>
      <c r="B120" s="1" t="s">
        <v>962</v>
      </c>
      <c r="C120" s="1" t="s">
        <v>48</v>
      </c>
      <c r="D120" s="1">
        <v>9.0</v>
      </c>
    </row>
    <row r="121" ht="14.25" customHeight="1">
      <c r="A121" s="1">
        <v>120.0</v>
      </c>
      <c r="B121" s="1" t="s">
        <v>981</v>
      </c>
      <c r="C121" s="1" t="s">
        <v>48</v>
      </c>
      <c r="D121" s="1">
        <v>6.0</v>
      </c>
    </row>
    <row r="122" ht="14.25" customHeight="1">
      <c r="A122" s="1">
        <v>121.0</v>
      </c>
      <c r="B122" s="1" t="s">
        <v>1068</v>
      </c>
      <c r="C122" s="1" t="s">
        <v>48</v>
      </c>
      <c r="D122" s="1">
        <v>6.0</v>
      </c>
    </row>
    <row r="123" ht="14.25" customHeight="1">
      <c r="A123" s="1">
        <v>122.0</v>
      </c>
      <c r="B123" s="1" t="s">
        <v>1089</v>
      </c>
      <c r="C123" s="1" t="s">
        <v>43</v>
      </c>
      <c r="D123" s="1">
        <v>9.0</v>
      </c>
    </row>
    <row r="124" ht="14.25" customHeight="1">
      <c r="A124" s="1">
        <v>123.0</v>
      </c>
      <c r="B124" s="1" t="s">
        <v>1205</v>
      </c>
      <c r="C124" s="1" t="s">
        <v>43</v>
      </c>
      <c r="D124" s="1">
        <v>10.0</v>
      </c>
    </row>
    <row r="125" ht="14.25" customHeight="1">
      <c r="A125" s="1">
        <v>124.0</v>
      </c>
      <c r="B125" s="1" t="s">
        <v>1253</v>
      </c>
      <c r="C125" s="1" t="s">
        <v>48</v>
      </c>
      <c r="D125" s="1">
        <v>9.0</v>
      </c>
    </row>
    <row r="126" ht="14.25" customHeight="1">
      <c r="A126" s="1">
        <v>125.0</v>
      </c>
      <c r="B126" s="1" t="s">
        <v>1307</v>
      </c>
      <c r="C126" s="1" t="s">
        <v>48</v>
      </c>
      <c r="D126" s="1">
        <v>8.0</v>
      </c>
    </row>
    <row r="127" ht="14.25" customHeight="1">
      <c r="A127" s="1">
        <v>126.0</v>
      </c>
      <c r="B127" s="1" t="s">
        <v>1501</v>
      </c>
      <c r="C127" s="1" t="s">
        <v>43</v>
      </c>
      <c r="D127" s="1">
        <v>13.0</v>
      </c>
    </row>
    <row r="128" ht="14.25" customHeight="1">
      <c r="A128" s="1">
        <v>127.0</v>
      </c>
      <c r="B128" s="1" t="s">
        <v>1666</v>
      </c>
      <c r="C128" s="1" t="s">
        <v>48</v>
      </c>
      <c r="D128" s="1">
        <v>8.0</v>
      </c>
    </row>
    <row r="129" ht="14.25" customHeight="1">
      <c r="A129" s="1">
        <v>128.0</v>
      </c>
      <c r="B129" s="1" t="s">
        <v>1742</v>
      </c>
      <c r="C129" s="1" t="s">
        <v>43</v>
      </c>
      <c r="D129" s="1">
        <v>16.0</v>
      </c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2026-02-18T18:14:15Z</dcterms:created>
</cp:coreProperties>
</file>